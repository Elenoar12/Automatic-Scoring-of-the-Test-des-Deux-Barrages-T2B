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performance analysis - script/"/>
    </mc:Choice>
  </mc:AlternateContent>
  <xr:revisionPtr revIDLastSave="2" documentId="8_{346885D6-A4C4-4692-8426-E598861AB260}" xr6:coauthVersionLast="47" xr6:coauthVersionMax="47" xr10:uidLastSave="{97AE8572-6A71-40FE-807A-2BFF4DEEE8FB}"/>
  <bookViews>
    <workbookView xWindow="-113" yWindow="-113" windowWidth="24267" windowHeight="13749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H14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H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CZ12" i="1"/>
  <c r="DZ7" i="1"/>
  <c r="DZ12" i="1"/>
  <c r="CZ6" i="1"/>
  <c r="CZ10" i="1"/>
  <c r="CZ8" i="1"/>
  <c r="CZ7" i="1"/>
  <c r="DZ10" i="1"/>
  <c r="CZ11" i="1"/>
  <c r="J7" i="1"/>
  <c r="DZ11" i="1"/>
  <c r="J10" i="1"/>
  <c r="J6" i="1"/>
  <c r="J5" i="1"/>
  <c r="J8" i="1"/>
  <c r="DZ8" i="1"/>
  <c r="DZ5" i="1"/>
  <c r="CZ9" i="1"/>
  <c r="J11" i="1"/>
  <c r="J12" i="1" s="1"/>
  <c r="J9" i="1"/>
  <c r="CZ5" i="1"/>
  <c r="DZ6" i="1"/>
  <c r="DZ9" i="1"/>
  <c r="H6" i="1" l="1"/>
  <c r="E6" i="1" s="1"/>
  <c r="H10" i="1"/>
  <c r="E10" i="1" s="1"/>
  <c r="H7" i="1"/>
  <c r="H11" i="1"/>
  <c r="E11" i="1" s="1"/>
  <c r="H8" i="1"/>
  <c r="E8" i="1" s="1"/>
  <c r="H12" i="1"/>
  <c r="E12" i="1" s="1"/>
  <c r="J13" i="1"/>
  <c r="H5" i="1"/>
  <c r="N5" i="1" s="1"/>
  <c r="H9" i="1"/>
  <c r="E5" i="1" l="1"/>
  <c r="G5" i="1" s="1"/>
  <c r="M5" i="1" s="1"/>
  <c r="N6" i="1"/>
  <c r="N7" i="1" s="1"/>
  <c r="N8" i="1" s="1"/>
  <c r="N9" i="1" s="1"/>
  <c r="N10" i="1" s="1"/>
  <c r="N11" i="1" s="1"/>
  <c r="N12" i="1" s="1"/>
  <c r="N13" i="1" s="1"/>
  <c r="N14" i="1" s="1"/>
  <c r="E26" i="1" s="1"/>
  <c r="G8" i="1"/>
  <c r="F8" i="1" s="1"/>
  <c r="J14" i="1"/>
  <c r="E14" i="1" s="1"/>
  <c r="E13" i="1"/>
  <c r="E7" i="1"/>
  <c r="G6" i="1"/>
  <c r="G11" i="1"/>
  <c r="G12" i="1"/>
  <c r="F12" i="1" s="1"/>
  <c r="G10" i="1"/>
  <c r="E9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G7" i="1"/>
  <c r="F7" i="1" s="1"/>
  <c r="F10" i="1"/>
  <c r="M6" i="1"/>
  <c r="F11" i="1"/>
  <c r="F5" i="1"/>
  <c r="L5" i="1" s="1"/>
  <c r="F6" i="1"/>
  <c r="F14" i="1"/>
  <c r="G14" i="1"/>
  <c r="G9" i="1"/>
  <c r="F9" i="1" s="1"/>
  <c r="G13" i="1"/>
  <c r="F13" i="1"/>
  <c r="L6" i="1" l="1"/>
  <c r="L7" i="1" s="1"/>
  <c r="L8" i="1" s="1"/>
  <c r="L9" i="1" s="1"/>
  <c r="L10" i="1" s="1"/>
  <c r="L11" i="1" s="1"/>
  <c r="L12" i="1" s="1"/>
  <c r="L13" i="1" s="1"/>
  <c r="L14" i="1" s="1"/>
  <c r="M7" i="1"/>
  <c r="M8" i="1" s="1"/>
  <c r="M9" i="1" s="1"/>
  <c r="M10" i="1" s="1"/>
  <c r="M11" i="1" s="1"/>
  <c r="M12" i="1" s="1"/>
  <c r="M13" i="1" s="1"/>
  <c r="M14" i="1" s="1"/>
  <c r="E25" i="1" s="1"/>
  <c r="E29" i="1"/>
  <c r="E28" i="1"/>
  <c r="E30" i="1" l="1"/>
  <c r="E22" i="1"/>
  <c r="E24" i="1"/>
</calcChain>
</file>

<file path=xl/sharedStrings.xml><?xml version="1.0" encoding="utf-8"?>
<sst xmlns="http://schemas.openxmlformats.org/spreadsheetml/2006/main" count="70" uniqueCount="41">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</sst>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2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/>
      <protection hidden="1"/>
    </xf>
    <xf numFmtId="0" fontId="3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0" fontId="3" fillId="5" borderId="3" xfId="0" applyFont="1" applyFill="1" applyBorder="1" applyAlignment="1" applyProtection="1">
      <alignment horizontal="center"/>
      <protection hidden="1"/>
    </xf>
    <xf numFmtId="0" fontId="3" fillId="2" borderId="4" xfId="0" applyFont="1" applyFill="1" applyBorder="1" applyAlignment="1" applyProtection="1">
      <alignment horizontal="right"/>
      <protection hidden="1"/>
    </xf>
    <xf numFmtId="0" fontId="3" fillId="2" borderId="5" xfId="0" applyFont="1" applyFill="1" applyBorder="1" applyAlignment="1" applyProtection="1">
      <alignment horizontal="center"/>
      <protection hidden="1"/>
    </xf>
    <xf numFmtId="0" fontId="3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3" fillId="2" borderId="4" xfId="0" applyFont="1" applyFill="1" applyBorder="1" applyAlignment="1" applyProtection="1">
      <alignment horizontal="center"/>
      <protection hidden="1"/>
    </xf>
    <xf numFmtId="0" fontId="3" fillId="5" borderId="6" xfId="0" applyFont="1" applyFill="1" applyBorder="1" applyAlignment="1" applyProtection="1">
      <alignment horizontal="center"/>
      <protection hidden="1"/>
    </xf>
    <xf numFmtId="0" fontId="3" fillId="5" borderId="7" xfId="0" applyFont="1" applyFill="1" applyBorder="1" applyAlignment="1" applyProtection="1">
      <alignment horizontal="center"/>
      <protection hidden="1"/>
    </xf>
    <xf numFmtId="0" fontId="3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6" fillId="6" borderId="9" xfId="0" applyFont="1" applyFill="1" applyBorder="1" applyAlignment="1" applyProtection="1">
      <alignment horizontal="center"/>
      <protection locked="0" hidden="1"/>
    </xf>
    <xf numFmtId="0" fontId="6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3" fillId="5" borderId="1" xfId="0" applyFont="1" applyFill="1" applyBorder="1" applyAlignment="1" applyProtection="1">
      <alignment horizontal="center"/>
      <protection locked="0" hidden="1"/>
    </xf>
    <xf numFmtId="0" fontId="3" fillId="4" borderId="0" xfId="0" applyFont="1" applyFill="1" applyAlignment="1" applyProtection="1">
      <alignment horizontal="center"/>
      <protection locked="0" hidden="1"/>
    </xf>
    <xf numFmtId="0" fontId="3" fillId="5" borderId="0" xfId="0" applyFont="1" applyFill="1" applyAlignment="1" applyProtection="1">
      <alignment horizontal="center"/>
      <protection locked="0" hidden="1"/>
    </xf>
    <xf numFmtId="0" fontId="3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3" fillId="4" borderId="1" xfId="0" applyFont="1" applyFill="1" applyBorder="1" applyAlignment="1" applyProtection="1">
      <alignment horizontal="center"/>
      <protection locked="0" hidden="1"/>
    </xf>
    <xf numFmtId="0" fontId="3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3" fillId="6" borderId="9" xfId="0" applyFont="1" applyFill="1" applyBorder="1" applyAlignment="1" applyProtection="1">
      <alignment horizontal="right"/>
      <protection locked="0" hidden="1"/>
    </xf>
    <xf numFmtId="164" fontId="3" fillId="6" borderId="9" xfId="0" applyNumberFormat="1" applyFont="1" applyFill="1" applyBorder="1" applyAlignment="1" applyProtection="1">
      <alignment horizontal="left"/>
      <protection locked="0" hidden="1"/>
    </xf>
    <xf numFmtId="0" fontId="4" fillId="2" borderId="0" xfId="0" applyFont="1" applyFill="1" applyProtection="1">
      <protection hidden="1"/>
    </xf>
    <xf numFmtId="14" fontId="3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3" fillId="2" borderId="12" xfId="0" applyFont="1" applyFill="1" applyBorder="1" applyAlignment="1" applyProtection="1">
      <alignment horizontal="center"/>
      <protection hidden="1"/>
    </xf>
    <xf numFmtId="0" fontId="3" fillId="5" borderId="2" xfId="0" applyFont="1" applyFill="1" applyBorder="1" applyAlignment="1" applyProtection="1">
      <alignment horizontal="center"/>
      <protection locked="0" hidden="1"/>
    </xf>
    <xf numFmtId="0" fontId="3" fillId="5" borderId="3" xfId="0" applyFont="1" applyFill="1" applyBorder="1" applyAlignment="1" applyProtection="1">
      <alignment horizontal="center"/>
      <protection locked="0" hidden="1"/>
    </xf>
    <xf numFmtId="0" fontId="3" fillId="4" borderId="3" xfId="0" applyFont="1" applyFill="1" applyBorder="1" applyAlignment="1" applyProtection="1">
      <alignment horizontal="center"/>
      <protection locked="0" hidden="1"/>
    </xf>
    <xf numFmtId="0" fontId="3" fillId="5" borderId="12" xfId="0" applyFont="1" applyFill="1" applyBorder="1" applyAlignment="1" applyProtection="1">
      <alignment horizontal="center"/>
      <protection locked="0"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1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3" fillId="4" borderId="0" xfId="0" applyFont="1" applyFill="1" applyAlignment="1" applyProtection="1">
      <alignment horizontal="right" vertical="center" wrapText="1" readingOrder="2"/>
      <protection hidden="1"/>
    </xf>
    <xf numFmtId="0" fontId="3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3" fillId="6" borderId="9" xfId="0" applyNumberFormat="1" applyFont="1" applyFill="1" applyBorder="1" applyAlignment="1" applyProtection="1">
      <alignment horizontal="center"/>
      <protection locked="0" hidden="1"/>
    </xf>
    <xf numFmtId="0" fontId="3" fillId="6" borderId="9" xfId="0" applyFont="1" applyFill="1" applyBorder="1" applyAlignment="1" applyProtection="1">
      <alignment horizontal="center"/>
      <protection locked="0" hidden="1"/>
    </xf>
    <xf numFmtId="165" fontId="3" fillId="5" borderId="10" xfId="0" applyNumberFormat="1" applyFont="1" applyFill="1" applyBorder="1" applyAlignment="1" applyProtection="1">
      <alignment horizontal="right"/>
      <protection locked="0" hidden="1"/>
    </xf>
    <xf numFmtId="165" fontId="3" fillId="5" borderId="11" xfId="0" applyNumberFormat="1" applyFont="1" applyFill="1" applyBorder="1" applyAlignment="1" applyProtection="1">
      <alignment horizontal="right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B&#228;tscher%20Thomas%20(73,%20NP,%20sb)/B&#228;tscher%20Thomas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>
    <pageSetUpPr fitToPage="1"/>
  </sheetPr>
  <dimension ref="A1:IO43"/>
  <sheetViews>
    <sheetView showGridLines="0" showRowColHeaders="0" tabSelected="1" workbookViewId="0">
      <selection activeCell="C12" sqref="C12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4" t="s">
        <v>0</v>
      </c>
      <c r="C2" s="65"/>
      <c r="D2" s="65"/>
      <c r="E2" s="65"/>
      <c r="F2" s="66"/>
      <c r="G2" s="8"/>
      <c r="H2" s="8"/>
      <c r="I2" s="8"/>
      <c r="J2" s="8"/>
      <c r="K2" s="8"/>
      <c r="L2" s="67" t="s">
        <v>1</v>
      </c>
      <c r="M2" s="67"/>
      <c r="N2" s="67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8" t="s">
        <v>4</v>
      </c>
      <c r="C3" s="69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6</v>
      </c>
      <c r="C5" s="27">
        <v>20</v>
      </c>
      <c r="D5" s="28"/>
      <c r="E5" s="29">
        <f ca="1">IF(C5="","",J5-H5)</f>
        <v>34</v>
      </c>
      <c r="F5" s="29">
        <f t="shared" ref="F5:F14" ca="1" si="0">IF(E5="","",G5+H5)</f>
        <v>0</v>
      </c>
      <c r="G5" s="30">
        <f ca="1">IF(E5="","",DZ5)</f>
        <v>0</v>
      </c>
      <c r="H5" s="31">
        <f ca="1">IF(C5="","",CZ5)</f>
        <v>0</v>
      </c>
      <c r="I5" s="29"/>
      <c r="J5" s="29">
        <f ca="1">IF(AND($B5&gt;=1,$B5&lt;=40,$C5&gt;=1,$C5&lt;=25),IF($B5&gt;1,SUM(INDIRECT("BA4:BY"&amp;($B5+2))),0)+SUM(INDIRECT("BA"&amp;($B5+3)&amp;":B"&amp;CHAR(64+$C5)&amp;($B5+3))),0)</f>
        <v>34</v>
      </c>
      <c r="K5" s="29">
        <f ca="1">$E5</f>
        <v>34</v>
      </c>
      <c r="L5" s="29">
        <f ca="1">$F5</f>
        <v>0</v>
      </c>
      <c r="M5" s="29">
        <f ca="1">$G5</f>
        <v>0</v>
      </c>
      <c r="N5" s="29">
        <f ca="1">$H5</f>
        <v>0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0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12</v>
      </c>
      <c r="C6" s="27">
        <v>6</v>
      </c>
      <c r="D6" s="28"/>
      <c r="E6" s="28">
        <f t="shared" ref="E6:E14" ca="1" si="7">IF(J6=J5,"",(J6-J5)-H6)</f>
        <v>29</v>
      </c>
      <c r="F6" s="28">
        <f t="shared" ca="1" si="0"/>
        <v>2</v>
      </c>
      <c r="G6" s="36">
        <f t="shared" ref="G6:G14" ca="1" si="8">IF(E6="","",DZ6-DZ5)</f>
        <v>0</v>
      </c>
      <c r="H6" s="37">
        <f t="shared" ref="H6:H14" ca="1" si="9">IF(C6="","",CZ6-CZ5)</f>
        <v>2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65</v>
      </c>
      <c r="K6" s="28">
        <f t="shared" ref="K6:K14" ca="1" si="11">IF(E6="",K5,K5+$E6)</f>
        <v>63</v>
      </c>
      <c r="L6" s="28">
        <f t="shared" ref="L6:L14" ca="1" si="12">IF(F6="",L5,L5+$F6)</f>
        <v>2</v>
      </c>
      <c r="M6" s="28">
        <f t="shared" ref="M6:M14" ca="1" si="13">IF(G6="",M5,M5+$G6)</f>
        <v>0</v>
      </c>
      <c r="N6" s="28">
        <f t="shared" ref="N6:N14" ca="1" si="14">IF(H6="",N5,N5+$H6)</f>
        <v>2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2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17</v>
      </c>
      <c r="C7" s="27">
        <v>6</v>
      </c>
      <c r="D7" s="28"/>
      <c r="E7" s="28">
        <f t="shared" ca="1" si="7"/>
        <v>20</v>
      </c>
      <c r="F7" s="28">
        <f t="shared" ca="1" si="0"/>
        <v>7</v>
      </c>
      <c r="G7" s="36">
        <f t="shared" ca="1" si="8"/>
        <v>0</v>
      </c>
      <c r="H7" s="37">
        <f t="shared" ca="1" si="9"/>
        <v>7</v>
      </c>
      <c r="I7" s="28"/>
      <c r="J7" s="28">
        <f t="shared" ca="1" si="10"/>
        <v>92</v>
      </c>
      <c r="K7" s="28">
        <f t="shared" ca="1" si="11"/>
        <v>83</v>
      </c>
      <c r="L7" s="28">
        <f t="shared" ca="1" si="12"/>
        <v>9</v>
      </c>
      <c r="M7" s="28">
        <f t="shared" ca="1" si="13"/>
        <v>0</v>
      </c>
      <c r="N7" s="28">
        <f t="shared" ca="1" si="14"/>
        <v>9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9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21</v>
      </c>
      <c r="C8" s="27">
        <v>22</v>
      </c>
      <c r="D8" s="28"/>
      <c r="E8" s="28">
        <f t="shared" ca="1" si="7"/>
        <v>28</v>
      </c>
      <c r="F8" s="28">
        <f t="shared" ca="1" si="0"/>
        <v>2</v>
      </c>
      <c r="G8" s="36">
        <f t="shared" ca="1" si="8"/>
        <v>0</v>
      </c>
      <c r="H8" s="37">
        <f t="shared" ca="1" si="9"/>
        <v>2</v>
      </c>
      <c r="I8" s="28"/>
      <c r="J8" s="28">
        <f t="shared" ca="1" si="10"/>
        <v>122</v>
      </c>
      <c r="K8" s="28">
        <f t="shared" ca="1" si="11"/>
        <v>111</v>
      </c>
      <c r="L8" s="28">
        <f t="shared" ca="1" si="12"/>
        <v>11</v>
      </c>
      <c r="M8" s="28">
        <f t="shared" ca="1" si="13"/>
        <v>0</v>
      </c>
      <c r="N8" s="28">
        <f t="shared" ca="1" si="14"/>
        <v>11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11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26</v>
      </c>
      <c r="C9" s="27">
        <v>16</v>
      </c>
      <c r="D9" s="28"/>
      <c r="E9" s="28">
        <f t="shared" ca="1" si="7"/>
        <v>25</v>
      </c>
      <c r="F9" s="28">
        <f t="shared" ca="1" si="0"/>
        <v>4</v>
      </c>
      <c r="G9" s="36">
        <f t="shared" ca="1" si="8"/>
        <v>0</v>
      </c>
      <c r="H9" s="37">
        <f t="shared" ca="1" si="9"/>
        <v>4</v>
      </c>
      <c r="I9" s="28"/>
      <c r="J9" s="28">
        <f t="shared" ca="1" si="10"/>
        <v>151</v>
      </c>
      <c r="K9" s="28">
        <f t="shared" ca="1" si="11"/>
        <v>136</v>
      </c>
      <c r="L9" s="28">
        <f t="shared" ca="1" si="12"/>
        <v>15</v>
      </c>
      <c r="M9" s="28">
        <f t="shared" ca="1" si="13"/>
        <v>0</v>
      </c>
      <c r="N9" s="28">
        <f t="shared" ca="1" si="14"/>
        <v>15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15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32</v>
      </c>
      <c r="C10" s="27">
        <v>12</v>
      </c>
      <c r="D10" s="28"/>
      <c r="E10" s="28">
        <f t="shared" ca="1" si="7"/>
        <v>30</v>
      </c>
      <c r="F10" s="28">
        <f t="shared" ca="1" si="0"/>
        <v>6</v>
      </c>
      <c r="G10" s="36">
        <f t="shared" ca="1" si="8"/>
        <v>0</v>
      </c>
      <c r="H10" s="37">
        <f t="shared" ca="1" si="9"/>
        <v>6</v>
      </c>
      <c r="I10" s="28"/>
      <c r="J10" s="28">
        <f t="shared" ca="1" si="10"/>
        <v>187</v>
      </c>
      <c r="K10" s="28">
        <f t="shared" ca="1" si="11"/>
        <v>166</v>
      </c>
      <c r="L10" s="28">
        <f t="shared" ca="1" si="12"/>
        <v>21</v>
      </c>
      <c r="M10" s="28">
        <f t="shared" ca="1" si="13"/>
        <v>0</v>
      </c>
      <c r="N10" s="28">
        <f t="shared" ca="1" si="14"/>
        <v>21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21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37</v>
      </c>
      <c r="C11" s="27">
        <v>25</v>
      </c>
      <c r="D11" s="28"/>
      <c r="E11" s="28">
        <f t="shared" ca="1" si="7"/>
        <v>28</v>
      </c>
      <c r="F11" s="28">
        <f t="shared" ca="1" si="0"/>
        <v>4</v>
      </c>
      <c r="G11" s="36">
        <f t="shared" ca="1" si="8"/>
        <v>0</v>
      </c>
      <c r="H11" s="37">
        <f t="shared" ca="1" si="9"/>
        <v>4</v>
      </c>
      <c r="I11" s="28"/>
      <c r="J11" s="28">
        <f t="shared" ca="1" si="10"/>
        <v>219</v>
      </c>
      <c r="K11" s="28">
        <f t="shared" ca="1" si="11"/>
        <v>194</v>
      </c>
      <c r="L11" s="28">
        <f t="shared" ca="1" si="12"/>
        <v>25</v>
      </c>
      <c r="M11" s="28">
        <f t="shared" ca="1" si="13"/>
        <v>0</v>
      </c>
      <c r="N11" s="28">
        <f t="shared" ca="1" si="14"/>
        <v>25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 t="s">
        <v>3</v>
      </c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1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25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40</v>
      </c>
      <c r="C12" s="27">
        <v>25</v>
      </c>
      <c r="D12" s="28"/>
      <c r="E12" s="28">
        <f t="shared" ca="1" si="7"/>
        <v>18</v>
      </c>
      <c r="F12" s="28">
        <f t="shared" ca="1" si="0"/>
        <v>4</v>
      </c>
      <c r="G12" s="36">
        <f t="shared" ca="1" si="8"/>
        <v>0</v>
      </c>
      <c r="H12" s="37">
        <f t="shared" ca="1" si="9"/>
        <v>4</v>
      </c>
      <c r="I12" s="28"/>
      <c r="J12" s="28">
        <f t="shared" ca="1" si="10"/>
        <v>241</v>
      </c>
      <c r="K12" s="28">
        <f t="shared" ca="1" si="11"/>
        <v>212</v>
      </c>
      <c r="L12" s="28">
        <f t="shared" ca="1" si="12"/>
        <v>29</v>
      </c>
      <c r="M12" s="28">
        <f t="shared" ca="1" si="13"/>
        <v>0</v>
      </c>
      <c r="N12" s="28">
        <f t="shared" ca="1" si="14"/>
        <v>29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29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/>
      <c r="C13" s="27"/>
      <c r="D13" s="28"/>
      <c r="E13" s="28" t="str">
        <f t="shared" ca="1" si="7"/>
        <v/>
      </c>
      <c r="F13" s="28" t="str">
        <f t="shared" ca="1" si="0"/>
        <v/>
      </c>
      <c r="G13" s="36" t="str">
        <f t="shared" ca="1" si="8"/>
        <v/>
      </c>
      <c r="H13" s="37" t="str">
        <f t="shared" si="9"/>
        <v/>
      </c>
      <c r="I13" s="28"/>
      <c r="J13" s="28">
        <f t="shared" ca="1" si="10"/>
        <v>241</v>
      </c>
      <c r="K13" s="28">
        <f t="shared" ca="1" si="11"/>
        <v>212</v>
      </c>
      <c r="L13" s="28">
        <f t="shared" ca="1" si="12"/>
        <v>29</v>
      </c>
      <c r="M13" s="28">
        <f t="shared" ca="1" si="13"/>
        <v>0</v>
      </c>
      <c r="N13" s="28">
        <f t="shared" ca="1" si="14"/>
        <v>29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 t="b">
        <f t="shared" ca="1" si="3"/>
        <v>0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 t="b">
        <f t="shared" ca="1" si="6"/>
        <v>0</v>
      </c>
    </row>
    <row r="14" spans="1:130" x14ac:dyDescent="0.25">
      <c r="A14" s="16">
        <v>10</v>
      </c>
      <c r="B14" s="26"/>
      <c r="C14" s="27"/>
      <c r="D14" s="40"/>
      <c r="E14" s="41" t="str">
        <f t="shared" ca="1" si="7"/>
        <v/>
      </c>
      <c r="F14" s="41" t="str">
        <f t="shared" ca="1" si="0"/>
        <v/>
      </c>
      <c r="G14" s="42" t="str">
        <f t="shared" ca="1" si="8"/>
        <v/>
      </c>
      <c r="H14" s="43" t="str">
        <f t="shared" si="9"/>
        <v/>
      </c>
      <c r="I14" s="41"/>
      <c r="J14" s="43">
        <f t="shared" ca="1" si="10"/>
        <v>241</v>
      </c>
      <c r="K14" s="44">
        <f t="shared" ca="1" si="11"/>
        <v>212</v>
      </c>
      <c r="L14" s="44">
        <f t="shared" ca="1" si="12"/>
        <v>29</v>
      </c>
      <c r="M14" s="44">
        <f t="shared" ca="1" si="13"/>
        <v>0</v>
      </c>
      <c r="N14" s="44">
        <f t="shared" ca="1" si="14"/>
        <v>29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 t="s">
        <v>3</v>
      </c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1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 t="b">
        <f t="shared" ca="1" si="3"/>
        <v>0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 t="b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 t="s">
        <v>3</v>
      </c>
      <c r="AS15" s="33" t="s">
        <v>3</v>
      </c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1</v>
      </c>
      <c r="CS15" s="25">
        <f t="shared" si="2"/>
        <v>1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 t="s">
        <v>3</v>
      </c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1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7</v>
      </c>
      <c r="F17" s="50">
        <v>38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 t="s">
        <v>3</v>
      </c>
      <c r="AN17" s="34"/>
      <c r="AO17" s="34"/>
      <c r="AP17" s="34"/>
      <c r="AQ17" s="33"/>
      <c r="AR17" s="34"/>
      <c r="AS17" s="34"/>
      <c r="AT17" s="34"/>
      <c r="AU17" s="33"/>
      <c r="AV17" s="34"/>
      <c r="AW17" s="33"/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1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0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0" t="str">
        <f>IF([1]Ergebnisse!C2="","",[1]Ergebnisse!C2)</f>
        <v>A</v>
      </c>
      <c r="F18" s="71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 t="s">
        <v>3</v>
      </c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 t="s">
        <v>3</v>
      </c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1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1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2">
        <f>IF([1]Ergebnisse!C8="","",[1]Ergebnisse!C8)</f>
        <v>44844</v>
      </c>
      <c r="F19" s="73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 t="s">
        <v>3</v>
      </c>
      <c r="AG20" s="34"/>
      <c r="AH20" s="34"/>
      <c r="AI20" s="34"/>
      <c r="AJ20" s="33" t="s">
        <v>3</v>
      </c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1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1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7.6333333333333329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12.033195020746888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27.772925764192141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 t="s">
        <v>3</v>
      </c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1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3.7991266375545854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 t="s">
        <v>3</v>
      </c>
      <c r="AV25" s="34"/>
      <c r="AW25" s="34"/>
      <c r="AX25" s="34"/>
      <c r="AY25" s="39" t="s">
        <v>3</v>
      </c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1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1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3.7991266375545854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 t="s">
        <v>3</v>
      </c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1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/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0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20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34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14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 t="s">
        <v>3</v>
      </c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1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2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2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 t="s">
        <v>3</v>
      </c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 t="s">
        <v>3</v>
      </c>
      <c r="AP33" s="33"/>
      <c r="AQ33" s="34"/>
      <c r="AR33" s="33" t="s">
        <v>3</v>
      </c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1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1</v>
      </c>
      <c r="CP33" s="25">
        <f t="shared" si="15"/>
        <v>0</v>
      </c>
      <c r="CQ33" s="25">
        <f t="shared" si="2"/>
        <v>0</v>
      </c>
      <c r="CR33" s="25">
        <f t="shared" si="2"/>
        <v>1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2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 t="s">
        <v>3</v>
      </c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1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2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 t="s">
        <v>3</v>
      </c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1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 t="s">
        <v>3</v>
      </c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1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2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 t="s">
        <v>3</v>
      </c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 t="s">
        <v>3</v>
      </c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1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1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2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 t="s">
        <v>3</v>
      </c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1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74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 t="s">
        <v>3</v>
      </c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 t="s">
        <v>3</v>
      </c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1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1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74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 t="s">
        <v>3</v>
      </c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1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 t="s">
        <v>3</v>
      </c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1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42:X42"/>
    <mergeCell ref="B33:X33"/>
    <mergeCell ref="B34:X34"/>
    <mergeCell ref="B35:X35"/>
    <mergeCell ref="B37:X37"/>
    <mergeCell ref="B38:X38"/>
    <mergeCell ref="B41:X41"/>
    <mergeCell ref="B32:X32"/>
    <mergeCell ref="B2:F2"/>
    <mergeCell ref="L2:N2"/>
    <mergeCell ref="B3:C3"/>
    <mergeCell ref="E18:F18"/>
    <mergeCell ref="E19:F19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scale="8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552E3-D6FA-43E0-872E-9D63545373EE}">
  <dimension ref="A1:Y39"/>
  <sheetViews>
    <sheetView zoomScale="50" zoomScaleNormal="50" workbookViewId="0">
      <selection activeCell="Z39" sqref="Z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 t="str">
        <f>T2B!AO11</f>
        <v>a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 t="str">
        <f>T2B!AO14</f>
        <v>a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 t="str">
        <f>T2B!AR15</f>
        <v>a</v>
      </c>
      <c r="S11" t="str">
        <f>T2B!AS15</f>
        <v>a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 t="str">
        <f>T2B!AF16</f>
        <v>a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 t="str">
        <f>T2B!AM17</f>
        <v>a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 t="str">
        <f>T2B!AG18</f>
        <v>a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 t="str">
        <f>T2B!AV18</f>
        <v>a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 t="str">
        <f>T2B!AF20</f>
        <v>a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 t="str">
        <f>T2B!AP23</f>
        <v>a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 t="str">
        <f>T2B!AU25</f>
        <v>a</v>
      </c>
      <c r="V21">
        <f>T2B!AV25</f>
        <v>0</v>
      </c>
      <c r="W21">
        <f>T2B!AW25</f>
        <v>0</v>
      </c>
      <c r="X21">
        <f>T2B!AX25</f>
        <v>0</v>
      </c>
      <c r="Y21" t="str">
        <f>T2B!AY25</f>
        <v>a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 t="str">
        <f>T2B!AU26</f>
        <v>a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>
        <f>T2B!AT27</f>
        <v>0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 t="str">
        <f>T2B!AR31</f>
        <v>a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 t="str">
        <f>T2B!AA33</f>
        <v>a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 t="str">
        <f>T2B!AO33</f>
        <v>a</v>
      </c>
      <c r="P29">
        <f>T2B!AP33</f>
        <v>0</v>
      </c>
      <c r="Q29">
        <f>T2B!AQ33</f>
        <v>0</v>
      </c>
      <c r="R29" t="str">
        <f>T2B!AR33</f>
        <v>a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 t="str">
        <f>T2B!AI35</f>
        <v>a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 t="str">
        <f>T2B!AX36</f>
        <v>a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 t="str">
        <f>T2B!AC37</f>
        <v>a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 t="str">
        <f>T2B!AW37</f>
        <v>a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 t="str">
        <f>T2B!AK38</f>
        <v>a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 t="str">
        <f>T2B!AF41</f>
        <v>a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 t="str">
        <f>T2B!AQ41</f>
        <v>a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 t="str">
        <f>T2B!AA42</f>
        <v>a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 t="str">
        <f>T2B!AW43</f>
        <v>a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2023-02-06T11:49:40Z</dcterms:created>
  <dcterms:modified xsi:type="dcterms:W3CDTF">2023-03-21T16:17:32Z</dcterms:modified>
</cp:coreProperties>
</file>