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27" documentId="8_{4F05B390-886D-4E11-8900-52494AE976CA}" xr6:coauthVersionLast="47" xr6:coauthVersionMax="47" xr10:uidLastSave="{612B0462-B002-438D-A00F-6197B1DAC858}"/>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14" i="13"/>
  <c r="DZ14" i="13"/>
  <c r="CZ11" i="13"/>
  <c r="DZ8" i="13"/>
  <c r="DZ13" i="13"/>
  <c r="DZ12" i="13"/>
  <c r="CZ9" i="13"/>
  <c r="CZ12" i="13"/>
  <c r="DZ9" i="13"/>
  <c r="CZ10" i="13"/>
  <c r="DZ6" i="13"/>
  <c r="CZ7" i="13"/>
  <c r="CZ13" i="13"/>
  <c r="CZ5" i="13"/>
  <c r="DZ10" i="13"/>
  <c r="CZ8" i="13"/>
  <c r="J5" i="13"/>
  <c r="DZ5" i="13"/>
  <c r="DZ11" i="13"/>
  <c r="DZ7" i="13"/>
  <c r="CZ6"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I32"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I60" i="1"/>
  <c r="I188" i="1"/>
  <c r="J125" i="1"/>
  <c r="K137" i="1"/>
  <c r="K188" i="1"/>
  <c r="K125" i="1"/>
  <c r="L60" i="1"/>
  <c r="L189" i="1"/>
  <c r="L188" i="1"/>
  <c r="J182"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E29" i="13"/>
  <c r="E30" i="13" l="1"/>
  <c r="F116" i="1" s="1"/>
  <c r="T1131" i="1" s="1"/>
  <c r="S1131" i="1" s="1"/>
  <c r="H116" i="1" s="1"/>
  <c r="L116" i="1" s="1"/>
  <c r="K115" i="1"/>
  <c r="I115" i="1"/>
  <c r="J115" i="1"/>
  <c r="L115" i="1"/>
  <c r="J114" i="1"/>
  <c r="K114" i="1"/>
  <c r="I114" i="1"/>
  <c r="L114" i="1"/>
  <c r="J111" i="1"/>
  <c r="K111" i="1"/>
  <c r="I111" i="1"/>
  <c r="L111" i="1"/>
  <c r="L113" i="1"/>
  <c r="I113" i="1"/>
  <c r="K113" i="1"/>
  <c r="J113" i="1"/>
  <c r="J116" i="1" l="1"/>
  <c r="I116" i="1"/>
  <c r="K116" i="1"/>
</calcChain>
</file>

<file path=xl/sharedStrings.xml><?xml version="1.0" encoding="utf-8"?>
<sst xmlns="http://schemas.openxmlformats.org/spreadsheetml/2006/main" count="2035" uniqueCount="400">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</sst>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28619" y="447472"/>
          <a:ext cx="2058704" cy="312092"/>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2"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2"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59"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9</v>
      </c>
      <c r="D5" s="22"/>
      <c r="E5" s="126">
        <f ca="1">IF(C5="","",J5-H5)</f>
        <v>23</v>
      </c>
      <c r="F5" s="126">
        <f t="shared" ref="F5:F14" ca="1" si="0">IF(E5="","",G5+H5)</f>
        <v>1</v>
      </c>
      <c r="G5" s="128">
        <f ca="1">IF(E5="","",DZ5)</f>
        <v>0</v>
      </c>
      <c r="H5" s="129">
        <f ca="1">IF(C5="","",CZ5)</f>
        <v>1</v>
      </c>
      <c r="I5" s="126"/>
      <c r="J5" s="126">
        <f ca="1">IF(AND($B5&gt;=1,$B5&lt;=40,$C5&gt;=1,$C5&lt;=25),IF($B5&gt;1,SUM(INDIRECT("BA4:BY"&amp;($B5+2))),0)+SUM(INDIRECT("BA"&amp;($B5+3)&amp;":B"&amp;CHAR(64+$C5)&amp;($B5+3))),0)</f>
        <v>24</v>
      </c>
      <c r="K5" s="126">
        <f ca="1">$E5</f>
        <v>23</v>
      </c>
      <c r="L5" s="126">
        <f ca="1">$F5</f>
        <v>1</v>
      </c>
      <c r="M5" s="126">
        <f ca="1">$G5</f>
        <v>0</v>
      </c>
      <c r="N5" s="126">
        <f ca="1">$H5</f>
        <v>1</v>
      </c>
      <c r="O5" s="6"/>
      <c r="P5" s="6"/>
      <c r="Q5" s="6"/>
      <c r="R5" s="6"/>
      <c r="S5" s="6"/>
      <c r="T5" s="6"/>
      <c r="U5" s="6"/>
      <c r="V5" s="6"/>
      <c r="W5" s="6"/>
      <c r="X5" s="6"/>
      <c r="Y5" s="119"/>
      <c r="Z5" s="34">
        <v>2</v>
      </c>
      <c r="AA5" s="40"/>
      <c r="AB5" s="41" t="s">
        <v>397</v>
      </c>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1</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1</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3</v>
      </c>
      <c r="D6" s="22"/>
      <c r="E6" s="22">
        <f t="shared" ref="E6:E14" ca="1" si="53">IF(J6=J5,"",(J6-J5)-H6)</f>
        <v>23</v>
      </c>
      <c r="F6" s="22">
        <f t="shared" ca="1" si="0"/>
        <v>1</v>
      </c>
      <c r="G6" s="130">
        <f t="shared" ref="G6:G14" ca="1" si="54">IF(E6="","",DZ6-DZ5)</f>
        <v>0</v>
      </c>
      <c r="H6" s="131">
        <f t="shared" ref="H6:H14" ca="1" si="55">IF(C6="","",CZ6-CZ5)</f>
        <v>1</v>
      </c>
      <c r="I6" s="22"/>
      <c r="J6" s="22">
        <f t="shared" ref="J6:J14" ca="1" si="56">IF(AND($B6&gt;=1,$B6&lt;=40,$C6&gt;=1,$C6&lt;=25),IF($B6&gt;1,SUM(INDIRECT("BA4:BY" &amp; ($B6 +2))),0)+SUM(INDIRECT("BA" &amp; ($B6+3) &amp; ":B" &amp; CHAR(64+$C6) &amp; ($B6+3))),J5)</f>
        <v>48</v>
      </c>
      <c r="K6" s="22">
        <f t="shared" ref="K6:K14" ca="1" si="57">IF(E6="",K5,K5+$E6)</f>
        <v>46</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9</v>
      </c>
      <c r="D7" s="22"/>
      <c r="E7" s="22">
        <f t="shared" ca="1" si="53"/>
        <v>22</v>
      </c>
      <c r="F7" s="22">
        <f t="shared" ca="1" si="0"/>
        <v>2</v>
      </c>
      <c r="G7" s="130">
        <f t="shared" ca="1" si="54"/>
        <v>0</v>
      </c>
      <c r="H7" s="131">
        <f t="shared" ca="1" si="55"/>
        <v>2</v>
      </c>
      <c r="I7" s="22"/>
      <c r="J7" s="22">
        <f t="shared" ca="1" si="56"/>
        <v>72</v>
      </c>
      <c r="K7" s="22">
        <f t="shared" ca="1" si="57"/>
        <v>68</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17</v>
      </c>
      <c r="C8" s="39">
        <v>20</v>
      </c>
      <c r="D8" s="22"/>
      <c r="E8" s="22">
        <f t="shared" ca="1" si="53"/>
        <v>23</v>
      </c>
      <c r="F8" s="22">
        <f t="shared" ca="1" si="0"/>
        <v>1</v>
      </c>
      <c r="G8" s="130">
        <f t="shared" ca="1" si="54"/>
        <v>0</v>
      </c>
      <c r="H8" s="131">
        <f t="shared" ca="1" si="55"/>
        <v>1</v>
      </c>
      <c r="I8" s="22"/>
      <c r="J8" s="22">
        <f t="shared" ca="1" si="56"/>
        <v>96</v>
      </c>
      <c r="K8" s="22">
        <f t="shared" ca="1" si="57"/>
        <v>91</v>
      </c>
      <c r="L8" s="22">
        <f t="shared" ca="1" si="58"/>
        <v>5</v>
      </c>
      <c r="M8" s="22">
        <f t="shared" ca="1" si="59"/>
        <v>0</v>
      </c>
      <c r="N8" s="22">
        <f t="shared" ca="1" si="60"/>
        <v>5</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t="s">
        <v>397</v>
      </c>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1</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5</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21</v>
      </c>
      <c r="C9" s="39">
        <v>20</v>
      </c>
      <c r="D9" s="22"/>
      <c r="E9" s="22">
        <f t="shared" ca="1" si="53"/>
        <v>21</v>
      </c>
      <c r="F9" s="22">
        <f t="shared" ca="1" si="0"/>
        <v>4</v>
      </c>
      <c r="G9" s="130">
        <f t="shared" ca="1" si="54"/>
        <v>0</v>
      </c>
      <c r="H9" s="131">
        <f t="shared" ca="1" si="55"/>
        <v>4</v>
      </c>
      <c r="I9" s="22"/>
      <c r="J9" s="22">
        <f t="shared" ca="1" si="56"/>
        <v>121</v>
      </c>
      <c r="K9" s="22">
        <f t="shared" ca="1" si="57"/>
        <v>112</v>
      </c>
      <c r="L9" s="22">
        <f t="shared" ca="1" si="58"/>
        <v>9</v>
      </c>
      <c r="M9" s="22">
        <f t="shared" ca="1" si="59"/>
        <v>0</v>
      </c>
      <c r="N9" s="22">
        <f t="shared" ca="1" si="60"/>
        <v>9</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9</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26</v>
      </c>
      <c r="C10" s="39">
        <v>1</v>
      </c>
      <c r="D10" s="22"/>
      <c r="E10" s="22">
        <f t="shared" ca="1" si="53"/>
        <v>24</v>
      </c>
      <c r="F10" s="22">
        <f t="shared" ca="1" si="0"/>
        <v>1</v>
      </c>
      <c r="G10" s="130">
        <f t="shared" ca="1" si="54"/>
        <v>0</v>
      </c>
      <c r="H10" s="131">
        <f t="shared" ca="1" si="55"/>
        <v>1</v>
      </c>
      <c r="I10" s="22"/>
      <c r="J10" s="22">
        <f t="shared" ca="1" si="56"/>
        <v>146</v>
      </c>
      <c r="K10" s="22">
        <f t="shared" ca="1" si="57"/>
        <v>136</v>
      </c>
      <c r="L10" s="22">
        <f t="shared" ca="1" si="58"/>
        <v>10</v>
      </c>
      <c r="M10" s="22">
        <f t="shared" ca="1" si="59"/>
        <v>0</v>
      </c>
      <c r="N10" s="22">
        <f t="shared" ca="1" si="60"/>
        <v>10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30</v>
      </c>
      <c r="C11" s="39">
        <v>22</v>
      </c>
      <c r="D11" s="22"/>
      <c r="E11" s="22">
        <f t="shared" ca="1" si="53"/>
        <v>31</v>
      </c>
      <c r="F11" s="22">
        <f t="shared" ca="1" si="0"/>
        <v>2</v>
      </c>
      <c r="G11" s="130">
        <f t="shared" ca="1" si="54"/>
        <v>0</v>
      </c>
      <c r="H11" s="131">
        <f t="shared" ca="1" si="55"/>
        <v>2</v>
      </c>
      <c r="I11" s="22"/>
      <c r="J11" s="22">
        <f t="shared" ca="1" si="56"/>
        <v>179</v>
      </c>
      <c r="K11" s="22">
        <f t="shared" ca="1" si="57"/>
        <v>167</v>
      </c>
      <c r="L11" s="22">
        <f t="shared" ca="1" si="58"/>
        <v>12</v>
      </c>
      <c r="M11" s="22">
        <f t="shared" ca="1" si="59"/>
        <v>0</v>
      </c>
      <c r="N11" s="22">
        <f t="shared" ca="1" si="60"/>
        <v>12</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12</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35</v>
      </c>
      <c r="C12" s="39">
        <v>22</v>
      </c>
      <c r="D12" s="22"/>
      <c r="E12" s="22">
        <f t="shared" ca="1" si="53"/>
        <v>27</v>
      </c>
      <c r="F12" s="22">
        <f t="shared" ca="1" si="0"/>
        <v>5</v>
      </c>
      <c r="G12" s="130">
        <f t="shared" ca="1" si="54"/>
        <v>0</v>
      </c>
      <c r="H12" s="131">
        <f t="shared" ca="1" si="55"/>
        <v>5</v>
      </c>
      <c r="I12" s="22"/>
      <c r="J12" s="22">
        <f t="shared" ca="1" si="56"/>
        <v>211</v>
      </c>
      <c r="K12" s="22">
        <f t="shared" ca="1" si="57"/>
        <v>194</v>
      </c>
      <c r="L12" s="22">
        <f t="shared" ca="1" si="58"/>
        <v>17</v>
      </c>
      <c r="M12" s="22">
        <f t="shared" ca="1" si="59"/>
        <v>0</v>
      </c>
      <c r="N12" s="22">
        <f t="shared" ca="1" si="60"/>
        <v>17</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17</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40</v>
      </c>
      <c r="C13" s="39">
        <v>25</v>
      </c>
      <c r="D13" s="22"/>
      <c r="E13" s="22">
        <f t="shared" ca="1" si="53"/>
        <v>27</v>
      </c>
      <c r="F13" s="22">
        <f t="shared" ca="1" si="0"/>
        <v>3</v>
      </c>
      <c r="G13" s="130">
        <f t="shared" ca="1" si="54"/>
        <v>0</v>
      </c>
      <c r="H13" s="131">
        <f t="shared" ca="1" si="55"/>
        <v>3</v>
      </c>
      <c r="I13" s="22"/>
      <c r="J13" s="22">
        <f t="shared" ca="1" si="56"/>
        <v>241</v>
      </c>
      <c r="K13" s="22">
        <f t="shared" ca="1" si="57"/>
        <v>221</v>
      </c>
      <c r="L13" s="22">
        <f t="shared" ca="1" si="58"/>
        <v>20</v>
      </c>
      <c r="M13" s="22">
        <f t="shared" ca="1" si="59"/>
        <v>0</v>
      </c>
      <c r="N13" s="22">
        <f t="shared" ca="1" si="60"/>
        <v>20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20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c r="C14" s="39"/>
      <c r="D14" s="46"/>
      <c r="E14" s="47" t="str">
        <f t="shared" ca="1" si="53"/>
        <v/>
      </c>
      <c r="F14" s="47" t="str">
        <f t="shared" ca="1" si="0"/>
        <v/>
      </c>
      <c r="G14" s="48" t="str">
        <f t="shared" ca="1" si="54"/>
        <v/>
      </c>
      <c r="H14" s="49" t="str">
        <f t="shared" si="55"/>
        <v/>
      </c>
      <c r="I14" s="47"/>
      <c r="J14" s="49">
        <f t="shared" ca="1" si="56"/>
        <v>241</v>
      </c>
      <c r="K14" s="127">
        <f t="shared" ca="1" si="57"/>
        <v>221</v>
      </c>
      <c r="L14" s="127">
        <f t="shared" ca="1" si="58"/>
        <v>20</v>
      </c>
      <c r="M14" s="127">
        <f t="shared" ca="1" si="59"/>
        <v>0</v>
      </c>
      <c r="N14" s="127">
        <f t="shared" ca="1" si="60"/>
        <v>20</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t="s">
        <v>397</v>
      </c>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1</v>
      </c>
      <c r="CZ14" s="36" t="b">
        <f t="shared" ca="1" si="26"/>
        <v>0</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t="b">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t="s">
        <v>397</v>
      </c>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1</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1</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t="s">
        <v>397</v>
      </c>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1</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9.0166666666666675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t="s">
        <v>397</v>
      </c>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1</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8.2987551867219924</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24.510166358595193</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2.2181146025878</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t="s">
        <v>397</v>
      </c>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1</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2.2181146025878</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21</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31</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t="s">
        <v>397</v>
      </c>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1</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t="s">
        <v>397</v>
      </c>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t="s">
        <v>397</v>
      </c>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1</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t="s">
        <v>397</v>
      </c>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1</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t="s">
        <v>397</v>
      </c>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1</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t="s">
        <v>397</v>
      </c>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1</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t="s">
        <v>397</v>
      </c>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1</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t="s">
        <v>397</v>
      </c>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1</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t="s">
        <v>397</v>
      </c>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1</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61CDF-74DE-4ABB-9DFE-4C8A7A49650F}">
  <dimension ref="A1:Y39"/>
  <sheetViews>
    <sheetView topLeftCell="A33" workbookViewId="0">
      <selection sqref="A1:Y39"/>
    </sheetView>
  </sheetViews>
  <sheetFormatPr baseColWidth="10" defaultRowHeight="12.55" x14ac:dyDescent="0.2"/>
  <sheetData>
    <row r="1" spans="1:25" x14ac:dyDescent="0.2">
      <c r="A1">
        <f>T2B!AA5</f>
        <v>0</v>
      </c>
      <c r="B1" t="str">
        <f>T2B!AB5</f>
        <v>a</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t="str">
        <f>T2B!AY14</f>
        <v>a</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t="str">
        <f>T2B!AP15</f>
        <v>a</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t="str">
        <f>T2B!AU17</f>
        <v>a</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t="str">
        <f>T2B!AQ21</f>
        <v>a</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t="str">
        <f>T2B!AV22</f>
        <v>a</v>
      </c>
      <c r="W18" t="str">
        <f>T2B!AW22</f>
        <v>a</v>
      </c>
      <c r="X18">
        <f>T2B!AX22</f>
        <v>0</v>
      </c>
      <c r="Y18">
        <f>T2B!AY22</f>
        <v>0</v>
      </c>
    </row>
    <row r="19" spans="1:25" x14ac:dyDescent="0.2">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t="str">
        <f>T2B!AU25</f>
        <v>a</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t="str">
        <f>T2B!AJ30</f>
        <v>a</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t="str">
        <f>T2B!AO33</f>
        <v>a</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t="str">
        <f>T2B!AI35</f>
        <v>a</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
      <c r="A32">
        <f>T2B!AA36</f>
        <v>0</v>
      </c>
      <c r="B32">
        <f>T2B!AB36</f>
        <v>0</v>
      </c>
      <c r="C32">
        <f>T2B!AC36</f>
        <v>0</v>
      </c>
      <c r="D32">
        <f>T2B!AD36</f>
        <v>0</v>
      </c>
      <c r="E32">
        <f>T2B!AE36</f>
        <v>0</v>
      </c>
      <c r="F32">
        <f>T2B!AF36</f>
        <v>0</v>
      </c>
      <c r="G32">
        <f>T2B!AG36</f>
        <v>0</v>
      </c>
      <c r="H32" t="str">
        <f>T2B!AH36</f>
        <v>a</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t="str">
        <f>T2B!AC37</f>
        <v>a</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t="str">
        <f>T2B!AO38</f>
        <v>a</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t="str">
        <f>T2B!AM40</f>
        <v>a</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t="str">
        <f>T2B!AL41</f>
        <v>a</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t="str">
        <f>T2B!AN42</f>
        <v>a</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2023-03-21T16:34:37Z</dcterms:modified>
</cp:coreProperties>
</file>