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10" documentId="8_{B08FC0C1-16D5-475C-8AE4-E1E9DC8FB337}" xr6:coauthVersionLast="47" xr6:coauthVersionMax="47" xr10:uidLastSave="{6E5D63AC-E318-461C-9AC0-37E405D47028}"/>
  <bookViews>
    <workbookView xWindow="-113" yWindow="-113" windowWidth="24267" windowHeight="13749"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11" i="13"/>
  <c r="CZ7" i="13"/>
  <c r="J5" i="13"/>
  <c r="DZ13" i="13"/>
  <c r="CZ8" i="13"/>
  <c r="DZ7" i="13"/>
  <c r="DZ5" i="13"/>
  <c r="DZ9" i="13"/>
  <c r="CZ6" i="13"/>
  <c r="CZ12" i="13"/>
  <c r="CZ5" i="13"/>
  <c r="CZ13" i="13"/>
  <c r="DZ12" i="13"/>
  <c r="DZ10" i="13"/>
  <c r="DZ8" i="13"/>
  <c r="DZ6" i="13"/>
  <c r="CZ10" i="13"/>
  <c r="CZ14" i="13"/>
  <c r="CZ9" i="13"/>
  <c r="DZ11" i="13"/>
  <c r="DZ14"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M185" i="1"/>
  <c r="J185"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J182"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88" i="1"/>
  <c r="K188" i="1"/>
  <c r="L162" i="1"/>
  <c r="J162" i="1"/>
  <c r="I162" i="1"/>
  <c r="K162" i="1"/>
  <c r="I152" i="1"/>
  <c r="L152" i="1"/>
  <c r="J152" i="1"/>
  <c r="K152" i="1"/>
  <c r="J57" i="1"/>
  <c r="K57" i="1"/>
  <c r="L57" i="1"/>
  <c r="I57" i="1"/>
  <c r="J175" i="1"/>
  <c r="L175" i="1"/>
  <c r="I175" i="1"/>
  <c r="K175" i="1"/>
  <c r="P1101" i="1"/>
  <c r="O1101" i="1"/>
  <c r="S1175" i="1"/>
  <c r="H168" i="1" s="1"/>
  <c r="J52" i="1"/>
  <c r="K52" i="1"/>
  <c r="I52" i="1"/>
  <c r="L52"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H183" i="1"/>
  <c r="S1189" i="1"/>
  <c r="S1168" i="1"/>
  <c r="H160" i="1" s="1"/>
  <c r="S1158" i="1"/>
  <c r="H149" i="1" s="1"/>
  <c r="S1162" i="1"/>
  <c r="H153" i="1" s="1"/>
  <c r="S1098" i="1"/>
  <c r="H76" i="1" s="1"/>
  <c r="K46" i="1"/>
  <c r="L46" i="1"/>
  <c r="J46" i="1"/>
  <c r="I46" i="1"/>
  <c r="J24" i="1"/>
  <c r="S1157" i="1"/>
  <c r="H148" i="1" s="1"/>
  <c r="S1144" i="1"/>
  <c r="H132" i="1" s="1"/>
  <c r="H73" i="1"/>
  <c r="S1095" i="1"/>
  <c r="J7" i="13"/>
  <c r="L189" i="1" l="1"/>
  <c r="J187" i="1"/>
  <c r="I18" i="1"/>
  <c r="K24" i="1"/>
  <c r="K50" i="1"/>
  <c r="L125" i="1"/>
  <c r="L50" i="1"/>
  <c r="J125" i="1"/>
  <c r="L60" i="1"/>
  <c r="I188" i="1"/>
  <c r="K125" i="1"/>
  <c r="K186" i="1"/>
  <c r="L49" i="1"/>
  <c r="K137" i="1"/>
  <c r="I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I116" i="1" l="1"/>
  <c r="K116" i="1"/>
  <c r="J116" i="1"/>
</calcChain>
</file>

<file path=xl/sharedStrings.xml><?xml version="1.0" encoding="utf-8"?>
<sst xmlns="http://schemas.openxmlformats.org/spreadsheetml/2006/main" count="2019" uniqueCount="400">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</sst>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940956" y="453736"/>
          <a:ext cx="2059464" cy="303930"/>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15" customHeight="1" x14ac:dyDescent="0.2"/>
    <row r="2" spans="2:16" ht="20.05"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05" customHeight="1" x14ac:dyDescent="0.2">
      <c r="B8" s="188" t="s">
        <v>8</v>
      </c>
      <c r="C8" s="189"/>
      <c r="D8" s="229"/>
      <c r="E8" s="229"/>
      <c r="F8" s="308"/>
      <c r="G8" s="308"/>
      <c r="H8" s="308"/>
      <c r="I8" s="5"/>
      <c r="J8" s="4" t="s">
        <v>9</v>
      </c>
      <c r="K8" s="3"/>
      <c r="L8" s="3"/>
      <c r="M8" s="82"/>
    </row>
    <row r="9" spans="2:16" ht="30.05" customHeight="1" x14ac:dyDescent="0.2">
      <c r="B9" s="112"/>
      <c r="C9" s="113"/>
      <c r="D9" s="113"/>
      <c r="E9" s="235">
        <f>(C8-C7)/365.25</f>
        <v>0</v>
      </c>
      <c r="F9" s="299" t="s">
        <v>395</v>
      </c>
      <c r="G9" s="300"/>
      <c r="H9" s="300"/>
      <c r="I9" s="300"/>
      <c r="J9" s="300"/>
      <c r="K9" s="300"/>
      <c r="L9" s="300"/>
      <c r="M9" s="301"/>
    </row>
    <row r="10" spans="2:16" ht="19.600000000000001"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55" x14ac:dyDescent="0.25">
      <c r="B11" s="243" t="s">
        <v>17</v>
      </c>
      <c r="C11" s="244"/>
      <c r="D11" s="244"/>
      <c r="E11" s="244"/>
      <c r="F11" s="245"/>
      <c r="G11" s="246"/>
      <c r="H11" s="246"/>
      <c r="I11" s="246"/>
      <c r="J11" s="246"/>
      <c r="K11" s="246"/>
      <c r="L11" s="246"/>
      <c r="M11" s="247"/>
    </row>
    <row r="12" spans="2:16" ht="8.15" customHeight="1" x14ac:dyDescent="0.2">
      <c r="B12" s="84"/>
      <c r="C12" s="193"/>
      <c r="D12" s="193"/>
      <c r="E12" s="193"/>
      <c r="F12" s="305" t="s">
        <v>394</v>
      </c>
      <c r="G12" s="298"/>
      <c r="H12" s="298"/>
      <c r="I12" s="298"/>
      <c r="J12" s="298"/>
      <c r="K12" s="298"/>
      <c r="L12" s="298"/>
      <c r="M12" s="306"/>
    </row>
    <row r="13" spans="2:16" ht="13.15" x14ac:dyDescent="0.2">
      <c r="B13" s="134" t="s">
        <v>313</v>
      </c>
      <c r="C13" s="8"/>
      <c r="D13" s="8"/>
      <c r="E13" s="8"/>
      <c r="F13" s="292"/>
      <c r="G13" s="292"/>
      <c r="H13" s="292"/>
      <c r="I13" s="292"/>
      <c r="J13" s="292"/>
      <c r="K13" s="292"/>
      <c r="L13" s="292"/>
      <c r="M13" s="293"/>
    </row>
    <row r="14" spans="2:16" ht="13.15"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ht="13.15" x14ac:dyDescent="0.25">
      <c r="B15" s="62"/>
      <c r="C15" s="294" t="s">
        <v>20</v>
      </c>
      <c r="D15" s="295"/>
      <c r="E15" s="296"/>
      <c r="F15" s="242" t="e">
        <f>IF(#REF!="","",#REF!)</f>
        <v>#REF!</v>
      </c>
      <c r="G15" s="97"/>
      <c r="H15" s="100"/>
      <c r="I15" s="10"/>
      <c r="J15" s="11"/>
      <c r="K15" s="11"/>
      <c r="L15" s="10"/>
      <c r="M15" s="12"/>
      <c r="N15" s="236"/>
    </row>
    <row r="16" spans="2:16" ht="13.15"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15"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15"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15"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15"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15"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15"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15"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15"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15"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15"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15"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15"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15"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15"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15"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15"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25">
      <c r="B33" s="84"/>
      <c r="C33" s="13"/>
      <c r="D33" s="13"/>
      <c r="E33" s="13"/>
      <c r="F33" s="190"/>
      <c r="G33" s="85"/>
      <c r="H33" s="85"/>
      <c r="I33" s="85"/>
      <c r="J33" s="85"/>
      <c r="K33" s="85"/>
      <c r="L33" s="85"/>
      <c r="M33" s="14"/>
      <c r="N33" s="236"/>
    </row>
    <row r="34" spans="2:14" ht="13.15" x14ac:dyDescent="0.2">
      <c r="B34" s="134" t="s">
        <v>353</v>
      </c>
      <c r="C34" s="8"/>
      <c r="D34" s="8"/>
      <c r="E34" s="8"/>
      <c r="F34" s="83"/>
      <c r="G34" s="9"/>
      <c r="H34" s="86"/>
      <c r="I34" s="87"/>
      <c r="J34" s="88"/>
      <c r="K34" s="88"/>
      <c r="L34" s="87"/>
      <c r="M34" s="89"/>
      <c r="N34" s="236"/>
    </row>
    <row r="35" spans="2:14" ht="13.15"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ht="13.15" x14ac:dyDescent="0.25">
      <c r="B36" s="62"/>
      <c r="C36" s="294" t="s">
        <v>20</v>
      </c>
      <c r="D36" s="295"/>
      <c r="E36" s="296"/>
      <c r="F36" s="259" t="e">
        <f>IF(#REF!="","",#REF!)</f>
        <v>#REF!</v>
      </c>
      <c r="G36" s="97"/>
      <c r="H36" s="100"/>
      <c r="I36" s="10"/>
      <c r="J36" s="11"/>
      <c r="K36" s="11"/>
      <c r="L36" s="10"/>
      <c r="M36" s="66"/>
      <c r="N36" s="236"/>
    </row>
    <row r="37" spans="2:14" ht="13.15"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15"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15"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15"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25">
      <c r="B41" s="84"/>
      <c r="C41" s="13"/>
      <c r="D41" s="13"/>
      <c r="E41" s="13"/>
      <c r="F41" s="190"/>
      <c r="G41" s="85"/>
      <c r="H41" s="85"/>
      <c r="I41" s="85"/>
      <c r="J41" s="85"/>
      <c r="K41" s="85"/>
      <c r="L41" s="85"/>
      <c r="M41" s="14"/>
      <c r="N41" s="236"/>
    </row>
    <row r="42" spans="2:14" ht="13.15" x14ac:dyDescent="0.2">
      <c r="B42" s="134" t="s">
        <v>40</v>
      </c>
      <c r="C42" s="8"/>
      <c r="D42" s="8"/>
      <c r="E42" s="8"/>
      <c r="F42" s="83"/>
      <c r="G42" s="9"/>
      <c r="H42" s="86"/>
      <c r="I42" s="87"/>
      <c r="J42" s="88"/>
      <c r="K42" s="88"/>
      <c r="L42" s="87"/>
      <c r="M42" s="89"/>
      <c r="N42" s="236"/>
    </row>
    <row r="43" spans="2:14" ht="13.15"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ht="13.15" x14ac:dyDescent="0.25">
      <c r="B44" s="62"/>
      <c r="C44" s="294" t="s">
        <v>20</v>
      </c>
      <c r="D44" s="295"/>
      <c r="E44" s="296"/>
      <c r="F44" s="259" t="e">
        <f>IF(#REF!="","",#REF!)</f>
        <v>#REF!</v>
      </c>
      <c r="G44" s="97"/>
      <c r="H44" s="100"/>
      <c r="I44" s="10"/>
      <c r="J44" s="11"/>
      <c r="K44" s="11"/>
      <c r="L44" s="10"/>
      <c r="M44" s="66"/>
      <c r="N44" s="236"/>
    </row>
    <row r="45" spans="2:14" ht="13.15"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15"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15"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15"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15"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15"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15"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15"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15"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15"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15"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15"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15"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15"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15"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15"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15"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15"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15"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25">
      <c r="B64" s="84"/>
      <c r="C64" s="13"/>
      <c r="D64" s="13"/>
      <c r="E64" s="13"/>
      <c r="F64" s="190"/>
      <c r="G64" s="85"/>
      <c r="H64" s="85"/>
      <c r="I64" s="85"/>
      <c r="J64" s="85"/>
      <c r="K64" s="85"/>
      <c r="L64" s="85"/>
      <c r="M64" s="14"/>
      <c r="N64" s="236"/>
    </row>
    <row r="65" spans="2:14" ht="13.15" x14ac:dyDescent="0.2">
      <c r="B65" s="134" t="s">
        <v>43</v>
      </c>
      <c r="C65" s="8"/>
      <c r="D65" s="8"/>
      <c r="E65" s="8"/>
      <c r="F65" s="83"/>
      <c r="G65" s="9"/>
      <c r="H65" s="86"/>
      <c r="I65" s="87"/>
      <c r="J65" s="88"/>
      <c r="K65" s="88"/>
      <c r="L65" s="87"/>
      <c r="M65" s="89"/>
      <c r="N65" s="236"/>
    </row>
    <row r="66" spans="2:14" ht="13.15"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ht="13.15" x14ac:dyDescent="0.25">
      <c r="B67" s="62"/>
      <c r="C67" s="294" t="s">
        <v>20</v>
      </c>
      <c r="D67" s="295"/>
      <c r="E67" s="296"/>
      <c r="F67" s="261" t="e">
        <f>IF(#REF!="","",#REF!)</f>
        <v>#REF!</v>
      </c>
      <c r="G67" s="97"/>
      <c r="H67" s="100"/>
      <c r="I67" s="10"/>
      <c r="J67" s="11"/>
      <c r="K67" s="11"/>
      <c r="L67" s="10"/>
      <c r="M67" s="66"/>
      <c r="N67" s="236"/>
    </row>
    <row r="68" spans="2:14" ht="13.15"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15"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15"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15"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15"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15"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15"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15"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15"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15"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15"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15"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25">
      <c r="B81" s="84"/>
      <c r="C81" s="13"/>
      <c r="D81" s="13"/>
      <c r="E81" s="13"/>
      <c r="F81" s="190"/>
      <c r="G81" s="85"/>
      <c r="H81" s="85"/>
      <c r="I81" s="85"/>
      <c r="J81" s="85"/>
      <c r="K81" s="85"/>
      <c r="L81" s="85"/>
      <c r="M81" s="14"/>
      <c r="N81" s="236"/>
    </row>
    <row r="82" spans="2:14" ht="13.15" x14ac:dyDescent="0.2">
      <c r="B82" s="134" t="s">
        <v>354</v>
      </c>
      <c r="C82" s="8"/>
      <c r="D82" s="8"/>
      <c r="E82" s="8"/>
      <c r="F82" s="83"/>
      <c r="G82" s="9"/>
      <c r="H82" s="86"/>
      <c r="I82" s="87"/>
      <c r="J82" s="88"/>
      <c r="K82" s="88"/>
      <c r="L82" s="87"/>
      <c r="M82" s="89"/>
      <c r="N82" s="236"/>
    </row>
    <row r="83" spans="2:14" ht="13.15"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ht="13.15" x14ac:dyDescent="0.25">
      <c r="B84" s="62"/>
      <c r="C84" s="294" t="s">
        <v>20</v>
      </c>
      <c r="D84" s="295"/>
      <c r="E84" s="296"/>
      <c r="F84" s="261" t="e">
        <f>IF(#REF!="","",#REF!)</f>
        <v>#REF!</v>
      </c>
      <c r="G84" s="97"/>
      <c r="H84" s="100"/>
      <c r="I84" s="18"/>
      <c r="J84" s="10"/>
      <c r="K84" s="18"/>
      <c r="L84" s="65"/>
      <c r="M84" s="66"/>
      <c r="N84" s="236"/>
    </row>
    <row r="85" spans="2:14" ht="13.15"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15"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15"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2" customHeight="1" x14ac:dyDescent="0.25">
      <c r="B88" s="110"/>
      <c r="C88" s="13"/>
      <c r="D88" s="13"/>
      <c r="E88" s="13"/>
      <c r="F88" s="190"/>
      <c r="G88" s="85"/>
      <c r="H88" s="85"/>
      <c r="I88" s="85"/>
      <c r="J88" s="85"/>
      <c r="K88" s="85"/>
      <c r="L88" s="85"/>
      <c r="M88" s="85"/>
      <c r="N88" s="236"/>
    </row>
    <row r="89" spans="2:14" ht="5.2" customHeight="1" x14ac:dyDescent="0.25">
      <c r="B89" s="93"/>
      <c r="C89" s="95"/>
      <c r="D89" s="95"/>
      <c r="E89" s="95"/>
      <c r="F89" s="191"/>
      <c r="G89" s="96"/>
      <c r="H89" s="96"/>
      <c r="I89" s="96"/>
      <c r="J89" s="96"/>
      <c r="K89" s="96"/>
      <c r="L89" s="96"/>
      <c r="M89" s="96"/>
      <c r="N89" s="236"/>
    </row>
    <row r="90" spans="2:14" ht="17.55" x14ac:dyDescent="0.25">
      <c r="B90" s="243" t="s">
        <v>317</v>
      </c>
      <c r="C90" s="244"/>
      <c r="D90" s="244"/>
      <c r="E90" s="244"/>
      <c r="F90" s="248"/>
      <c r="G90" s="246"/>
      <c r="H90" s="246"/>
      <c r="I90" s="249"/>
      <c r="J90" s="250"/>
      <c r="K90" s="249"/>
      <c r="L90" s="251"/>
      <c r="M90" s="252"/>
      <c r="N90" s="236"/>
    </row>
    <row r="91" spans="2:14" ht="8.15" customHeight="1" x14ac:dyDescent="0.25">
      <c r="B91" s="84"/>
      <c r="C91" s="13"/>
      <c r="D91" s="13"/>
      <c r="E91" s="13"/>
      <c r="F91" s="190"/>
      <c r="G91" s="85"/>
      <c r="H91" s="85"/>
      <c r="I91" s="85"/>
      <c r="J91" s="85"/>
      <c r="K91" s="85"/>
      <c r="L91" s="85"/>
      <c r="M91" s="14"/>
      <c r="N91" s="236"/>
    </row>
    <row r="92" spans="2:14" ht="13.15" x14ac:dyDescent="0.2">
      <c r="B92" s="134" t="s">
        <v>355</v>
      </c>
      <c r="C92" s="8"/>
      <c r="D92" s="8"/>
      <c r="E92" s="8"/>
      <c r="F92" s="83"/>
      <c r="G92" s="9"/>
      <c r="H92" s="86"/>
      <c r="I92" s="87"/>
      <c r="J92" s="88"/>
      <c r="K92" s="88"/>
      <c r="L92" s="87"/>
      <c r="M92" s="89"/>
      <c r="N92" s="236"/>
    </row>
    <row r="93" spans="2:14" ht="13.15"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ht="13.15" x14ac:dyDescent="0.25">
      <c r="B94" s="62"/>
      <c r="C94" s="294" t="s">
        <v>20</v>
      </c>
      <c r="D94" s="295"/>
      <c r="E94" s="296"/>
      <c r="F94" s="261" t="e">
        <f>IF(#REF!="","",#REF!)</f>
        <v>#REF!</v>
      </c>
      <c r="G94" s="97"/>
      <c r="H94" s="100"/>
      <c r="I94" s="18"/>
      <c r="J94" s="10"/>
      <c r="K94" s="18"/>
      <c r="L94" s="65"/>
      <c r="M94" s="66"/>
      <c r="N94" s="236"/>
    </row>
    <row r="95" spans="2:14" ht="13.15"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15"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ht="13.15"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15"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25">
      <c r="B100" s="90"/>
      <c r="C100" s="91"/>
      <c r="D100" s="91"/>
      <c r="E100" s="91"/>
      <c r="F100" s="192"/>
      <c r="G100" s="92"/>
      <c r="H100" s="92"/>
      <c r="I100" s="92"/>
      <c r="J100" s="92"/>
      <c r="K100" s="92"/>
      <c r="L100" s="92"/>
      <c r="M100" s="92"/>
      <c r="N100" s="236"/>
    </row>
    <row r="101" spans="2:14" ht="17.55" x14ac:dyDescent="0.25">
      <c r="B101" s="243" t="s">
        <v>54</v>
      </c>
      <c r="C101" s="244"/>
      <c r="D101" s="244"/>
      <c r="E101" s="244"/>
      <c r="F101" s="248"/>
      <c r="G101" s="246"/>
      <c r="H101" s="246"/>
      <c r="I101" s="249"/>
      <c r="J101" s="250"/>
      <c r="K101" s="249"/>
      <c r="L101" s="251"/>
      <c r="M101" s="252"/>
      <c r="N101" s="236"/>
    </row>
    <row r="102" spans="2:14" ht="8.15" customHeight="1" x14ac:dyDescent="0.25">
      <c r="B102" s="84"/>
      <c r="C102" s="13"/>
      <c r="D102" s="13"/>
      <c r="E102" s="13"/>
      <c r="F102" s="190"/>
      <c r="G102" s="85"/>
      <c r="H102" s="85"/>
      <c r="I102" s="85"/>
      <c r="J102" s="85"/>
      <c r="K102" s="85"/>
      <c r="L102" s="85"/>
      <c r="M102" s="14"/>
      <c r="N102" s="236"/>
    </row>
    <row r="103" spans="2:14" ht="13.15" x14ac:dyDescent="0.2">
      <c r="B103" s="134" t="s">
        <v>357</v>
      </c>
      <c r="C103" s="8"/>
      <c r="D103" s="8"/>
      <c r="E103" s="8"/>
      <c r="F103" s="83"/>
      <c r="G103" s="9"/>
      <c r="H103" s="86"/>
      <c r="I103" s="87"/>
      <c r="J103" s="88"/>
      <c r="K103" s="88"/>
      <c r="L103" s="87"/>
      <c r="M103" s="89"/>
      <c r="N103" s="236"/>
    </row>
    <row r="104" spans="2:14" ht="13.15"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ht="13.15" x14ac:dyDescent="0.25">
      <c r="B105" s="62"/>
      <c r="C105" s="291" t="s">
        <v>20</v>
      </c>
      <c r="D105" s="292"/>
      <c r="E105" s="293"/>
      <c r="F105" s="261" t="str">
        <f>IF(T2B!E19="","",T2B!E19)</f>
        <v/>
      </c>
      <c r="G105" s="22"/>
      <c r="H105" s="100"/>
      <c r="I105" s="18"/>
      <c r="J105" s="10"/>
      <c r="K105" s="18"/>
      <c r="L105" s="65"/>
      <c r="M105" s="66"/>
      <c r="N105" s="236"/>
    </row>
    <row r="106" spans="2:14" ht="13.15" x14ac:dyDescent="0.25">
      <c r="B106" s="62"/>
      <c r="C106" s="291" t="s">
        <v>55</v>
      </c>
      <c r="D106" s="292"/>
      <c r="E106" s="293"/>
      <c r="F106" s="260" t="str">
        <f ca="1">IF(OR(T2B!N14="",C5="",C6="",C7="",C8="",E7="")=TRUE,"",T2B!N14)</f>
        <v/>
      </c>
      <c r="G106" s="22" t="s">
        <v>22</v>
      </c>
      <c r="H106" s="106"/>
      <c r="I106" s="18"/>
      <c r="J106" s="10"/>
      <c r="K106" s="18"/>
      <c r="L106" s="65"/>
      <c r="M106" s="66"/>
      <c r="N106" s="236"/>
    </row>
    <row r="107" spans="2:14" ht="13.15" x14ac:dyDescent="0.25">
      <c r="B107" s="62"/>
      <c r="C107" s="291" t="s">
        <v>56</v>
      </c>
      <c r="D107" s="292"/>
      <c r="E107" s="293"/>
      <c r="F107" s="260" t="str">
        <f ca="1">IF(OR(T2B!M14="",C5="",C6="",C7="",C8="",E7="")=TRUE,"",T2B!M14)</f>
        <v/>
      </c>
      <c r="G107" s="22" t="s">
        <v>22</v>
      </c>
      <c r="H107" s="106"/>
      <c r="I107" s="18"/>
      <c r="J107" s="10"/>
      <c r="K107" s="18"/>
      <c r="L107" s="65"/>
      <c r="M107" s="66"/>
      <c r="N107" s="236"/>
    </row>
    <row r="108" spans="2:14" ht="13.15" x14ac:dyDescent="0.25">
      <c r="B108" s="62"/>
      <c r="C108" s="291" t="s">
        <v>57</v>
      </c>
      <c r="D108" s="292"/>
      <c r="E108" s="293"/>
      <c r="F108" s="260" t="str">
        <f ca="1">IF(OR(T2B!L14="",C5="",C6="",C7="",C8="",E7="")=TRUE,"",T2B!L14)</f>
        <v/>
      </c>
      <c r="G108" s="22" t="s">
        <v>22</v>
      </c>
      <c r="H108" s="106"/>
      <c r="I108" s="18"/>
      <c r="J108" s="10"/>
      <c r="K108" s="18"/>
      <c r="L108" s="65"/>
      <c r="M108" s="66"/>
      <c r="N108" s="236"/>
    </row>
    <row r="109" spans="2:14" ht="13.15" x14ac:dyDescent="0.25">
      <c r="B109" s="62"/>
      <c r="C109" s="294" t="s">
        <v>58</v>
      </c>
      <c r="D109" s="295"/>
      <c r="E109" s="296"/>
      <c r="F109" s="260" t="str">
        <f ca="1">IF(OR(T2B!K14="",C5="",C6="",C7="",C8="",E7="")=TRUE,"",T2B!K14)</f>
        <v/>
      </c>
      <c r="G109" s="22" t="s">
        <v>22</v>
      </c>
      <c r="H109" s="107"/>
      <c r="I109" s="18"/>
      <c r="J109" s="10"/>
      <c r="K109" s="18"/>
      <c r="L109" s="65"/>
      <c r="M109" s="66"/>
      <c r="N109" s="236"/>
    </row>
    <row r="110" spans="2:14" ht="13.15"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15"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15"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15"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15"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15"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15"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25">
      <c r="B117" s="90"/>
      <c r="C117" s="91"/>
      <c r="D117" s="91"/>
      <c r="E117" s="91"/>
      <c r="F117" s="192"/>
      <c r="G117" s="92"/>
      <c r="H117" s="92"/>
      <c r="I117" s="92"/>
      <c r="J117" s="92"/>
      <c r="K117" s="92"/>
      <c r="L117" s="92"/>
      <c r="M117" s="92"/>
      <c r="N117" s="236"/>
    </row>
    <row r="118" spans="2:14" ht="17.55" x14ac:dyDescent="0.25">
      <c r="B118" s="243" t="s">
        <v>76</v>
      </c>
      <c r="C118" s="244"/>
      <c r="D118" s="244"/>
      <c r="E118" s="244"/>
      <c r="F118" s="248"/>
      <c r="G118" s="246"/>
      <c r="H118" s="246"/>
      <c r="I118" s="249"/>
      <c r="J118" s="250"/>
      <c r="K118" s="249"/>
      <c r="L118" s="251"/>
      <c r="M118" s="252"/>
      <c r="N118" s="236"/>
    </row>
    <row r="119" spans="2:14" ht="8.15" customHeight="1" x14ac:dyDescent="0.25">
      <c r="B119" s="84"/>
      <c r="C119" s="13"/>
      <c r="D119" s="13"/>
      <c r="E119" s="13"/>
      <c r="F119" s="190"/>
      <c r="G119" s="85"/>
      <c r="H119" s="85"/>
      <c r="I119" s="85"/>
      <c r="J119" s="85"/>
      <c r="K119" s="85"/>
      <c r="L119" s="85"/>
      <c r="M119" s="14"/>
      <c r="N119" s="236"/>
    </row>
    <row r="120" spans="2:14" ht="13.15" x14ac:dyDescent="0.2">
      <c r="B120" s="134" t="s">
        <v>358</v>
      </c>
      <c r="C120" s="8"/>
      <c r="D120" s="8"/>
      <c r="E120" s="8"/>
      <c r="F120" s="83"/>
      <c r="G120" s="9"/>
      <c r="H120" s="86"/>
      <c r="I120" s="87"/>
      <c r="J120" s="88"/>
      <c r="K120" s="88"/>
      <c r="L120" s="87"/>
      <c r="M120" s="89"/>
      <c r="N120" s="236"/>
    </row>
    <row r="121" spans="2:14" ht="13.15"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ht="13.15" x14ac:dyDescent="0.25">
      <c r="B122" s="62"/>
      <c r="C122" s="294" t="s">
        <v>20</v>
      </c>
      <c r="D122" s="295"/>
      <c r="E122" s="296"/>
      <c r="F122" s="261" t="e">
        <f>IF(#REF!="","",#REF!)</f>
        <v>#REF!</v>
      </c>
      <c r="G122" s="97"/>
      <c r="H122" s="100"/>
      <c r="I122" s="18"/>
      <c r="J122" s="10"/>
      <c r="K122" s="18"/>
      <c r="L122" s="65"/>
      <c r="M122" s="66"/>
      <c r="N122" s="236"/>
    </row>
    <row r="123" spans="2:14" ht="13.15"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15"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15"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25">
      <c r="B126" s="84"/>
      <c r="C126" s="13"/>
      <c r="D126" s="13"/>
      <c r="E126" s="13"/>
      <c r="F126" s="190"/>
      <c r="G126" s="85"/>
      <c r="H126" s="85"/>
      <c r="I126" s="85"/>
      <c r="J126" s="85"/>
      <c r="K126" s="85"/>
      <c r="L126" s="85"/>
      <c r="M126" s="14"/>
      <c r="N126" s="236"/>
    </row>
    <row r="127" spans="2:14" ht="13.15" x14ac:dyDescent="0.2">
      <c r="B127" s="134" t="s">
        <v>363</v>
      </c>
      <c r="C127" s="8"/>
      <c r="D127" s="8"/>
      <c r="E127" s="8"/>
      <c r="F127" s="83"/>
      <c r="G127" s="9"/>
      <c r="H127" s="86"/>
      <c r="I127" s="87"/>
      <c r="J127" s="88"/>
      <c r="K127" s="88"/>
      <c r="L127" s="87"/>
      <c r="M127" s="89"/>
      <c r="N127" s="236"/>
    </row>
    <row r="128" spans="2:14" ht="13.15"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ht="13.15" x14ac:dyDescent="0.25">
      <c r="B129" s="62"/>
      <c r="C129" s="294" t="s">
        <v>20</v>
      </c>
      <c r="D129" s="295"/>
      <c r="E129" s="296"/>
      <c r="F129" s="261" t="e">
        <f>IF(#REF!="","",#REF!)</f>
        <v>#REF!</v>
      </c>
      <c r="G129" s="97"/>
      <c r="H129" s="100"/>
      <c r="I129" s="18"/>
      <c r="J129" s="10"/>
      <c r="K129" s="18"/>
      <c r="L129" s="65"/>
      <c r="M129" s="66"/>
      <c r="N129" s="236"/>
    </row>
    <row r="130" spans="2:14" ht="13.15"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15"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15"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25">
      <c r="B133" s="84"/>
      <c r="C133" s="13"/>
      <c r="D133" s="13"/>
      <c r="E133" s="13"/>
      <c r="F133" s="190"/>
      <c r="G133" s="85"/>
      <c r="H133" s="85"/>
      <c r="I133" s="85"/>
      <c r="J133" s="85"/>
      <c r="K133" s="85"/>
      <c r="L133" s="85"/>
      <c r="M133" s="14"/>
      <c r="N133" s="236"/>
    </row>
    <row r="134" spans="2:14" ht="13.15" x14ac:dyDescent="0.2">
      <c r="B134" s="134" t="s">
        <v>364</v>
      </c>
      <c r="C134" s="8"/>
      <c r="D134" s="8"/>
      <c r="E134" s="8"/>
      <c r="F134" s="83"/>
      <c r="G134" s="9"/>
      <c r="H134" s="86"/>
      <c r="I134" s="87"/>
      <c r="J134" s="88"/>
      <c r="K134" s="88"/>
      <c r="L134" s="87"/>
      <c r="M134" s="89"/>
      <c r="N134" s="236"/>
    </row>
    <row r="135" spans="2:14" ht="13.15"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ht="13.15" x14ac:dyDescent="0.25">
      <c r="B136" s="62"/>
      <c r="C136" s="6" t="s">
        <v>20</v>
      </c>
      <c r="D136" s="6"/>
      <c r="E136" s="6"/>
      <c r="F136" s="261" t="e">
        <f>IF(#REF!="","",#REF!)</f>
        <v>#REF!</v>
      </c>
      <c r="G136" s="97"/>
      <c r="H136" s="100"/>
      <c r="I136" s="18"/>
      <c r="J136" s="10"/>
      <c r="K136" s="18"/>
      <c r="L136" s="65"/>
      <c r="M136" s="66"/>
      <c r="N136" s="236"/>
    </row>
    <row r="137" spans="2:14" ht="13.15"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15"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15"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25">
      <c r="B140" s="90"/>
      <c r="C140" s="91"/>
      <c r="D140" s="91"/>
      <c r="E140" s="91"/>
      <c r="F140" s="192"/>
      <c r="G140" s="92"/>
      <c r="H140" s="92"/>
      <c r="I140" s="92"/>
      <c r="J140" s="92"/>
      <c r="K140" s="92"/>
      <c r="L140" s="92"/>
      <c r="M140" s="92"/>
      <c r="N140" s="236"/>
    </row>
    <row r="141" spans="2:14" ht="17.55" x14ac:dyDescent="0.25">
      <c r="B141" s="243" t="s">
        <v>85</v>
      </c>
      <c r="C141" s="244"/>
      <c r="D141" s="244"/>
      <c r="E141" s="244"/>
      <c r="F141" s="248"/>
      <c r="G141" s="246"/>
      <c r="H141" s="246"/>
      <c r="I141" s="249"/>
      <c r="J141" s="250"/>
      <c r="K141" s="249"/>
      <c r="L141" s="251"/>
      <c r="M141" s="252"/>
      <c r="N141" s="236"/>
    </row>
    <row r="142" spans="2:14" ht="8.15" customHeight="1" x14ac:dyDescent="0.25">
      <c r="B142" s="84"/>
      <c r="C142" s="13"/>
      <c r="D142" s="13"/>
      <c r="E142" s="13"/>
      <c r="F142" s="190"/>
      <c r="G142" s="85"/>
      <c r="H142" s="85"/>
      <c r="I142" s="85"/>
      <c r="J142" s="85"/>
      <c r="K142" s="85"/>
      <c r="L142" s="85"/>
      <c r="M142" s="14"/>
      <c r="N142" s="236"/>
    </row>
    <row r="143" spans="2:14" ht="13.15" x14ac:dyDescent="0.2">
      <c r="B143" s="134" t="s">
        <v>365</v>
      </c>
      <c r="C143" s="8"/>
      <c r="D143" s="8"/>
      <c r="E143" s="8"/>
      <c r="F143" s="83"/>
      <c r="G143" s="9"/>
      <c r="H143" s="86"/>
      <c r="I143" s="87"/>
      <c r="J143" s="88"/>
      <c r="K143" s="88"/>
      <c r="L143" s="87"/>
      <c r="M143" s="89"/>
      <c r="N143" s="236"/>
    </row>
    <row r="144" spans="2:14" ht="13.15"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ht="13.15" x14ac:dyDescent="0.25">
      <c r="B145" s="62"/>
      <c r="C145" s="294" t="s">
        <v>20</v>
      </c>
      <c r="D145" s="295"/>
      <c r="E145" s="296"/>
      <c r="F145" s="261" t="e">
        <f>IF(#REF!="","",#REF!)</f>
        <v>#REF!</v>
      </c>
      <c r="G145" s="97"/>
      <c r="H145" s="100"/>
      <c r="I145" s="18"/>
      <c r="J145" s="10"/>
      <c r="K145" s="18"/>
      <c r="L145" s="65"/>
      <c r="M145" s="66"/>
      <c r="N145" s="236"/>
    </row>
    <row r="146" spans="2:14" ht="13.15"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15"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15"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15"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ht="13.15"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15"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15"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15"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25">
      <c r="B155" s="84"/>
      <c r="C155" s="13"/>
      <c r="D155" s="13"/>
      <c r="E155" s="13"/>
      <c r="F155" s="190"/>
      <c r="G155" s="85"/>
      <c r="H155" s="85"/>
      <c r="I155" s="85"/>
      <c r="J155" s="85"/>
      <c r="K155" s="85"/>
      <c r="L155" s="85"/>
      <c r="M155" s="14"/>
      <c r="N155" s="236"/>
    </row>
    <row r="156" spans="2:14" ht="13.15" x14ac:dyDescent="0.2">
      <c r="B156" s="134" t="s">
        <v>367</v>
      </c>
      <c r="C156" s="8"/>
      <c r="D156" s="8"/>
      <c r="E156" s="8"/>
      <c r="F156" s="83"/>
      <c r="G156" s="9"/>
      <c r="H156" s="86"/>
      <c r="I156" s="87"/>
      <c r="J156" s="88"/>
      <c r="K156" s="88"/>
      <c r="L156" s="87"/>
      <c r="M156" s="89"/>
      <c r="N156" s="236"/>
    </row>
    <row r="157" spans="2:14" ht="13.15"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ht="13.15" x14ac:dyDescent="0.25">
      <c r="B158" s="62"/>
      <c r="C158" s="294" t="s">
        <v>20</v>
      </c>
      <c r="D158" s="295"/>
      <c r="E158" s="296"/>
      <c r="F158" s="261" t="e">
        <f>IF(#REF!="","",#REF!)</f>
        <v>#REF!</v>
      </c>
      <c r="G158" s="97"/>
      <c r="H158" s="100"/>
      <c r="I158" s="18"/>
      <c r="J158" s="10"/>
      <c r="K158" s="18"/>
      <c r="L158" s="65"/>
      <c r="M158" s="66"/>
      <c r="N158" s="236"/>
    </row>
    <row r="159" spans="2:14" ht="13.15"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15"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15"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15"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25">
      <c r="B163" s="84"/>
      <c r="C163" s="13"/>
      <c r="D163" s="13"/>
      <c r="E163" s="13"/>
      <c r="F163" s="190"/>
      <c r="G163" s="85"/>
      <c r="H163" s="85"/>
      <c r="I163" s="85"/>
      <c r="J163" s="85"/>
      <c r="K163" s="85"/>
      <c r="L163" s="85"/>
      <c r="M163" s="14"/>
      <c r="N163" s="236"/>
    </row>
    <row r="164" spans="2:14" ht="13.15" x14ac:dyDescent="0.2">
      <c r="B164" s="134" t="s">
        <v>368</v>
      </c>
      <c r="C164" s="8"/>
      <c r="D164" s="8"/>
      <c r="E164" s="8"/>
      <c r="F164" s="83"/>
      <c r="G164" s="9"/>
      <c r="H164" s="86"/>
      <c r="I164" s="87"/>
      <c r="J164" s="88"/>
      <c r="K164" s="88"/>
      <c r="L164" s="87"/>
      <c r="M164" s="89"/>
      <c r="N164" s="236"/>
    </row>
    <row r="165" spans="2:14" ht="13.15"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ht="13.15" x14ac:dyDescent="0.25">
      <c r="B166" s="62"/>
      <c r="C166" s="294" t="s">
        <v>20</v>
      </c>
      <c r="D166" s="295"/>
      <c r="E166" s="296"/>
      <c r="F166" s="261" t="e">
        <f>IF(#REF!="","",#REF!)</f>
        <v>#REF!</v>
      </c>
      <c r="G166" s="97"/>
      <c r="H166" s="100"/>
      <c r="I166" s="10"/>
      <c r="J166" s="10"/>
      <c r="K166" s="18"/>
      <c r="L166" s="65"/>
      <c r="M166" s="66"/>
      <c r="N166" s="236"/>
    </row>
    <row r="167" spans="2:14" ht="13.15"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15"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15"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15"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15"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15"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15"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15"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15"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25">
      <c r="B176" s="84"/>
      <c r="C176" s="13"/>
      <c r="D176" s="13"/>
      <c r="E176" s="13"/>
      <c r="F176" s="190"/>
      <c r="G176" s="85"/>
      <c r="H176" s="85"/>
      <c r="I176" s="85"/>
      <c r="J176" s="85"/>
      <c r="K176" s="85"/>
      <c r="L176" s="85"/>
      <c r="M176" s="14"/>
      <c r="N176" s="236"/>
    </row>
    <row r="177" spans="2:14" ht="13.15" x14ac:dyDescent="0.2">
      <c r="B177" s="134" t="s">
        <v>369</v>
      </c>
      <c r="C177" s="8"/>
      <c r="D177" s="8"/>
      <c r="E177" s="8"/>
      <c r="F177" s="83"/>
      <c r="G177" s="9"/>
      <c r="H177" s="86"/>
      <c r="I177" s="87"/>
      <c r="J177" s="88"/>
      <c r="K177" s="88"/>
      <c r="L177" s="87"/>
      <c r="M177" s="89"/>
      <c r="N177" s="236"/>
    </row>
    <row r="178" spans="2:14" ht="13.15"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ht="13.15" x14ac:dyDescent="0.25">
      <c r="B179" s="62"/>
      <c r="C179" s="294" t="s">
        <v>20</v>
      </c>
      <c r="D179" s="295"/>
      <c r="E179" s="296"/>
      <c r="F179" s="261" t="e">
        <f>IF(#REF!="","",#REF!)</f>
        <v>#REF!</v>
      </c>
      <c r="G179" s="97"/>
      <c r="H179" s="100"/>
      <c r="I179" s="10"/>
      <c r="J179" s="10"/>
      <c r="K179" s="18"/>
      <c r="L179" s="65"/>
      <c r="M179" s="66"/>
      <c r="N179" s="236"/>
    </row>
    <row r="180" spans="2:14" ht="13.15"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15"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15"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15"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15"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15"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15"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15"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15"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15"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15"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15" x14ac:dyDescent="0.25">
      <c r="B192" s="1"/>
      <c r="C192" s="6"/>
      <c r="D192" s="6"/>
      <c r="E192" s="6"/>
      <c r="F192" s="72"/>
      <c r="G192" s="22"/>
      <c r="H192" s="64"/>
      <c r="I192" s="64"/>
      <c r="J192" s="10"/>
      <c r="K192" s="18"/>
      <c r="L192" s="65"/>
      <c r="M192" s="6"/>
      <c r="N192" s="236"/>
    </row>
    <row r="193" spans="2:14" ht="13.15" x14ac:dyDescent="0.25">
      <c r="B193" s="133" t="s">
        <v>374</v>
      </c>
      <c r="F193" s="114" t="s">
        <v>375</v>
      </c>
      <c r="N193" s="236"/>
    </row>
    <row r="194" spans="2:14" ht="8.15" customHeight="1" x14ac:dyDescent="0.25">
      <c r="B194" s="93"/>
      <c r="C194" s="95"/>
      <c r="D194" s="95"/>
      <c r="E194" s="95"/>
      <c r="F194" s="191"/>
      <c r="G194" s="96"/>
      <c r="H194" s="96"/>
      <c r="I194" s="96"/>
      <c r="J194" s="96"/>
      <c r="K194" s="96"/>
      <c r="L194" s="96"/>
      <c r="M194" s="96"/>
      <c r="N194" s="236"/>
    </row>
    <row r="195" spans="2:14" ht="17.55" x14ac:dyDescent="0.25">
      <c r="B195" s="243" t="s">
        <v>319</v>
      </c>
      <c r="C195" s="244"/>
      <c r="D195" s="244"/>
      <c r="E195" s="244"/>
      <c r="F195" s="248"/>
      <c r="G195" s="246"/>
      <c r="H195" s="246"/>
      <c r="I195" s="249"/>
      <c r="J195" s="250"/>
      <c r="K195" s="249"/>
      <c r="L195" s="251"/>
      <c r="M195" s="252"/>
      <c r="N195" s="236"/>
    </row>
    <row r="196" spans="2:14" ht="8.15" customHeight="1" x14ac:dyDescent="0.25">
      <c r="B196" s="84"/>
      <c r="C196" s="13"/>
      <c r="D196" s="13"/>
      <c r="E196" s="13"/>
      <c r="F196" s="190"/>
      <c r="G196" s="85"/>
      <c r="H196" s="85"/>
      <c r="I196" s="85"/>
      <c r="J196" s="85"/>
      <c r="K196" s="85"/>
      <c r="L196" s="85"/>
      <c r="M196" s="14"/>
      <c r="N196" s="236"/>
    </row>
    <row r="197" spans="2:14" ht="13.15" x14ac:dyDescent="0.2">
      <c r="B197" s="134" t="s">
        <v>320</v>
      </c>
      <c r="C197" s="8"/>
      <c r="D197" s="8"/>
      <c r="E197" s="8"/>
      <c r="F197" s="232" t="s">
        <v>13</v>
      </c>
      <c r="G197" s="9"/>
      <c r="H197" s="87"/>
      <c r="I197" s="237" t="s">
        <v>393</v>
      </c>
      <c r="K197" s="88"/>
      <c r="L197" s="87"/>
      <c r="M197" s="89"/>
      <c r="N197" s="236"/>
    </row>
    <row r="198" spans="2:14" ht="13.15"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ht="13.15" x14ac:dyDescent="0.25">
      <c r="B199" s="62"/>
      <c r="C199" s="294" t="s">
        <v>20</v>
      </c>
      <c r="D199" s="295"/>
      <c r="E199" s="295"/>
      <c r="F199" s="274" t="str">
        <f>IF($C$8="","",$C$8)</f>
        <v/>
      </c>
      <c r="G199" s="22"/>
      <c r="H199" s="100"/>
      <c r="I199" s="237"/>
      <c r="J199" s="10"/>
      <c r="K199" s="18"/>
      <c r="L199" s="65"/>
      <c r="M199" s="66"/>
      <c r="N199" s="236"/>
    </row>
    <row r="200" spans="2:14" ht="13.15"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ht="13.15"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ht="13.15"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ht="13.15"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ht="13.15"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25">
      <c r="B205" s="84"/>
      <c r="C205" s="13"/>
      <c r="D205" s="13"/>
      <c r="E205" s="13"/>
      <c r="F205" s="190"/>
      <c r="G205" s="85"/>
      <c r="H205" s="85"/>
      <c r="I205" s="85"/>
      <c r="J205" s="85"/>
      <c r="K205" s="85"/>
      <c r="L205" s="85"/>
      <c r="M205" s="14"/>
      <c r="N205" s="236"/>
    </row>
    <row r="206" spans="2:14" ht="13.15" x14ac:dyDescent="0.2">
      <c r="B206" s="134" t="s">
        <v>339</v>
      </c>
      <c r="C206" s="8"/>
      <c r="D206" s="8"/>
      <c r="E206" s="8"/>
      <c r="F206" s="232" t="s">
        <v>13</v>
      </c>
      <c r="G206" s="9"/>
      <c r="H206" s="86"/>
      <c r="I206" s="237" t="s">
        <v>393</v>
      </c>
      <c r="J206" s="88"/>
      <c r="K206" s="88"/>
      <c r="L206" s="87"/>
      <c r="M206" s="89"/>
      <c r="N206" s="236"/>
    </row>
    <row r="207" spans="2:14" ht="13.15"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ht="13.15" x14ac:dyDescent="0.25">
      <c r="B208" s="62"/>
      <c r="C208" s="294" t="s">
        <v>20</v>
      </c>
      <c r="D208" s="295"/>
      <c r="E208" s="295"/>
      <c r="F208" s="274" t="str">
        <f>IF($C$8="","",$C$8)</f>
        <v/>
      </c>
      <c r="G208" s="22"/>
      <c r="H208" s="100"/>
      <c r="I208" s="18"/>
      <c r="J208" s="10"/>
      <c r="K208" s="18"/>
      <c r="L208" s="65"/>
      <c r="M208" s="66"/>
      <c r="N208" s="236"/>
    </row>
    <row r="209" spans="2:14" ht="13.15"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15"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ht="13.15"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ht="13.15"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ht="13.15"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ht="13.15"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5" customHeight="1" x14ac:dyDescent="0.25">
      <c r="B215" s="84"/>
      <c r="C215" s="13"/>
      <c r="D215" s="13"/>
      <c r="E215" s="13"/>
      <c r="F215" s="190"/>
      <c r="G215" s="85"/>
      <c r="H215" s="85"/>
      <c r="I215" s="85"/>
      <c r="J215" s="85"/>
      <c r="K215" s="85"/>
      <c r="L215" s="85"/>
      <c r="M215" s="14"/>
      <c r="N215" s="236"/>
    </row>
    <row r="216" spans="2:14" ht="13.15" x14ac:dyDescent="0.2">
      <c r="B216" s="134" t="s">
        <v>321</v>
      </c>
      <c r="C216" s="8"/>
      <c r="D216" s="8"/>
      <c r="E216" s="8"/>
      <c r="F216" s="232" t="s">
        <v>13</v>
      </c>
      <c r="G216" s="9"/>
      <c r="H216" s="86"/>
      <c r="I216" s="237" t="s">
        <v>393</v>
      </c>
      <c r="J216" s="88"/>
      <c r="K216" s="88"/>
      <c r="L216" s="87"/>
      <c r="M216" s="89"/>
      <c r="N216" s="236"/>
    </row>
    <row r="217" spans="2:14" ht="13.15"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ht="13.15" x14ac:dyDescent="0.25">
      <c r="B218" s="62"/>
      <c r="C218" s="294" t="s">
        <v>20</v>
      </c>
      <c r="D218" s="295"/>
      <c r="E218" s="295"/>
      <c r="F218" s="274" t="str">
        <f>IF($C$8="","",$C$8)</f>
        <v/>
      </c>
      <c r="G218" s="22"/>
      <c r="H218" s="100"/>
      <c r="I218" s="18"/>
      <c r="J218" s="10"/>
      <c r="K218" s="18"/>
      <c r="L218" s="65"/>
      <c r="M218" s="66"/>
      <c r="N218" s="236"/>
    </row>
    <row r="219" spans="2:14" ht="13.15"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ht="13.15"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ht="13.15"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25">
      <c r="B222" s="84"/>
      <c r="C222" s="200"/>
      <c r="D222" s="200"/>
      <c r="E222" s="200"/>
      <c r="F222" s="190"/>
      <c r="G222" s="85"/>
      <c r="H222" s="85"/>
      <c r="I222" s="85"/>
      <c r="J222" s="85"/>
      <c r="K222" s="85"/>
      <c r="L222" s="85"/>
      <c r="M222" s="14"/>
      <c r="N222" s="236"/>
    </row>
    <row r="223" spans="2:14" s="70" customFormat="1" ht="13.15" customHeight="1" x14ac:dyDescent="0.25">
      <c r="B223" s="201" t="s">
        <v>381</v>
      </c>
      <c r="C223" s="202"/>
      <c r="D223" s="202"/>
      <c r="E223" s="202"/>
      <c r="F223" s="231"/>
      <c r="G223" s="203"/>
      <c r="H223" s="203"/>
      <c r="I223" s="203"/>
      <c r="J223" s="203"/>
      <c r="K223" s="203"/>
      <c r="L223" s="203"/>
      <c r="M223" s="204"/>
      <c r="N223" s="278"/>
    </row>
    <row r="224" spans="2:14" s="70" customFormat="1" ht="13.15" x14ac:dyDescent="0.2">
      <c r="B224" s="205" t="s">
        <v>376</v>
      </c>
      <c r="C224" s="206"/>
      <c r="D224" s="206"/>
      <c r="E224" s="206"/>
      <c r="F224" s="232" t="s">
        <v>13</v>
      </c>
      <c r="G224" s="203"/>
      <c r="H224" s="207"/>
      <c r="I224" s="283" t="s">
        <v>393</v>
      </c>
      <c r="J224" s="209"/>
      <c r="K224" s="209"/>
      <c r="L224" s="208"/>
      <c r="M224" s="210"/>
      <c r="N224" s="278"/>
    </row>
    <row r="225" spans="2:14" s="70" customFormat="1" ht="13.15"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ht="13.15" x14ac:dyDescent="0.25">
      <c r="B226" s="194"/>
      <c r="C226" s="316" t="s">
        <v>20</v>
      </c>
      <c r="D226" s="317"/>
      <c r="E226" s="317"/>
      <c r="F226" s="274"/>
      <c r="G226" s="268"/>
      <c r="H226" s="215"/>
      <c r="I226" s="216"/>
      <c r="J226" s="212"/>
      <c r="K226" s="216"/>
      <c r="L226" s="217"/>
      <c r="M226" s="214"/>
      <c r="N226" s="278"/>
    </row>
    <row r="227" spans="2:14" s="70" customFormat="1" ht="13.15"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15"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15"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25">
      <c r="B230" s="90"/>
      <c r="C230" s="91"/>
      <c r="D230" s="91"/>
      <c r="E230" s="91"/>
      <c r="F230" s="192"/>
      <c r="G230" s="92"/>
      <c r="H230" s="92"/>
      <c r="I230" s="92"/>
      <c r="J230" s="92"/>
      <c r="K230" s="92"/>
      <c r="L230" s="92"/>
      <c r="M230" s="92"/>
      <c r="N230" s="236"/>
    </row>
    <row r="231" spans="2:14" ht="17.55" x14ac:dyDescent="0.25">
      <c r="B231" s="243" t="s">
        <v>318</v>
      </c>
      <c r="C231" s="244"/>
      <c r="D231" s="244"/>
      <c r="E231" s="244"/>
      <c r="F231" s="248"/>
      <c r="G231" s="246"/>
      <c r="H231" s="246"/>
      <c r="I231" s="249"/>
      <c r="J231" s="250"/>
      <c r="K231" s="249"/>
      <c r="L231" s="251"/>
      <c r="M231" s="252"/>
      <c r="N231" s="236"/>
    </row>
    <row r="232" spans="2:14" ht="8.15" customHeight="1" x14ac:dyDescent="0.25">
      <c r="B232" s="84"/>
      <c r="C232" s="13"/>
      <c r="D232" s="13"/>
      <c r="E232" s="13"/>
      <c r="F232" s="190"/>
      <c r="G232" s="85"/>
      <c r="H232" s="85"/>
      <c r="I232" s="85"/>
      <c r="J232" s="85"/>
      <c r="K232" s="85"/>
      <c r="L232" s="85"/>
      <c r="M232" s="14"/>
      <c r="N232" s="236"/>
    </row>
    <row r="233" spans="2:14" s="70" customFormat="1" ht="13.15" x14ac:dyDescent="0.2">
      <c r="B233" s="201" t="s">
        <v>381</v>
      </c>
      <c r="C233" s="206"/>
      <c r="D233" s="206"/>
      <c r="E233" s="206"/>
      <c r="F233" s="232"/>
      <c r="G233" s="203"/>
      <c r="H233" s="207"/>
      <c r="I233" s="208"/>
      <c r="J233" s="209"/>
      <c r="K233" s="209"/>
      <c r="L233" s="208"/>
      <c r="M233" s="210"/>
      <c r="N233" s="278"/>
    </row>
    <row r="234" spans="2:14" s="70" customFormat="1" ht="13.15" x14ac:dyDescent="0.2">
      <c r="B234" s="205" t="s">
        <v>380</v>
      </c>
      <c r="C234" s="206"/>
      <c r="D234" s="206"/>
      <c r="E234" s="206"/>
      <c r="F234" s="232" t="s">
        <v>13</v>
      </c>
      <c r="G234" s="203"/>
      <c r="H234" s="207"/>
      <c r="I234" s="283" t="s">
        <v>393</v>
      </c>
      <c r="J234" s="209"/>
      <c r="K234" s="209"/>
      <c r="L234" s="208"/>
      <c r="M234" s="210"/>
      <c r="N234" s="278"/>
    </row>
    <row r="235" spans="2:14" s="70" customFormat="1" ht="13.15"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ht="13.15" x14ac:dyDescent="0.25">
      <c r="B236" s="194"/>
      <c r="C236" s="316" t="s">
        <v>20</v>
      </c>
      <c r="D236" s="317"/>
      <c r="E236" s="317"/>
      <c r="F236" s="274"/>
      <c r="G236" s="270"/>
      <c r="H236" s="215"/>
      <c r="I236" s="216"/>
      <c r="J236" s="212"/>
      <c r="K236" s="216"/>
      <c r="L236" s="217"/>
      <c r="M236" s="214"/>
      <c r="N236" s="278"/>
    </row>
    <row r="237" spans="2:14" s="70" customFormat="1" ht="13.15"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15"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ht="13.15"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ht="13.15"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ht="13.15"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ht="13.15"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ht="13.15"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ht="13.15"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1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1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1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1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1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1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1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1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1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1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1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15"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1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1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1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1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1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1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1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1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1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1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1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1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1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1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1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1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1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1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1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1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1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1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1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1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15"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1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1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1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1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15"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1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1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1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1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1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1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1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15"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1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1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1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1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1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1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1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1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1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15"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1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1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1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1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1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1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1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1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1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1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1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1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1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1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1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1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1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1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1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15"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1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1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1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1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1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1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1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15"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1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1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1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1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1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1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1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1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1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15"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1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1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1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1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1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1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1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1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1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1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1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1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1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1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1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1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1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1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15"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1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1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1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1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1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1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1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15"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1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1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1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1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15"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1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1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1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1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15"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1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1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1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1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1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1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15"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1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1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1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1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15"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1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1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1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1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1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1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15"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1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1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1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1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1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1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1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1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1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1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1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15"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1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1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1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15"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1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1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1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1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1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1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15"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1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1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1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1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1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1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1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1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1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1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1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1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15"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1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1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1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1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1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15"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1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1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1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1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1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1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1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1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1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15"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1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1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1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1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1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15"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1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1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1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1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1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15"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1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1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1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1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1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1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1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1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1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1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15"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1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1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1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1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1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1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15"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1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1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1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1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1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15"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1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1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1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1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1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15"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1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1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1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1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1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1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15"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1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1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1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1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1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15"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1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1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1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1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1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1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1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1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15"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1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1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1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1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1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1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15"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1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1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1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1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1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1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1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1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1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1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1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1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1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15"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1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1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1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1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1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t="13.15"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1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1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1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1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1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15"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1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1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1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1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1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t="13.15"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1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1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1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1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1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1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3" zoomScale="71" workbookViewId="0">
      <selection activeCell="AA5" sqref="AA5:AY43"/>
    </sheetView>
  </sheetViews>
  <sheetFormatPr baseColWidth="10" defaultColWidth="12.77734375" defaultRowHeight="13.15" customHeight="1" x14ac:dyDescent="0.2"/>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5"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22</v>
      </c>
      <c r="D5" s="22"/>
      <c r="E5" s="126">
        <f ca="1">IF(C5="","",J5-H5)</f>
        <v>28</v>
      </c>
      <c r="F5" s="126">
        <f t="shared" ref="F5:F14" ca="1" si="0">IF(E5="","",G5+H5)</f>
        <v>0</v>
      </c>
      <c r="G5" s="128">
        <f ca="1">IF(E5="","",DZ5)</f>
        <v>0</v>
      </c>
      <c r="H5" s="129">
        <f ca="1">IF(C5="","",CZ5)</f>
        <v>0</v>
      </c>
      <c r="I5" s="126"/>
      <c r="J5" s="126">
        <f ca="1">IF(AND($B5&gt;=1,$B5&lt;=40,$C5&gt;=1,$C5&lt;=25),IF($B5&gt;1,SUM(INDIRECT("BA4:BY"&amp;($B5+2))),0)+SUM(INDIRECT("BA"&amp;($B5+3)&amp;":B"&amp;CHAR(64+$C5)&amp;($B5+3))),0)</f>
        <v>28</v>
      </c>
      <c r="K5" s="126">
        <f ca="1">$E5</f>
        <v>28</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17</v>
      </c>
      <c r="D6" s="22"/>
      <c r="E6" s="22">
        <f t="shared" ref="E6:E14" ca="1" si="53">IF(J6=J5,"",(J6-J5)-H6)</f>
        <v>23</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51</v>
      </c>
      <c r="K6" s="22">
        <f t="shared" ref="K6:K14" ca="1" si="57">IF(E6="",K5,K5+$E6)</f>
        <v>51</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23</v>
      </c>
      <c r="D7" s="22"/>
      <c r="E7" s="22">
        <f t="shared" ca="1" si="53"/>
        <v>24</v>
      </c>
      <c r="F7" s="22">
        <f t="shared" ca="1" si="0"/>
        <v>1</v>
      </c>
      <c r="G7" s="130">
        <f t="shared" ca="1" si="54"/>
        <v>0</v>
      </c>
      <c r="H7" s="131">
        <f t="shared" ca="1" si="55"/>
        <v>1</v>
      </c>
      <c r="I7" s="22"/>
      <c r="J7" s="22">
        <f t="shared" ca="1" si="56"/>
        <v>76</v>
      </c>
      <c r="K7" s="22">
        <f t="shared" ca="1" si="57"/>
        <v>75</v>
      </c>
      <c r="L7" s="22">
        <f t="shared" ca="1" si="58"/>
        <v>1</v>
      </c>
      <c r="M7" s="22">
        <f t="shared" ca="1" si="59"/>
        <v>0</v>
      </c>
      <c r="N7" s="22">
        <f t="shared" ca="1" si="60"/>
        <v>1</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1</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18</v>
      </c>
      <c r="C8" s="39">
        <v>11</v>
      </c>
      <c r="D8" s="22"/>
      <c r="E8" s="22">
        <f t="shared" ca="1" si="53"/>
        <v>22</v>
      </c>
      <c r="F8" s="22">
        <f t="shared" ca="1" si="0"/>
        <v>1</v>
      </c>
      <c r="G8" s="130">
        <f t="shared" ca="1" si="54"/>
        <v>0</v>
      </c>
      <c r="H8" s="131">
        <f t="shared" ca="1" si="55"/>
        <v>1</v>
      </c>
      <c r="I8" s="22"/>
      <c r="J8" s="22">
        <f t="shared" ca="1" si="56"/>
        <v>99</v>
      </c>
      <c r="K8" s="22">
        <f t="shared" ca="1" si="57"/>
        <v>97</v>
      </c>
      <c r="L8" s="22">
        <f t="shared" ca="1" si="58"/>
        <v>2</v>
      </c>
      <c r="M8" s="22">
        <f t="shared" ca="1" si="59"/>
        <v>0</v>
      </c>
      <c r="N8" s="22">
        <f t="shared" ca="1" si="60"/>
        <v>2</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2</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23</v>
      </c>
      <c r="C9" s="39">
        <v>9</v>
      </c>
      <c r="D9" s="22"/>
      <c r="E9" s="22">
        <f t="shared" ca="1" si="53"/>
        <v>32</v>
      </c>
      <c r="F9" s="22">
        <f t="shared" ca="1" si="0"/>
        <v>0</v>
      </c>
      <c r="G9" s="130">
        <f t="shared" ca="1" si="54"/>
        <v>0</v>
      </c>
      <c r="H9" s="131">
        <f t="shared" ca="1" si="55"/>
        <v>0</v>
      </c>
      <c r="I9" s="22"/>
      <c r="J9" s="22">
        <f t="shared" ca="1" si="56"/>
        <v>131</v>
      </c>
      <c r="K9" s="22">
        <f t="shared" ca="1" si="57"/>
        <v>129</v>
      </c>
      <c r="L9" s="22">
        <f t="shared" ca="1" si="58"/>
        <v>2</v>
      </c>
      <c r="M9" s="22">
        <f t="shared" ca="1" si="59"/>
        <v>0</v>
      </c>
      <c r="N9" s="22">
        <f t="shared" ca="1" si="60"/>
        <v>2</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2</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26</v>
      </c>
      <c r="C10" s="39">
        <v>15</v>
      </c>
      <c r="D10" s="22"/>
      <c r="E10" s="22">
        <f t="shared" ca="1" si="53"/>
        <v>19</v>
      </c>
      <c r="F10" s="22">
        <f t="shared" ca="1" si="0"/>
        <v>0</v>
      </c>
      <c r="G10" s="130">
        <f t="shared" ca="1" si="54"/>
        <v>0</v>
      </c>
      <c r="H10" s="131">
        <f t="shared" ca="1" si="55"/>
        <v>0</v>
      </c>
      <c r="I10" s="22"/>
      <c r="J10" s="22">
        <f t="shared" ca="1" si="56"/>
        <v>150</v>
      </c>
      <c r="K10" s="22">
        <f t="shared" ca="1" si="57"/>
        <v>148</v>
      </c>
      <c r="L10" s="22">
        <f t="shared" ca="1" si="58"/>
        <v>2</v>
      </c>
      <c r="M10" s="22">
        <f t="shared" ca="1" si="59"/>
        <v>0</v>
      </c>
      <c r="N10" s="22">
        <f t="shared" ca="1" si="60"/>
        <v>2</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2</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30</v>
      </c>
      <c r="C11" s="39">
        <v>14</v>
      </c>
      <c r="D11" s="22"/>
      <c r="E11" s="22">
        <f t="shared" ca="1" si="53"/>
        <v>24</v>
      </c>
      <c r="F11" s="22">
        <f t="shared" ca="1" si="0"/>
        <v>1</v>
      </c>
      <c r="G11" s="130">
        <f t="shared" ca="1" si="54"/>
        <v>0</v>
      </c>
      <c r="H11" s="131">
        <f t="shared" ca="1" si="55"/>
        <v>1</v>
      </c>
      <c r="I11" s="22"/>
      <c r="J11" s="22">
        <f t="shared" ca="1" si="56"/>
        <v>175</v>
      </c>
      <c r="K11" s="22">
        <f t="shared" ca="1" si="57"/>
        <v>172</v>
      </c>
      <c r="L11" s="22">
        <f t="shared" ca="1" si="58"/>
        <v>3</v>
      </c>
      <c r="M11" s="22">
        <f t="shared" ca="1" si="59"/>
        <v>0</v>
      </c>
      <c r="N11" s="22">
        <f t="shared" ca="1" si="60"/>
        <v>3</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3</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34</v>
      </c>
      <c r="C12" s="39">
        <v>19</v>
      </c>
      <c r="D12" s="22"/>
      <c r="E12" s="22">
        <f t="shared" ca="1" si="53"/>
        <v>31</v>
      </c>
      <c r="F12" s="22">
        <f t="shared" ca="1" si="0"/>
        <v>0</v>
      </c>
      <c r="G12" s="130">
        <f t="shared" ca="1" si="54"/>
        <v>0</v>
      </c>
      <c r="H12" s="131">
        <f t="shared" ca="1" si="55"/>
        <v>0</v>
      </c>
      <c r="I12" s="22"/>
      <c r="J12" s="22">
        <f t="shared" ca="1" si="56"/>
        <v>206</v>
      </c>
      <c r="K12" s="22">
        <f t="shared" ca="1" si="57"/>
        <v>203</v>
      </c>
      <c r="L12" s="22">
        <f t="shared" ca="1" si="58"/>
        <v>3</v>
      </c>
      <c r="M12" s="22">
        <f t="shared" ca="1" si="59"/>
        <v>0</v>
      </c>
      <c r="N12" s="22">
        <f t="shared" ca="1" si="60"/>
        <v>3</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3</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39</v>
      </c>
      <c r="C13" s="39">
        <v>7</v>
      </c>
      <c r="D13" s="22"/>
      <c r="E13" s="22">
        <f t="shared" ca="1" si="53"/>
        <v>21</v>
      </c>
      <c r="F13" s="22">
        <f t="shared" ca="1" si="0"/>
        <v>1</v>
      </c>
      <c r="G13" s="130">
        <f t="shared" ca="1" si="54"/>
        <v>0</v>
      </c>
      <c r="H13" s="131">
        <f t="shared" ca="1" si="55"/>
        <v>1</v>
      </c>
      <c r="I13" s="22"/>
      <c r="J13" s="22">
        <f t="shared" ca="1" si="56"/>
        <v>228</v>
      </c>
      <c r="K13" s="22">
        <f t="shared" ca="1" si="57"/>
        <v>224</v>
      </c>
      <c r="L13" s="22">
        <f t="shared" ca="1" si="58"/>
        <v>4</v>
      </c>
      <c r="M13" s="22">
        <f t="shared" ca="1" si="59"/>
        <v>0</v>
      </c>
      <c r="N13" s="22">
        <f t="shared" ca="1" si="60"/>
        <v>4</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4</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13</v>
      </c>
      <c r="F14" s="47">
        <f t="shared" ca="1" si="0"/>
        <v>0</v>
      </c>
      <c r="G14" s="48">
        <f t="shared" ca="1" si="54"/>
        <v>0</v>
      </c>
      <c r="H14" s="49">
        <f t="shared" ca="1" si="55"/>
        <v>0</v>
      </c>
      <c r="I14" s="47"/>
      <c r="J14" s="49">
        <f t="shared" ca="1" si="56"/>
        <v>241</v>
      </c>
      <c r="K14" s="127">
        <f t="shared" ca="1" si="57"/>
        <v>237</v>
      </c>
      <c r="L14" s="127">
        <f t="shared" ca="1" si="58"/>
        <v>4</v>
      </c>
      <c r="M14" s="127">
        <f t="shared" ca="1" si="59"/>
        <v>0</v>
      </c>
      <c r="N14" s="127">
        <f t="shared" ca="1" si="60"/>
        <v>4</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t="s">
        <v>397</v>
      </c>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1</v>
      </c>
      <c r="CZ14" s="36">
        <f t="shared" ca="1" si="26"/>
        <v>4</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23</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t="s">
        <v>397</v>
      </c>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1</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9.3833333333333329</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1.6597510373443984</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25.257548845470694</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0.42628774422735349</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0.42628774422735349</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19</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32</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13</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t="s">
        <v>397</v>
      </c>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1</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t="s">
        <v>397</v>
      </c>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1</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275DF-462C-430B-8022-9785C0354889}">
  <dimension ref="A1:Y39"/>
  <sheetViews>
    <sheetView topLeftCell="A28" zoomScale="58" workbookViewId="0">
      <selection activeCell="I40" sqref="I40"/>
    </sheetView>
  </sheetViews>
  <sheetFormatPr baseColWidth="10" defaultRowHeight="12.55" x14ac:dyDescent="0.2"/>
  <sheetData>
    <row r="1" spans="1:25" x14ac:dyDescent="0.2">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t="str">
        <f>T2B!AY14</f>
        <v>a</v>
      </c>
    </row>
    <row r="11" spans="1:25" x14ac:dyDescent="0.2">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t="str">
        <f>T2B!AI17</f>
        <v>a</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
      <c r="A27">
        <f>T2B!AA31</f>
        <v>0</v>
      </c>
      <c r="B27">
        <f>T2B!AB31</f>
        <v>0</v>
      </c>
      <c r="C27" t="str">
        <f>T2B!AC31</f>
        <v>a</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t="str">
        <f>T2B!AD41</f>
        <v>a</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2023-03-21T16:34:33Z</dcterms:modified>
</cp:coreProperties>
</file>