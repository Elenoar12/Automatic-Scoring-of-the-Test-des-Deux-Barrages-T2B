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10" documentId="8_{D470FF60-5E23-44C1-A3E6-A3ACBCC0D4A1}" xr6:coauthVersionLast="47" xr6:coauthVersionMax="47" xr10:uidLastSave="{B2AFC882-B431-43BE-BB8B-E4711A15CFD9}"/>
  <bookViews>
    <workbookView xWindow="3312" yWindow="3312"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J5" i="13"/>
  <c r="DZ11" i="13"/>
  <c r="DZ8" i="13"/>
  <c r="CZ6" i="13"/>
  <c r="CZ13" i="13"/>
  <c r="CZ14" i="13"/>
  <c r="DZ9" i="13"/>
  <c r="CZ10" i="13"/>
  <c r="DZ13" i="13"/>
  <c r="DZ14" i="13"/>
  <c r="CZ9" i="13"/>
  <c r="CZ11" i="13"/>
  <c r="DZ7" i="13"/>
  <c r="CZ8" i="13"/>
  <c r="CZ7" i="13"/>
  <c r="DZ10" i="13"/>
  <c r="DZ6" i="13"/>
  <c r="DZ12" i="13"/>
  <c r="CZ5" i="13"/>
  <c r="DZ5" i="13"/>
  <c r="CZ12"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L188" i="1" l="1"/>
  <c r="J182" i="1"/>
  <c r="J187" i="1"/>
  <c r="I18" i="1"/>
  <c r="K137" i="1"/>
  <c r="I60" i="1"/>
  <c r="J125" i="1"/>
  <c r="K186" i="1"/>
  <c r="I188" i="1"/>
  <c r="K188" i="1"/>
  <c r="K125"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9" i="13"/>
  <c r="E28" i="13"/>
  <c r="E30" i="13" l="1"/>
  <c r="F116" i="1" s="1"/>
  <c r="T1131" i="1" s="1"/>
  <c r="S1131" i="1" s="1"/>
  <c r="H116" i="1" s="1"/>
  <c r="L116" i="1" s="1"/>
  <c r="K116" i="1" l="1"/>
  <c r="J116" i="1"/>
  <c r="I116" i="1"/>
</calcChain>
</file>

<file path=xl/sharedStrings.xml><?xml version="1.0" encoding="utf-8"?>
<sst xmlns="http://schemas.openxmlformats.org/spreadsheetml/2006/main" count="2018" uniqueCount="400">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</sst>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19400" y="458932"/>
          <a:ext cx="1974850" cy="30797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66"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v>
      </c>
      <c r="D5" s="22"/>
      <c r="E5" s="126">
        <f ca="1">IF(C5="","",J5-H5)</f>
        <v>23</v>
      </c>
      <c r="F5" s="126">
        <f t="shared" ref="F5:F14" ca="1" si="0">IF(E5="","",G5+H5)</f>
        <v>0</v>
      </c>
      <c r="G5" s="128">
        <f ca="1">IF(E5="","",DZ5)</f>
        <v>0</v>
      </c>
      <c r="H5" s="129">
        <f ca="1">IF(C5="","",CZ5)</f>
        <v>0</v>
      </c>
      <c r="I5" s="126"/>
      <c r="J5" s="126">
        <f ca="1">IF(AND($B5&gt;=1,$B5&lt;=40,$C5&gt;=1,$C5&lt;=25),IF($B5&gt;1,SUM(INDIRECT("BA4:BY"&amp;($B5+2))),0)+SUM(INDIRECT("BA"&amp;($B5+3)&amp;":B"&amp;CHAR(64+$C5)&amp;($B5+3))),0)</f>
        <v>23</v>
      </c>
      <c r="K5" s="126">
        <f ca="1">$E5</f>
        <v>23</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8</v>
      </c>
      <c r="C6" s="39">
        <v>7</v>
      </c>
      <c r="D6" s="22"/>
      <c r="E6" s="22">
        <f t="shared" ref="E6:E14" ca="1" si="53">IF(J6=J5,"",(J6-J5)-H6)</f>
        <v>20</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43</v>
      </c>
      <c r="K6" s="22">
        <f t="shared" ref="K6:K14" ca="1" si="57">IF(E6="",K5,K5+$E6)</f>
        <v>43</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11</v>
      </c>
      <c r="C7" s="39">
        <v>11</v>
      </c>
      <c r="D7" s="22"/>
      <c r="E7" s="22">
        <f t="shared" ca="1" si="53"/>
        <v>17</v>
      </c>
      <c r="F7" s="22">
        <f t="shared" ca="1" si="0"/>
        <v>0</v>
      </c>
      <c r="G7" s="130">
        <f t="shared" ca="1" si="54"/>
        <v>0</v>
      </c>
      <c r="H7" s="131">
        <f t="shared" ca="1" si="55"/>
        <v>0</v>
      </c>
      <c r="I7" s="22"/>
      <c r="J7" s="22">
        <f t="shared" ca="1" si="56"/>
        <v>60</v>
      </c>
      <c r="K7" s="22">
        <f t="shared" ca="1" si="57"/>
        <v>60</v>
      </c>
      <c r="L7" s="22">
        <f t="shared" ca="1" si="58"/>
        <v>0</v>
      </c>
      <c r="M7" s="22">
        <f t="shared" ca="1" si="59"/>
        <v>0</v>
      </c>
      <c r="N7" s="22">
        <f t="shared" ca="1" si="60"/>
        <v>0</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0</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14</v>
      </c>
      <c r="C8" s="39">
        <v>20</v>
      </c>
      <c r="D8" s="22"/>
      <c r="E8" s="22">
        <f t="shared" ca="1" si="53"/>
        <v>19</v>
      </c>
      <c r="F8" s="22">
        <f t="shared" ca="1" si="0"/>
        <v>0</v>
      </c>
      <c r="G8" s="130">
        <f t="shared" ca="1" si="54"/>
        <v>0</v>
      </c>
      <c r="H8" s="131">
        <f t="shared" ca="1" si="55"/>
        <v>0</v>
      </c>
      <c r="I8" s="22"/>
      <c r="J8" s="22">
        <f t="shared" ca="1" si="56"/>
        <v>79</v>
      </c>
      <c r="K8" s="22">
        <f t="shared" ca="1" si="57"/>
        <v>79</v>
      </c>
      <c r="L8" s="22">
        <f t="shared" ca="1" si="58"/>
        <v>0</v>
      </c>
      <c r="M8" s="22">
        <f t="shared" ca="1" si="59"/>
        <v>0</v>
      </c>
      <c r="N8" s="22">
        <f t="shared" ca="1" si="60"/>
        <v>0</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0</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18</v>
      </c>
      <c r="C9" s="39">
        <v>7</v>
      </c>
      <c r="D9" s="22"/>
      <c r="E9" s="22">
        <f t="shared" ca="1" si="53"/>
        <v>19</v>
      </c>
      <c r="F9" s="22">
        <f t="shared" ca="1" si="0"/>
        <v>0</v>
      </c>
      <c r="G9" s="130">
        <f t="shared" ca="1" si="54"/>
        <v>0</v>
      </c>
      <c r="H9" s="131">
        <f t="shared" ca="1" si="55"/>
        <v>0</v>
      </c>
      <c r="I9" s="22"/>
      <c r="J9" s="22">
        <f t="shared" ca="1" si="56"/>
        <v>98</v>
      </c>
      <c r="K9" s="22">
        <f t="shared" ca="1" si="57"/>
        <v>98</v>
      </c>
      <c r="L9" s="22">
        <f t="shared" ca="1" si="58"/>
        <v>0</v>
      </c>
      <c r="M9" s="22">
        <f t="shared" ca="1" si="59"/>
        <v>0</v>
      </c>
      <c r="N9" s="22">
        <f t="shared" ca="1" si="60"/>
        <v>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21</v>
      </c>
      <c r="C10" s="39">
        <v>14</v>
      </c>
      <c r="D10" s="22"/>
      <c r="E10" s="22">
        <f t="shared" ca="1" si="53"/>
        <v>21</v>
      </c>
      <c r="F10" s="22">
        <f t="shared" ca="1" si="0"/>
        <v>0</v>
      </c>
      <c r="G10" s="130">
        <f t="shared" ca="1" si="54"/>
        <v>0</v>
      </c>
      <c r="H10" s="131">
        <f t="shared" ca="1" si="55"/>
        <v>0</v>
      </c>
      <c r="I10" s="22"/>
      <c r="J10" s="22">
        <f t="shared" ca="1" si="56"/>
        <v>119</v>
      </c>
      <c r="K10" s="22">
        <f t="shared" ca="1" si="57"/>
        <v>119</v>
      </c>
      <c r="L10" s="22">
        <f t="shared" ca="1" si="58"/>
        <v>0</v>
      </c>
      <c r="M10" s="22">
        <f t="shared" ca="1" si="59"/>
        <v>0</v>
      </c>
      <c r="N10" s="22">
        <f t="shared" ca="1" si="60"/>
        <v>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24</v>
      </c>
      <c r="C11" s="39">
        <v>24</v>
      </c>
      <c r="D11" s="22"/>
      <c r="E11" s="22">
        <f t="shared" ca="1" si="53"/>
        <v>22</v>
      </c>
      <c r="F11" s="22">
        <f t="shared" ca="1" si="0"/>
        <v>0</v>
      </c>
      <c r="G11" s="130">
        <f t="shared" ca="1" si="54"/>
        <v>0</v>
      </c>
      <c r="H11" s="131">
        <f t="shared" ca="1" si="55"/>
        <v>0</v>
      </c>
      <c r="I11" s="22"/>
      <c r="J11" s="22">
        <f t="shared" ca="1" si="56"/>
        <v>141</v>
      </c>
      <c r="K11" s="22">
        <f t="shared" ca="1" si="57"/>
        <v>141</v>
      </c>
      <c r="L11" s="22">
        <f t="shared" ca="1" si="58"/>
        <v>0</v>
      </c>
      <c r="M11" s="22">
        <f t="shared" ca="1" si="59"/>
        <v>0</v>
      </c>
      <c r="N11" s="22">
        <f t="shared" ca="1" si="60"/>
        <v>0</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0</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28</v>
      </c>
      <c r="C12" s="39">
        <v>5</v>
      </c>
      <c r="D12" s="22"/>
      <c r="E12" s="22">
        <f t="shared" ca="1" si="53"/>
        <v>22</v>
      </c>
      <c r="F12" s="22">
        <f t="shared" ca="1" si="0"/>
        <v>0</v>
      </c>
      <c r="G12" s="130">
        <f t="shared" ca="1" si="54"/>
        <v>0</v>
      </c>
      <c r="H12" s="131">
        <f t="shared" ca="1" si="55"/>
        <v>0</v>
      </c>
      <c r="I12" s="22"/>
      <c r="J12" s="22">
        <f t="shared" ca="1" si="56"/>
        <v>163</v>
      </c>
      <c r="K12" s="22">
        <f t="shared" ca="1" si="57"/>
        <v>163</v>
      </c>
      <c r="L12" s="22">
        <f t="shared" ca="1" si="58"/>
        <v>0</v>
      </c>
      <c r="M12" s="22">
        <f t="shared" ca="1" si="59"/>
        <v>0</v>
      </c>
      <c r="N12" s="22">
        <f t="shared" ca="1" si="60"/>
        <v>0</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0</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31</v>
      </c>
      <c r="C13" s="39">
        <v>17</v>
      </c>
      <c r="D13" s="22"/>
      <c r="E13" s="22">
        <f t="shared" ca="1" si="53"/>
        <v>20</v>
      </c>
      <c r="F13" s="22">
        <f t="shared" ca="1" si="0"/>
        <v>0</v>
      </c>
      <c r="G13" s="130">
        <f t="shared" ca="1" si="54"/>
        <v>0</v>
      </c>
      <c r="H13" s="131">
        <f t="shared" ca="1" si="55"/>
        <v>0</v>
      </c>
      <c r="I13" s="22"/>
      <c r="J13" s="22">
        <f t="shared" ca="1" si="56"/>
        <v>183</v>
      </c>
      <c r="K13" s="22">
        <f t="shared" ca="1" si="57"/>
        <v>183</v>
      </c>
      <c r="L13" s="22">
        <f t="shared" ca="1" si="58"/>
        <v>0</v>
      </c>
      <c r="M13" s="22">
        <f t="shared" ca="1" si="59"/>
        <v>0</v>
      </c>
      <c r="N13" s="22">
        <f t="shared" ca="1" si="60"/>
        <v>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35</v>
      </c>
      <c r="C14" s="39">
        <v>7</v>
      </c>
      <c r="D14" s="46"/>
      <c r="E14" s="47">
        <f t="shared" ca="1" si="53"/>
        <v>22</v>
      </c>
      <c r="F14" s="47">
        <f t="shared" ca="1" si="0"/>
        <v>3</v>
      </c>
      <c r="G14" s="48">
        <f t="shared" ca="1" si="54"/>
        <v>0</v>
      </c>
      <c r="H14" s="49">
        <f t="shared" ca="1" si="55"/>
        <v>3</v>
      </c>
      <c r="I14" s="47"/>
      <c r="J14" s="49">
        <f t="shared" ca="1" si="56"/>
        <v>208</v>
      </c>
      <c r="K14" s="127">
        <f t="shared" ca="1" si="57"/>
        <v>205</v>
      </c>
      <c r="L14" s="127">
        <f t="shared" ca="1" si="58"/>
        <v>3</v>
      </c>
      <c r="M14" s="127">
        <f t="shared" ca="1" si="59"/>
        <v>0</v>
      </c>
      <c r="N14" s="127">
        <f t="shared" ca="1" si="60"/>
        <v>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1.4423076923076923</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20.5</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0.3</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0.3</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17</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23</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t="s">
        <v>397</v>
      </c>
      <c r="AV35" s="41" t="s">
        <v>397</v>
      </c>
      <c r="AW35" s="41" t="s">
        <v>397</v>
      </c>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1</v>
      </c>
      <c r="CV35" s="36">
        <f t="shared" si="22"/>
        <v>1</v>
      </c>
      <c r="CW35" s="36">
        <f t="shared" si="23"/>
        <v>1</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0FA12-0947-403B-8E1B-DF2F87E0A1CD}">
  <dimension ref="A1:Y39"/>
  <sheetViews>
    <sheetView zoomScale="42"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t="str">
        <f>T2B!AU35</f>
        <v>a</v>
      </c>
      <c r="V31" t="str">
        <f>T2B!AV35</f>
        <v>a</v>
      </c>
      <c r="W31" t="str">
        <f>T2B!AW35</f>
        <v>a</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2023-02-22T10:31:13Z</dcterms:modified>
</cp:coreProperties>
</file>