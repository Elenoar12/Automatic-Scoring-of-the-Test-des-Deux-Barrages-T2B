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3" documentId="8_{F353054F-CDBC-4370-9EE9-4365CDE188B2}" xr6:coauthVersionLast="47" xr6:coauthVersionMax="47" xr10:uidLastSave="{B1850657-F40C-40E6-BE0B-748658C7BB21}"/>
  <bookViews>
    <workbookView xWindow="-113" yWindow="-113" windowWidth="24267" windowHeight="13749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 l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CZ8" i="1"/>
  <c r="J6" i="1"/>
  <c r="DZ9" i="1"/>
  <c r="CZ13" i="1"/>
  <c r="DZ12" i="1"/>
  <c r="J9" i="1"/>
  <c r="J11" i="1"/>
  <c r="CZ12" i="1"/>
  <c r="J5" i="1"/>
  <c r="DZ7" i="1"/>
  <c r="CZ11" i="1"/>
  <c r="J8" i="1"/>
  <c r="DZ5" i="1"/>
  <c r="CZ6" i="1"/>
  <c r="CZ14" i="1"/>
  <c r="DZ11" i="1"/>
  <c r="DZ14" i="1"/>
  <c r="J12" i="1"/>
  <c r="CZ7" i="1"/>
  <c r="J14" i="1"/>
  <c r="CZ9" i="1"/>
  <c r="DZ13" i="1"/>
  <c r="CZ5" i="1"/>
  <c r="CZ10" i="1"/>
  <c r="DZ6" i="1"/>
  <c r="DZ10" i="1"/>
  <c r="J7" i="1"/>
  <c r="J10" i="1"/>
  <c r="J13" i="1"/>
  <c r="DZ8" i="1"/>
  <c r="H14" i="1" l="1"/>
  <c r="E14" i="1" s="1"/>
  <c r="H7" i="1"/>
  <c r="H11" i="1"/>
  <c r="E11" i="1" s="1"/>
  <c r="H6" i="1"/>
  <c r="H10" i="1"/>
  <c r="E10" i="1" s="1"/>
  <c r="H12" i="1"/>
  <c r="E12" i="1" s="1"/>
  <c r="H8" i="1"/>
  <c r="H5" i="1"/>
  <c r="N5" i="1" s="1"/>
  <c r="H9" i="1"/>
  <c r="E9" i="1" s="1"/>
  <c r="H13" i="1"/>
  <c r="E13" i="1" s="1"/>
  <c r="N6" i="1" l="1"/>
  <c r="N7" i="1" s="1"/>
  <c r="N8" i="1" s="1"/>
  <c r="N9" i="1" s="1"/>
  <c r="N10" i="1" s="1"/>
  <c r="N11" i="1" s="1"/>
  <c r="N12" i="1" s="1"/>
  <c r="N13" i="1" s="1"/>
  <c r="N14" i="1" s="1"/>
  <c r="E26" i="1" s="1"/>
  <c r="E5" i="1"/>
  <c r="G5" i="1" s="1"/>
  <c r="M5" i="1" s="1"/>
  <c r="E6" i="1"/>
  <c r="G6" i="1" s="1"/>
  <c r="F6" i="1" s="1"/>
  <c r="G9" i="1"/>
  <c r="F9" i="1" s="1"/>
  <c r="G11" i="1"/>
  <c r="F11" i="1" s="1"/>
  <c r="G10" i="1"/>
  <c r="F10" i="1" s="1"/>
  <c r="E8" i="1"/>
  <c r="G13" i="1"/>
  <c r="F13" i="1" s="1"/>
  <c r="E7" i="1"/>
  <c r="G14" i="1"/>
  <c r="F14" i="1" s="1"/>
  <c r="G12" i="1"/>
  <c r="F12" i="1" s="1"/>
  <c r="K5" i="1" l="1"/>
  <c r="K6" i="1"/>
  <c r="K7" i="1" s="1"/>
  <c r="K8" i="1" s="1"/>
  <c r="K9" i="1" s="1"/>
  <c r="K10" i="1" s="1"/>
  <c r="K11" i="1" s="1"/>
  <c r="K12" i="1" s="1"/>
  <c r="K13" i="1" s="1"/>
  <c r="K14" i="1" s="1"/>
  <c r="E23" i="1" s="1"/>
  <c r="F5" i="1"/>
  <c r="L5" i="1" s="1"/>
  <c r="L6" i="1" s="1"/>
  <c r="G7" i="1"/>
  <c r="G8" i="1"/>
  <c r="F8" i="1" s="1"/>
  <c r="M6" i="1"/>
  <c r="M7" i="1" l="1"/>
  <c r="M8" i="1" s="1"/>
  <c r="M9" i="1" s="1"/>
  <c r="M10" i="1" s="1"/>
  <c r="M11" i="1" s="1"/>
  <c r="M12" i="1" s="1"/>
  <c r="M13" i="1" s="1"/>
  <c r="M14" i="1" s="1"/>
  <c r="E25" i="1" s="1"/>
  <c r="F7" i="1"/>
  <c r="L7" i="1" s="1"/>
  <c r="L8" i="1" s="1"/>
  <c r="L9" i="1" s="1"/>
  <c r="L10" i="1" s="1"/>
  <c r="L11" i="1" s="1"/>
  <c r="L12" i="1" s="1"/>
  <c r="L13" i="1" s="1"/>
  <c r="L14" i="1" s="1"/>
  <c r="E28" i="1"/>
  <c r="E29" i="1"/>
  <c r="E30" i="1" l="1"/>
  <c r="E24" i="1"/>
  <c r="E22" i="1"/>
</calcChain>
</file>

<file path=xl/sharedStrings.xml><?xml version="1.0" encoding="utf-8"?>
<sst xmlns="http://schemas.openxmlformats.org/spreadsheetml/2006/main" count="44" uniqueCount="41">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</sst>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3/Abgeschlossene/Jabas%20Mathieu%20(83,%20NP,%20sb)/Jabas%20Mathieu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44944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opLeftCell="A12" workbookViewId="0">
      <selection activeCell="AA5" sqref="AA5:AY43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5" t="s">
        <v>0</v>
      </c>
      <c r="C2" s="66"/>
      <c r="D2" s="66"/>
      <c r="E2" s="66"/>
      <c r="F2" s="67"/>
      <c r="G2" s="8"/>
      <c r="H2" s="8"/>
      <c r="I2" s="8"/>
      <c r="J2" s="8"/>
      <c r="K2" s="8"/>
      <c r="L2" s="68" t="s">
        <v>1</v>
      </c>
      <c r="M2" s="68"/>
      <c r="N2" s="68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9" t="s">
        <v>4</v>
      </c>
      <c r="C3" s="7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5</v>
      </c>
      <c r="C5" s="27">
        <v>22</v>
      </c>
      <c r="D5" s="28"/>
      <c r="E5" s="29">
        <f ca="1">IF(C5="","",J5-H5)</f>
        <v>27</v>
      </c>
      <c r="F5" s="29">
        <f t="shared" ref="F5:F14" ca="1" si="0">IF(E5="","",G5+H5)</f>
        <v>1</v>
      </c>
      <c r="G5" s="30">
        <f ca="1">IF(E5="","",DZ5)</f>
        <v>0</v>
      </c>
      <c r="H5" s="31">
        <f ca="1">IF(C5="","",CZ5)</f>
        <v>1</v>
      </c>
      <c r="I5" s="29"/>
      <c r="J5" s="29">
        <f ca="1">IF(AND($B5&gt;=1,$B5&lt;=40,$C5&gt;=1,$C5&lt;=25),IF($B5&gt;1,SUM(INDIRECT("BA4:BY"&amp;($B5+2))),0)+SUM(INDIRECT("BA"&amp;($B5+3)&amp;":B"&amp;CHAR(64+$C5)&amp;($B5+3))),0)</f>
        <v>28</v>
      </c>
      <c r="K5" s="29">
        <f ca="1">$E5</f>
        <v>27</v>
      </c>
      <c r="L5" s="29">
        <f ca="1">$F5</f>
        <v>1</v>
      </c>
      <c r="M5" s="29">
        <f ca="1">$G5</f>
        <v>0</v>
      </c>
      <c r="N5" s="29">
        <f ca="1">$H5</f>
        <v>1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1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9</v>
      </c>
      <c r="C6" s="27">
        <v>15</v>
      </c>
      <c r="D6" s="28"/>
      <c r="E6" s="28">
        <f t="shared" ref="E6:E14" ca="1" si="7">IF(J6=J5,"",(J6-J5)-H6)</f>
        <v>22</v>
      </c>
      <c r="F6" s="28">
        <f t="shared" ca="1" si="0"/>
        <v>1</v>
      </c>
      <c r="G6" s="36">
        <f t="shared" ref="G6:G14" ca="1" si="8">IF(E6="","",DZ6-DZ5)</f>
        <v>0</v>
      </c>
      <c r="H6" s="37">
        <f t="shared" ref="H6:H14" ca="1" si="9">IF(C6="","",CZ6-CZ5)</f>
        <v>1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51</v>
      </c>
      <c r="K6" s="28">
        <f t="shared" ref="K6:K14" ca="1" si="11">IF(E6="",K5,K5+$E6)</f>
        <v>49</v>
      </c>
      <c r="L6" s="28">
        <f t="shared" ref="L6:L14" ca="1" si="12">IF(F6="",L5,L5+$F6)</f>
        <v>2</v>
      </c>
      <c r="M6" s="28">
        <f t="shared" ref="M6:M14" ca="1" si="13">IF(G6="",M5,M5+$G6)</f>
        <v>0</v>
      </c>
      <c r="N6" s="28">
        <f t="shared" ref="N6:N14" ca="1" si="14">IF(H6="",N5,N5+$H6)</f>
        <v>2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2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13</v>
      </c>
      <c r="C7" s="27">
        <v>16</v>
      </c>
      <c r="D7" s="28"/>
      <c r="E7" s="28">
        <f t="shared" ca="1" si="7"/>
        <v>23</v>
      </c>
      <c r="F7" s="28">
        <f t="shared" ca="1" si="0"/>
        <v>0</v>
      </c>
      <c r="G7" s="36">
        <f t="shared" ca="1" si="8"/>
        <v>0</v>
      </c>
      <c r="H7" s="37">
        <f t="shared" ca="1" si="9"/>
        <v>0</v>
      </c>
      <c r="I7" s="28"/>
      <c r="J7" s="28">
        <f t="shared" ca="1" si="10"/>
        <v>74</v>
      </c>
      <c r="K7" s="28">
        <f t="shared" ca="1" si="11"/>
        <v>72</v>
      </c>
      <c r="L7" s="28">
        <f t="shared" ca="1" si="12"/>
        <v>2</v>
      </c>
      <c r="M7" s="28">
        <f t="shared" ca="1" si="13"/>
        <v>0</v>
      </c>
      <c r="N7" s="28">
        <f t="shared" ca="1" si="14"/>
        <v>2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 t="s">
        <v>3</v>
      </c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1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2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16</v>
      </c>
      <c r="C8" s="27">
        <v>25</v>
      </c>
      <c r="D8" s="28"/>
      <c r="E8" s="28">
        <f t="shared" ca="1" si="7"/>
        <v>17</v>
      </c>
      <c r="F8" s="28">
        <f t="shared" ca="1" si="0"/>
        <v>0</v>
      </c>
      <c r="G8" s="36">
        <f t="shared" ca="1" si="8"/>
        <v>0</v>
      </c>
      <c r="H8" s="37">
        <f t="shared" ca="1" si="9"/>
        <v>0</v>
      </c>
      <c r="I8" s="28"/>
      <c r="J8" s="28">
        <f t="shared" ca="1" si="10"/>
        <v>91</v>
      </c>
      <c r="K8" s="28">
        <f t="shared" ca="1" si="11"/>
        <v>89</v>
      </c>
      <c r="L8" s="28">
        <f t="shared" ca="1" si="12"/>
        <v>2</v>
      </c>
      <c r="M8" s="28">
        <f t="shared" ca="1" si="13"/>
        <v>0</v>
      </c>
      <c r="N8" s="28">
        <f t="shared" ca="1" si="14"/>
        <v>2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/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0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2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20</v>
      </c>
      <c r="C9" s="27">
        <v>12</v>
      </c>
      <c r="D9" s="28"/>
      <c r="E9" s="28">
        <f t="shared" ca="1" si="7"/>
        <v>20</v>
      </c>
      <c r="F9" s="28">
        <f t="shared" ca="1" si="0"/>
        <v>0</v>
      </c>
      <c r="G9" s="36">
        <f t="shared" ca="1" si="8"/>
        <v>0</v>
      </c>
      <c r="H9" s="37">
        <f t="shared" ca="1" si="9"/>
        <v>0</v>
      </c>
      <c r="I9" s="28"/>
      <c r="J9" s="28">
        <f t="shared" ca="1" si="10"/>
        <v>111</v>
      </c>
      <c r="K9" s="28">
        <f t="shared" ca="1" si="11"/>
        <v>109</v>
      </c>
      <c r="L9" s="28">
        <f t="shared" ca="1" si="12"/>
        <v>2</v>
      </c>
      <c r="M9" s="28">
        <f t="shared" ca="1" si="13"/>
        <v>0</v>
      </c>
      <c r="N9" s="28">
        <f t="shared" ca="1" si="14"/>
        <v>2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 t="s">
        <v>3</v>
      </c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1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2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24</v>
      </c>
      <c r="C10" s="27">
        <v>5</v>
      </c>
      <c r="D10" s="28"/>
      <c r="E10" s="28">
        <f t="shared" ca="1" si="7"/>
        <v>27</v>
      </c>
      <c r="F10" s="28">
        <f t="shared" ca="1" si="0"/>
        <v>0</v>
      </c>
      <c r="G10" s="36">
        <f t="shared" ca="1" si="8"/>
        <v>0</v>
      </c>
      <c r="H10" s="37">
        <f t="shared" ca="1" si="9"/>
        <v>0</v>
      </c>
      <c r="I10" s="28"/>
      <c r="J10" s="28">
        <f t="shared" ca="1" si="10"/>
        <v>138</v>
      </c>
      <c r="K10" s="28">
        <f t="shared" ca="1" si="11"/>
        <v>136</v>
      </c>
      <c r="L10" s="28">
        <f t="shared" ca="1" si="12"/>
        <v>2</v>
      </c>
      <c r="M10" s="28">
        <f t="shared" ca="1" si="13"/>
        <v>0</v>
      </c>
      <c r="N10" s="28">
        <f t="shared" ca="1" si="14"/>
        <v>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2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27</v>
      </c>
      <c r="C11" s="27">
        <v>17</v>
      </c>
      <c r="D11" s="28"/>
      <c r="E11" s="28">
        <f t="shared" ca="1" si="7"/>
        <v>21</v>
      </c>
      <c r="F11" s="28">
        <f t="shared" ca="1" si="0"/>
        <v>0</v>
      </c>
      <c r="G11" s="36">
        <f t="shared" ca="1" si="8"/>
        <v>0</v>
      </c>
      <c r="H11" s="37">
        <f t="shared" ca="1" si="9"/>
        <v>0</v>
      </c>
      <c r="I11" s="28"/>
      <c r="J11" s="28">
        <f t="shared" ca="1" si="10"/>
        <v>159</v>
      </c>
      <c r="K11" s="28">
        <f t="shared" ca="1" si="11"/>
        <v>157</v>
      </c>
      <c r="L11" s="28">
        <f t="shared" ca="1" si="12"/>
        <v>2</v>
      </c>
      <c r="M11" s="28">
        <f t="shared" ca="1" si="13"/>
        <v>0</v>
      </c>
      <c r="N11" s="28">
        <f t="shared" ca="1" si="14"/>
        <v>2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/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0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2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30</v>
      </c>
      <c r="C12" s="27">
        <v>17</v>
      </c>
      <c r="D12" s="28"/>
      <c r="E12" s="28">
        <f t="shared" ca="1" si="7"/>
        <v>17</v>
      </c>
      <c r="F12" s="28">
        <f t="shared" ca="1" si="0"/>
        <v>1</v>
      </c>
      <c r="G12" s="36">
        <f t="shared" ca="1" si="8"/>
        <v>0</v>
      </c>
      <c r="H12" s="37">
        <f t="shared" ca="1" si="9"/>
        <v>1</v>
      </c>
      <c r="I12" s="28"/>
      <c r="J12" s="28">
        <f t="shared" ca="1" si="10"/>
        <v>177</v>
      </c>
      <c r="K12" s="28">
        <f t="shared" ca="1" si="11"/>
        <v>174</v>
      </c>
      <c r="L12" s="28">
        <f t="shared" ca="1" si="12"/>
        <v>3</v>
      </c>
      <c r="M12" s="28">
        <f t="shared" ca="1" si="13"/>
        <v>0</v>
      </c>
      <c r="N12" s="28">
        <f t="shared" ca="1" si="14"/>
        <v>3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3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>
        <v>34</v>
      </c>
      <c r="C13" s="27">
        <v>8</v>
      </c>
      <c r="D13" s="28"/>
      <c r="E13" s="28">
        <f t="shared" ca="1" si="7"/>
        <v>25</v>
      </c>
      <c r="F13" s="28">
        <f t="shared" ca="1" si="0"/>
        <v>0</v>
      </c>
      <c r="G13" s="36">
        <f t="shared" ca="1" si="8"/>
        <v>0</v>
      </c>
      <c r="H13" s="37">
        <f t="shared" ca="1" si="9"/>
        <v>0</v>
      </c>
      <c r="I13" s="28"/>
      <c r="J13" s="28">
        <f t="shared" ca="1" si="10"/>
        <v>202</v>
      </c>
      <c r="K13" s="28">
        <f t="shared" ca="1" si="11"/>
        <v>199</v>
      </c>
      <c r="L13" s="28">
        <f t="shared" ca="1" si="12"/>
        <v>3</v>
      </c>
      <c r="M13" s="28">
        <f t="shared" ca="1" si="13"/>
        <v>0</v>
      </c>
      <c r="N13" s="28">
        <f t="shared" ca="1" si="14"/>
        <v>3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/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0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3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0</v>
      </c>
    </row>
    <row r="14" spans="1:130" x14ac:dyDescent="0.25">
      <c r="A14" s="16">
        <v>10</v>
      </c>
      <c r="B14" s="26">
        <v>38</v>
      </c>
      <c r="C14" s="27">
        <v>9</v>
      </c>
      <c r="D14" s="40"/>
      <c r="E14" s="41">
        <f t="shared" ca="1" si="7"/>
        <v>20</v>
      </c>
      <c r="F14" s="41">
        <f t="shared" ca="1" si="0"/>
        <v>0</v>
      </c>
      <c r="G14" s="42">
        <f t="shared" ca="1" si="8"/>
        <v>0</v>
      </c>
      <c r="H14" s="43">
        <f t="shared" ca="1" si="9"/>
        <v>0</v>
      </c>
      <c r="I14" s="41"/>
      <c r="J14" s="43">
        <f t="shared" ca="1" si="10"/>
        <v>222</v>
      </c>
      <c r="K14" s="44">
        <f t="shared" ca="1" si="11"/>
        <v>219</v>
      </c>
      <c r="L14" s="44">
        <f t="shared" ca="1" si="12"/>
        <v>3</v>
      </c>
      <c r="M14" s="44">
        <f t="shared" ca="1" si="13"/>
        <v>0</v>
      </c>
      <c r="N14" s="44">
        <f t="shared" ca="1" si="14"/>
        <v>3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3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/>
      <c r="AS15" s="33"/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0</v>
      </c>
      <c r="CS15" s="25">
        <f t="shared" si="2"/>
        <v>0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/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0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/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0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1" t="str">
        <f>IF([1]Ergebnisse!C2="","",[1]Ergebnisse!C2)</f>
        <v>A</v>
      </c>
      <c r="F18" s="72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3">
        <f>IF([1]Ergebnisse!C8="","",[1]Ergebnisse!C8)</f>
        <v>44944</v>
      </c>
      <c r="F19" s="74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/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0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1.3513513513513513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21.9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0.3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0.3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/>
      <c r="AP26" s="34"/>
      <c r="AQ26" s="33"/>
      <c r="AR26" s="34"/>
      <c r="AS26" s="34"/>
      <c r="AT26" s="34"/>
      <c r="AU26" s="33"/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/>
      <c r="AQ27" s="34"/>
      <c r="AR27" s="34"/>
      <c r="AS27" s="34"/>
      <c r="AT27" s="33"/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0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0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17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27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/>
      <c r="AL29" s="34"/>
      <c r="AM29" s="34"/>
      <c r="AN29" s="34"/>
      <c r="AO29" s="33"/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0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0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10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/>
      <c r="AF30" s="33"/>
      <c r="AG30" s="34"/>
      <c r="AH30" s="34"/>
      <c r="AI30" s="34"/>
      <c r="AJ30" s="33"/>
      <c r="AK30" s="34"/>
      <c r="AL30" s="34"/>
      <c r="AM30" s="34"/>
      <c r="AN30" s="34"/>
      <c r="AO30" s="34"/>
      <c r="AP30" s="33"/>
      <c r="AQ30" s="34"/>
      <c r="AR30" s="34"/>
      <c r="AS30" s="34"/>
      <c r="AT30" s="33"/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0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0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0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 t="s">
        <v>3</v>
      </c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/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1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0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4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4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/>
      <c r="AB33" s="34"/>
      <c r="AC33" s="34"/>
      <c r="AD33" s="34"/>
      <c r="AE33" s="33"/>
      <c r="AF33" s="34"/>
      <c r="AG33" s="34"/>
      <c r="AH33" s="33"/>
      <c r="AI33" s="34"/>
      <c r="AJ33" s="34"/>
      <c r="AK33" s="33"/>
      <c r="AL33" s="34"/>
      <c r="AM33" s="34"/>
      <c r="AN33" s="34"/>
      <c r="AO33" s="33"/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0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0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4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/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0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4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/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0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4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4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/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0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62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62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27BDF-33D7-4A75-84C3-57733AE2C1F8}">
  <dimension ref="A1:Y39"/>
  <sheetViews>
    <sheetView tabSelected="1" workbookViewId="0">
      <selection sqref="A1:Y39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 t="str">
        <f>T2B!AJ7</f>
        <v>a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 t="str">
        <f>T2B!AA9</f>
        <v>a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>
        <f>T2B!AN13</f>
        <v>0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>
        <f>T2B!AJ20</f>
        <v>0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>
        <f>T2B!AT27</f>
        <v>0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>
        <f>T2B!AK29</f>
        <v>0</v>
      </c>
      <c r="L25">
        <f>T2B!AL29</f>
        <v>0</v>
      </c>
      <c r="M25">
        <f>T2B!AM29</f>
        <v>0</v>
      </c>
      <c r="N25">
        <f>T2B!AN29</f>
        <v>0</v>
      </c>
      <c r="O25">
        <f>T2B!AO29</f>
        <v>0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>
        <f>T2B!AJ30</f>
        <v>0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>
        <f>T2B!AT30</f>
        <v>0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 t="str">
        <f>T2B!AJ31</f>
        <v>a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>
        <f>T2B!AA33</f>
        <v>0</v>
      </c>
      <c r="B29">
        <f>T2B!AB33</f>
        <v>0</v>
      </c>
      <c r="C29">
        <f>T2B!AC33</f>
        <v>0</v>
      </c>
      <c r="D29">
        <f>T2B!AD33</f>
        <v>0</v>
      </c>
      <c r="E29">
        <f>T2B!AE33</f>
        <v>0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>
        <f>T2B!AD34</f>
        <v>0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2023-02-06T13:06:49Z</dcterms:created>
  <dcterms:modified xsi:type="dcterms:W3CDTF">2023-03-17T15:20:01Z</dcterms:modified>
</cp:coreProperties>
</file>