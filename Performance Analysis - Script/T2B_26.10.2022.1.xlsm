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script/"/>
    </mc:Choice>
  </mc:AlternateContent>
  <xr:revisionPtr revIDLastSave="10" documentId="8_{D470FF60-5E23-44C1-A3E6-A3ACBCC0D4A1}" xr6:coauthVersionLast="47" xr6:coauthVersionMax="47" xr10:uidLastSave="{B2AFC882-B431-43BE-BB8B-E4711A15CFD9}"/>
  <bookViews>
    <workbookView xWindow="-113" yWindow="-113" windowWidth="24267" windowHeight="13749"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DZ11" i="13"/>
  <c r="DZ14" i="13"/>
  <c r="DZ12" i="13"/>
  <c r="DZ8" i="13"/>
  <c r="CZ9" i="13"/>
  <c r="CZ5" i="13"/>
  <c r="DZ9" i="13"/>
  <c r="CZ10" i="13"/>
  <c r="DZ13" i="13"/>
  <c r="CZ6" i="13"/>
  <c r="CZ11" i="13"/>
  <c r="DZ5" i="13"/>
  <c r="CZ13" i="13"/>
  <c r="DZ7" i="13"/>
  <c r="CZ12" i="13"/>
  <c r="CZ7" i="13"/>
  <c r="DZ10" i="13"/>
  <c r="J5" i="13"/>
  <c r="DZ6" i="13"/>
  <c r="CZ14" i="13"/>
  <c r="CZ8"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M185" i="1"/>
  <c r="J185"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L189" i="1"/>
  <c r="S1157" i="1"/>
  <c r="H148" i="1" s="1"/>
  <c r="S1144" i="1"/>
  <c r="H132" i="1" s="1"/>
  <c r="H73" i="1"/>
  <c r="S1095" i="1"/>
  <c r="J7" i="13"/>
  <c r="L188" i="1" l="1"/>
  <c r="J182" i="1"/>
  <c r="J187" i="1"/>
  <c r="I18" i="1"/>
  <c r="K137" i="1"/>
  <c r="I60" i="1"/>
  <c r="J125" i="1"/>
  <c r="K186" i="1"/>
  <c r="I188" i="1"/>
  <c r="K188" i="1"/>
  <c r="K125" i="1"/>
  <c r="L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9" i="13"/>
  <c r="E28" i="13"/>
  <c r="E30" i="13" l="1"/>
  <c r="F116" i="1" s="1"/>
  <c r="T1131" i="1" s="1"/>
  <c r="S1131" i="1" s="1"/>
  <c r="H116" i="1" s="1"/>
  <c r="L116" i="1" s="1"/>
  <c r="K116" i="1" l="1"/>
  <c r="J116" i="1"/>
  <c r="I116" i="1"/>
</calcChain>
</file>

<file path=xl/sharedStrings.xml><?xml version="1.0" encoding="utf-8"?>
<sst xmlns="http://schemas.openxmlformats.org/spreadsheetml/2006/main" count="2018" uniqueCount="400">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</sst>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454892" y="1329697"/>
          <a:ext cx="2033219" cy="3057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935356" y="454414"/>
          <a:ext cx="2063199" cy="305967"/>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2.55" x14ac:dyDescent="0.2"/>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15" customHeight="1" x14ac:dyDescent="0.2"/>
    <row r="2" spans="2:16" ht="20.05" customHeight="1" x14ac:dyDescent="0.35">
      <c r="B2" s="187" t="s">
        <v>50</v>
      </c>
      <c r="C2" s="136" t="s">
        <v>128</v>
      </c>
      <c r="D2" s="280" t="s">
        <v>128</v>
      </c>
      <c r="E2" s="226"/>
      <c r="F2" s="297" t="s">
        <v>0</v>
      </c>
      <c r="G2" s="298"/>
      <c r="H2" s="298"/>
      <c r="I2" s="298"/>
      <c r="J2" s="298"/>
      <c r="K2" s="298"/>
      <c r="L2" s="111"/>
      <c r="M2" s="233" t="s">
        <v>373</v>
      </c>
    </row>
    <row r="3" spans="2:16" ht="14.1" customHeight="1" x14ac:dyDescent="0.35">
      <c r="B3" s="132" t="s">
        <v>1</v>
      </c>
      <c r="C3" s="227"/>
      <c r="D3" s="279" t="s">
        <v>272</v>
      </c>
      <c r="E3" s="228"/>
      <c r="F3" s="292"/>
      <c r="G3" s="292"/>
      <c r="H3" s="292"/>
      <c r="I3" s="292"/>
      <c r="J3" s="292"/>
      <c r="K3" s="292"/>
      <c r="L3" s="125"/>
      <c r="M3" s="94"/>
      <c r="O3" s="27" t="s">
        <v>389</v>
      </c>
    </row>
    <row r="4" spans="2:16" ht="14.1" customHeight="1" x14ac:dyDescent="0.25">
      <c r="B4" s="132" t="s">
        <v>2</v>
      </c>
      <c r="C4" s="227"/>
      <c r="D4" s="228"/>
      <c r="E4" s="228"/>
      <c r="F4" s="302" t="s">
        <v>352</v>
      </c>
      <c r="G4" s="303"/>
      <c r="H4" s="303"/>
      <c r="I4" s="303"/>
      <c r="J4" s="303"/>
      <c r="K4" s="303"/>
      <c r="L4" s="303"/>
      <c r="M4" s="304"/>
      <c r="O4" s="287" t="s">
        <v>398</v>
      </c>
      <c r="P4" s="234"/>
    </row>
    <row r="5" spans="2:16" ht="14.1" customHeight="1" x14ac:dyDescent="0.25">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5">
      <c r="B7" s="132" t="s">
        <v>6</v>
      </c>
      <c r="C7" s="238"/>
      <c r="D7" s="225" t="s">
        <v>314</v>
      </c>
      <c r="E7" s="230" t="str">
        <f>IF(OR(C7="",C8="",E9&lt;15,E9&gt;70,C6&gt;E9+6,C6&lt;4,C6&gt;28)=TRUE,"",E9)</f>
        <v/>
      </c>
      <c r="F7" s="307" t="s">
        <v>7</v>
      </c>
      <c r="G7" s="308"/>
      <c r="H7" s="308"/>
      <c r="I7" s="3"/>
      <c r="J7" s="3"/>
      <c r="K7" s="3"/>
      <c r="L7" s="3"/>
      <c r="M7" s="82"/>
    </row>
    <row r="8" spans="2:16" ht="20.05" customHeight="1" x14ac:dyDescent="0.2">
      <c r="B8" s="188" t="s">
        <v>8</v>
      </c>
      <c r="C8" s="189"/>
      <c r="D8" s="229"/>
      <c r="E8" s="229"/>
      <c r="F8" s="308"/>
      <c r="G8" s="308"/>
      <c r="H8" s="308"/>
      <c r="I8" s="5"/>
      <c r="J8" s="4" t="s">
        <v>9</v>
      </c>
      <c r="K8" s="3"/>
      <c r="L8" s="3"/>
      <c r="M8" s="82"/>
    </row>
    <row r="9" spans="2:16" ht="30.05" customHeight="1" x14ac:dyDescent="0.2">
      <c r="B9" s="112"/>
      <c r="C9" s="113"/>
      <c r="D9" s="113"/>
      <c r="E9" s="235">
        <f>(C8-C7)/365.25</f>
        <v>0</v>
      </c>
      <c r="F9" s="299" t="s">
        <v>395</v>
      </c>
      <c r="G9" s="300"/>
      <c r="H9" s="300"/>
      <c r="I9" s="300"/>
      <c r="J9" s="300"/>
      <c r="K9" s="300"/>
      <c r="L9" s="300"/>
      <c r="M9" s="301"/>
    </row>
    <row r="10" spans="2:16" ht="19.600000000000001"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55" x14ac:dyDescent="0.25">
      <c r="B11" s="243" t="s">
        <v>17</v>
      </c>
      <c r="C11" s="244"/>
      <c r="D11" s="244"/>
      <c r="E11" s="244"/>
      <c r="F11" s="245"/>
      <c r="G11" s="246"/>
      <c r="H11" s="246"/>
      <c r="I11" s="246"/>
      <c r="J11" s="246"/>
      <c r="K11" s="246"/>
      <c r="L11" s="246"/>
      <c r="M11" s="247"/>
    </row>
    <row r="12" spans="2:16" ht="8.15" customHeight="1" x14ac:dyDescent="0.2">
      <c r="B12" s="84"/>
      <c r="C12" s="193"/>
      <c r="D12" s="193"/>
      <c r="E12" s="193"/>
      <c r="F12" s="305" t="s">
        <v>394</v>
      </c>
      <c r="G12" s="298"/>
      <c r="H12" s="298"/>
      <c r="I12" s="298"/>
      <c r="J12" s="298"/>
      <c r="K12" s="298"/>
      <c r="L12" s="298"/>
      <c r="M12" s="306"/>
    </row>
    <row r="13" spans="2:16" ht="13.15" x14ac:dyDescent="0.2">
      <c r="B13" s="134" t="s">
        <v>313</v>
      </c>
      <c r="C13" s="8"/>
      <c r="D13" s="8"/>
      <c r="E13" s="8"/>
      <c r="F13" s="292"/>
      <c r="G13" s="292"/>
      <c r="H13" s="292"/>
      <c r="I13" s="292"/>
      <c r="J13" s="292"/>
      <c r="K13" s="292"/>
      <c r="L13" s="292"/>
      <c r="M13" s="293"/>
    </row>
    <row r="14" spans="2:16" ht="13.15" x14ac:dyDescent="0.25">
      <c r="B14" s="62"/>
      <c r="C14" s="291" t="s">
        <v>18</v>
      </c>
      <c r="D14" s="292"/>
      <c r="E14" s="293"/>
      <c r="F14" s="241" t="e">
        <f>IF(#REF!="","",#REF!)</f>
        <v>#REF!</v>
      </c>
      <c r="G14" s="97" t="s">
        <v>19</v>
      </c>
      <c r="H14" s="99" t="s">
        <v>12</v>
      </c>
      <c r="I14" s="10" t="s">
        <v>13</v>
      </c>
      <c r="J14" s="11" t="s">
        <v>14</v>
      </c>
      <c r="K14" s="11" t="s">
        <v>15</v>
      </c>
      <c r="L14" s="10" t="s">
        <v>16</v>
      </c>
      <c r="M14" s="66" t="s">
        <v>316</v>
      </c>
      <c r="N14" s="236"/>
    </row>
    <row r="15" spans="2:16" ht="13.15" x14ac:dyDescent="0.25">
      <c r="B15" s="62"/>
      <c r="C15" s="294" t="s">
        <v>20</v>
      </c>
      <c r="D15" s="295"/>
      <c r="E15" s="296"/>
      <c r="F15" s="242" t="e">
        <f>IF(#REF!="","",#REF!)</f>
        <v>#REF!</v>
      </c>
      <c r="G15" s="97"/>
      <c r="H15" s="100"/>
      <c r="I15" s="10"/>
      <c r="J15" s="11"/>
      <c r="K15" s="11"/>
      <c r="L15" s="10"/>
      <c r="M15" s="12"/>
      <c r="N15" s="236"/>
    </row>
    <row r="16" spans="2:16" ht="13.15" x14ac:dyDescent="0.25">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ht="13.15" x14ac:dyDescent="0.25">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ht="13.15" x14ac:dyDescent="0.25">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ht="13.15" x14ac:dyDescent="0.25">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ht="13.15" x14ac:dyDescent="0.25">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ht="13.15" x14ac:dyDescent="0.25">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ht="13.15" x14ac:dyDescent="0.25">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ht="13.15" x14ac:dyDescent="0.25">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ht="13.15" x14ac:dyDescent="0.25">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ht="13.15" x14ac:dyDescent="0.25">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ht="13.15" x14ac:dyDescent="0.25">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ht="13.15" x14ac:dyDescent="0.25">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ht="13.15" x14ac:dyDescent="0.25">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ht="13.15" x14ac:dyDescent="0.25">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ht="13.15" x14ac:dyDescent="0.25">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ht="13.15" x14ac:dyDescent="0.25">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ht="13.15" x14ac:dyDescent="0.25">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5" customHeight="1" x14ac:dyDescent="0.25">
      <c r="B33" s="84"/>
      <c r="C33" s="13"/>
      <c r="D33" s="13"/>
      <c r="E33" s="13"/>
      <c r="F33" s="190"/>
      <c r="G33" s="85"/>
      <c r="H33" s="85"/>
      <c r="I33" s="85"/>
      <c r="J33" s="85"/>
      <c r="K33" s="85"/>
      <c r="L33" s="85"/>
      <c r="M33" s="14"/>
      <c r="N33" s="236"/>
    </row>
    <row r="34" spans="2:14" ht="13.15" x14ac:dyDescent="0.2">
      <c r="B34" s="134" t="s">
        <v>353</v>
      </c>
      <c r="C34" s="8"/>
      <c r="D34" s="8"/>
      <c r="E34" s="8"/>
      <c r="F34" s="83"/>
      <c r="G34" s="9"/>
      <c r="H34" s="86"/>
      <c r="I34" s="87"/>
      <c r="J34" s="88"/>
      <c r="K34" s="88"/>
      <c r="L34" s="87"/>
      <c r="M34" s="89"/>
      <c r="N34" s="236"/>
    </row>
    <row r="35" spans="2:14" ht="13.15" x14ac:dyDescent="0.25">
      <c r="B35" s="62"/>
      <c r="C35" s="291" t="s">
        <v>18</v>
      </c>
      <c r="D35" s="292"/>
      <c r="E35" s="293"/>
      <c r="F35" s="26" t="e">
        <f>IF(#REF!="","",#REF!)</f>
        <v>#REF!</v>
      </c>
      <c r="G35" s="97" t="s">
        <v>19</v>
      </c>
      <c r="H35" s="99" t="s">
        <v>12</v>
      </c>
      <c r="I35" s="10" t="s">
        <v>13</v>
      </c>
      <c r="J35" s="11" t="s">
        <v>14</v>
      </c>
      <c r="K35" s="11" t="s">
        <v>15</v>
      </c>
      <c r="L35" s="10" t="s">
        <v>16</v>
      </c>
      <c r="M35" s="66" t="s">
        <v>316</v>
      </c>
      <c r="N35" s="236"/>
    </row>
    <row r="36" spans="2:14" ht="13.15" x14ac:dyDescent="0.25">
      <c r="B36" s="62"/>
      <c r="C36" s="294" t="s">
        <v>20</v>
      </c>
      <c r="D36" s="295"/>
      <c r="E36" s="296"/>
      <c r="F36" s="259" t="e">
        <f>IF(#REF!="","",#REF!)</f>
        <v>#REF!</v>
      </c>
      <c r="G36" s="97"/>
      <c r="H36" s="100"/>
      <c r="I36" s="10"/>
      <c r="J36" s="11"/>
      <c r="K36" s="11"/>
      <c r="L36" s="10"/>
      <c r="M36" s="66"/>
      <c r="N36" s="236"/>
    </row>
    <row r="37" spans="2:14" ht="13.15" x14ac:dyDescent="0.25">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ht="13.15" x14ac:dyDescent="0.25">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ht="13.15" x14ac:dyDescent="0.25">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ht="13.15" x14ac:dyDescent="0.25">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5" customHeight="1" x14ac:dyDescent="0.25">
      <c r="B41" s="84"/>
      <c r="C41" s="13"/>
      <c r="D41" s="13"/>
      <c r="E41" s="13"/>
      <c r="F41" s="190"/>
      <c r="G41" s="85"/>
      <c r="H41" s="85"/>
      <c r="I41" s="85"/>
      <c r="J41" s="85"/>
      <c r="K41" s="85"/>
      <c r="L41" s="85"/>
      <c r="M41" s="14"/>
      <c r="N41" s="236"/>
    </row>
    <row r="42" spans="2:14" ht="13.15" x14ac:dyDescent="0.2">
      <c r="B42" s="134" t="s">
        <v>40</v>
      </c>
      <c r="C42" s="8"/>
      <c r="D42" s="8"/>
      <c r="E42" s="8"/>
      <c r="F42" s="83"/>
      <c r="G42" s="9"/>
      <c r="H42" s="86"/>
      <c r="I42" s="87"/>
      <c r="J42" s="88"/>
      <c r="K42" s="88"/>
      <c r="L42" s="87"/>
      <c r="M42" s="89"/>
      <c r="N42" s="236"/>
    </row>
    <row r="43" spans="2:14" ht="13.15" x14ac:dyDescent="0.25">
      <c r="B43" s="62"/>
      <c r="C43" s="291" t="s">
        <v>18</v>
      </c>
      <c r="D43" s="292"/>
      <c r="E43" s="293"/>
      <c r="F43" s="26" t="e">
        <f>IF(#REF!="","",#REF!)</f>
        <v>#REF!</v>
      </c>
      <c r="G43" s="97" t="s">
        <v>19</v>
      </c>
      <c r="H43" s="99" t="s">
        <v>12</v>
      </c>
      <c r="I43" s="10" t="s">
        <v>13</v>
      </c>
      <c r="J43" s="11" t="s">
        <v>14</v>
      </c>
      <c r="K43" s="11" t="s">
        <v>15</v>
      </c>
      <c r="L43" s="10" t="s">
        <v>16</v>
      </c>
      <c r="M43" s="66" t="s">
        <v>316</v>
      </c>
      <c r="N43" s="236"/>
    </row>
    <row r="44" spans="2:14" ht="13.15" x14ac:dyDescent="0.25">
      <c r="B44" s="62"/>
      <c r="C44" s="294" t="s">
        <v>20</v>
      </c>
      <c r="D44" s="295"/>
      <c r="E44" s="296"/>
      <c r="F44" s="259" t="e">
        <f>IF(#REF!="","",#REF!)</f>
        <v>#REF!</v>
      </c>
      <c r="G44" s="97"/>
      <c r="H44" s="100"/>
      <c r="I44" s="10"/>
      <c r="J44" s="11"/>
      <c r="K44" s="11"/>
      <c r="L44" s="10"/>
      <c r="M44" s="66"/>
      <c r="N44" s="236"/>
    </row>
    <row r="45" spans="2:14" ht="13.15" x14ac:dyDescent="0.25">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ht="13.15" x14ac:dyDescent="0.25">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ht="13.15" x14ac:dyDescent="0.25">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ht="13.15" x14ac:dyDescent="0.25">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ht="13.15" x14ac:dyDescent="0.25">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ht="13.15" x14ac:dyDescent="0.25">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ht="13.15" x14ac:dyDescent="0.25">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ht="13.15" x14ac:dyDescent="0.25">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ht="13.15" x14ac:dyDescent="0.25">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ht="13.15" x14ac:dyDescent="0.25">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ht="13.15" x14ac:dyDescent="0.25">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ht="13.15" x14ac:dyDescent="0.25">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ht="13.15" x14ac:dyDescent="0.25">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ht="13.15" x14ac:dyDescent="0.25">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ht="13.15" x14ac:dyDescent="0.25">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ht="13.15" x14ac:dyDescent="0.25">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ht="13.15" x14ac:dyDescent="0.25">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ht="13.15" x14ac:dyDescent="0.25">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ht="13.15" x14ac:dyDescent="0.25">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5" customHeight="1" x14ac:dyDescent="0.25">
      <c r="B64" s="84"/>
      <c r="C64" s="13"/>
      <c r="D64" s="13"/>
      <c r="E64" s="13"/>
      <c r="F64" s="190"/>
      <c r="G64" s="85"/>
      <c r="H64" s="85"/>
      <c r="I64" s="85"/>
      <c r="J64" s="85"/>
      <c r="K64" s="85"/>
      <c r="L64" s="85"/>
      <c r="M64" s="14"/>
      <c r="N64" s="236"/>
    </row>
    <row r="65" spans="2:14" ht="13.15" x14ac:dyDescent="0.2">
      <c r="B65" s="134" t="s">
        <v>43</v>
      </c>
      <c r="C65" s="8"/>
      <c r="D65" s="8"/>
      <c r="E65" s="8"/>
      <c r="F65" s="83"/>
      <c r="G65" s="9"/>
      <c r="H65" s="86"/>
      <c r="I65" s="87"/>
      <c r="J65" s="88"/>
      <c r="K65" s="88"/>
      <c r="L65" s="87"/>
      <c r="M65" s="89"/>
      <c r="N65" s="236"/>
    </row>
    <row r="66" spans="2:14" ht="13.15" x14ac:dyDescent="0.25">
      <c r="B66" s="62"/>
      <c r="C66" s="291" t="s">
        <v>18</v>
      </c>
      <c r="D66" s="292"/>
      <c r="E66" s="293"/>
      <c r="F66" s="260" t="e">
        <f>IF(#REF!="","",#REF!)</f>
        <v>#REF!</v>
      </c>
      <c r="G66" s="97" t="s">
        <v>19</v>
      </c>
      <c r="H66" s="99" t="s">
        <v>12</v>
      </c>
      <c r="I66" s="10" t="s">
        <v>13</v>
      </c>
      <c r="J66" s="11" t="s">
        <v>14</v>
      </c>
      <c r="K66" s="11" t="s">
        <v>15</v>
      </c>
      <c r="L66" s="10" t="s">
        <v>16</v>
      </c>
      <c r="M66" s="66" t="s">
        <v>316</v>
      </c>
      <c r="N66" s="236"/>
    </row>
    <row r="67" spans="2:14" ht="13.15" x14ac:dyDescent="0.25">
      <c r="B67" s="62"/>
      <c r="C67" s="294" t="s">
        <v>20</v>
      </c>
      <c r="D67" s="295"/>
      <c r="E67" s="296"/>
      <c r="F67" s="261" t="e">
        <f>IF(#REF!="","",#REF!)</f>
        <v>#REF!</v>
      </c>
      <c r="G67" s="97"/>
      <c r="H67" s="100"/>
      <c r="I67" s="10"/>
      <c r="J67" s="11"/>
      <c r="K67" s="11"/>
      <c r="L67" s="10"/>
      <c r="M67" s="66"/>
      <c r="N67" s="236"/>
    </row>
    <row r="68" spans="2:14" ht="13.15" x14ac:dyDescent="0.25">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ht="13.15" x14ac:dyDescent="0.25">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ht="13.15" x14ac:dyDescent="0.25">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ht="13.15" x14ac:dyDescent="0.25">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ht="13.15" x14ac:dyDescent="0.25">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ht="13.15" x14ac:dyDescent="0.25">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ht="13.15" x14ac:dyDescent="0.25">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ht="13.15" x14ac:dyDescent="0.25">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ht="13.15" x14ac:dyDescent="0.25">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ht="13.15" x14ac:dyDescent="0.25">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 customHeight="1" x14ac:dyDescent="0.25">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ht="13.15" x14ac:dyDescent="0.25">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ht="13.15" x14ac:dyDescent="0.25">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5" customHeight="1" x14ac:dyDescent="0.25">
      <c r="B81" s="84"/>
      <c r="C81" s="13"/>
      <c r="D81" s="13"/>
      <c r="E81" s="13"/>
      <c r="F81" s="190"/>
      <c r="G81" s="85"/>
      <c r="H81" s="85"/>
      <c r="I81" s="85"/>
      <c r="J81" s="85"/>
      <c r="K81" s="85"/>
      <c r="L81" s="85"/>
      <c r="M81" s="14"/>
      <c r="N81" s="236"/>
    </row>
    <row r="82" spans="2:14" ht="13.15" x14ac:dyDescent="0.2">
      <c r="B82" s="134" t="s">
        <v>354</v>
      </c>
      <c r="C82" s="8"/>
      <c r="D82" s="8"/>
      <c r="E82" s="8"/>
      <c r="F82" s="83"/>
      <c r="G82" s="9"/>
      <c r="H82" s="86"/>
      <c r="I82" s="87"/>
      <c r="J82" s="88"/>
      <c r="K82" s="88"/>
      <c r="L82" s="87"/>
      <c r="M82" s="89"/>
      <c r="N82" s="236"/>
    </row>
    <row r="83" spans="2:14" ht="13.15" x14ac:dyDescent="0.25">
      <c r="B83" s="62"/>
      <c r="C83" s="291" t="s">
        <v>18</v>
      </c>
      <c r="D83" s="292"/>
      <c r="E83" s="293"/>
      <c r="F83" s="260" t="e">
        <f>IF(#REF!="","",#REF!)</f>
        <v>#REF!</v>
      </c>
      <c r="G83" s="97" t="s">
        <v>19</v>
      </c>
      <c r="H83" s="99" t="s">
        <v>12</v>
      </c>
      <c r="I83" s="10" t="s">
        <v>13</v>
      </c>
      <c r="J83" s="11" t="s">
        <v>14</v>
      </c>
      <c r="K83" s="11" t="s">
        <v>15</v>
      </c>
      <c r="L83" s="10" t="s">
        <v>16</v>
      </c>
      <c r="M83" s="66" t="s">
        <v>316</v>
      </c>
      <c r="N83" s="236"/>
    </row>
    <row r="84" spans="2:14" ht="13.15" x14ac:dyDescent="0.25">
      <c r="B84" s="62"/>
      <c r="C84" s="294" t="s">
        <v>20</v>
      </c>
      <c r="D84" s="295"/>
      <c r="E84" s="296"/>
      <c r="F84" s="261" t="e">
        <f>IF(#REF!="","",#REF!)</f>
        <v>#REF!</v>
      </c>
      <c r="G84" s="97"/>
      <c r="H84" s="100"/>
      <c r="I84" s="18"/>
      <c r="J84" s="10"/>
      <c r="K84" s="18"/>
      <c r="L84" s="65"/>
      <c r="M84" s="66"/>
      <c r="N84" s="236"/>
    </row>
    <row r="85" spans="2:14" ht="13.15" x14ac:dyDescent="0.25">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ht="13.15" x14ac:dyDescent="0.25">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ht="13.15" x14ac:dyDescent="0.25">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2" customHeight="1" x14ac:dyDescent="0.25">
      <c r="B88" s="110"/>
      <c r="C88" s="13"/>
      <c r="D88" s="13"/>
      <c r="E88" s="13"/>
      <c r="F88" s="190"/>
      <c r="G88" s="85"/>
      <c r="H88" s="85"/>
      <c r="I88" s="85"/>
      <c r="J88" s="85"/>
      <c r="K88" s="85"/>
      <c r="L88" s="85"/>
      <c r="M88" s="85"/>
      <c r="N88" s="236"/>
    </row>
    <row r="89" spans="2:14" ht="5.2" customHeight="1" x14ac:dyDescent="0.25">
      <c r="B89" s="93"/>
      <c r="C89" s="95"/>
      <c r="D89" s="95"/>
      <c r="E89" s="95"/>
      <c r="F89" s="191"/>
      <c r="G89" s="96"/>
      <c r="H89" s="96"/>
      <c r="I89" s="96"/>
      <c r="J89" s="96"/>
      <c r="K89" s="96"/>
      <c r="L89" s="96"/>
      <c r="M89" s="96"/>
      <c r="N89" s="236"/>
    </row>
    <row r="90" spans="2:14" ht="17.55" x14ac:dyDescent="0.25">
      <c r="B90" s="243" t="s">
        <v>317</v>
      </c>
      <c r="C90" s="244"/>
      <c r="D90" s="244"/>
      <c r="E90" s="244"/>
      <c r="F90" s="248"/>
      <c r="G90" s="246"/>
      <c r="H90" s="246"/>
      <c r="I90" s="249"/>
      <c r="J90" s="250"/>
      <c r="K90" s="249"/>
      <c r="L90" s="251"/>
      <c r="M90" s="252"/>
      <c r="N90" s="236"/>
    </row>
    <row r="91" spans="2:14" ht="8.15" customHeight="1" x14ac:dyDescent="0.25">
      <c r="B91" s="84"/>
      <c r="C91" s="13"/>
      <c r="D91" s="13"/>
      <c r="E91" s="13"/>
      <c r="F91" s="190"/>
      <c r="G91" s="85"/>
      <c r="H91" s="85"/>
      <c r="I91" s="85"/>
      <c r="J91" s="85"/>
      <c r="K91" s="85"/>
      <c r="L91" s="85"/>
      <c r="M91" s="14"/>
      <c r="N91" s="236"/>
    </row>
    <row r="92" spans="2:14" ht="13.15" x14ac:dyDescent="0.2">
      <c r="B92" s="134" t="s">
        <v>355</v>
      </c>
      <c r="C92" s="8"/>
      <c r="D92" s="8"/>
      <c r="E92" s="8"/>
      <c r="F92" s="83"/>
      <c r="G92" s="9"/>
      <c r="H92" s="86"/>
      <c r="I92" s="87"/>
      <c r="J92" s="88"/>
      <c r="K92" s="88"/>
      <c r="L92" s="87"/>
      <c r="M92" s="89"/>
      <c r="N92" s="236"/>
    </row>
    <row r="93" spans="2:14" ht="13.15" x14ac:dyDescent="0.25">
      <c r="B93" s="62"/>
      <c r="C93" s="291" t="s">
        <v>50</v>
      </c>
      <c r="D93" s="292"/>
      <c r="E93" s="293"/>
      <c r="F93" s="260" t="e">
        <f>IF(#REF!="","",#REF!)</f>
        <v>#REF!</v>
      </c>
      <c r="G93" s="97" t="s">
        <v>19</v>
      </c>
      <c r="H93" s="99" t="s">
        <v>12</v>
      </c>
      <c r="I93" s="10" t="s">
        <v>13</v>
      </c>
      <c r="J93" s="11" t="s">
        <v>14</v>
      </c>
      <c r="K93" s="11" t="s">
        <v>15</v>
      </c>
      <c r="L93" s="10" t="s">
        <v>16</v>
      </c>
      <c r="M93" s="66" t="s">
        <v>316</v>
      </c>
      <c r="N93" s="236"/>
    </row>
    <row r="94" spans="2:14" ht="13.15" x14ac:dyDescent="0.25">
      <c r="B94" s="62"/>
      <c r="C94" s="294" t="s">
        <v>20</v>
      </c>
      <c r="D94" s="295"/>
      <c r="E94" s="296"/>
      <c r="F94" s="261" t="e">
        <f>IF(#REF!="","",#REF!)</f>
        <v>#REF!</v>
      </c>
      <c r="G94" s="97"/>
      <c r="H94" s="100"/>
      <c r="I94" s="18"/>
      <c r="J94" s="10"/>
      <c r="K94" s="18"/>
      <c r="L94" s="65"/>
      <c r="M94" s="66"/>
      <c r="N94" s="236"/>
    </row>
    <row r="95" spans="2:14" ht="13.15" x14ac:dyDescent="0.25">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ht="13.15" x14ac:dyDescent="0.25">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ht="13.15" x14ac:dyDescent="0.25">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ht="13.15" x14ac:dyDescent="0.25">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5" customHeight="1" x14ac:dyDescent="0.25">
      <c r="B100" s="90"/>
      <c r="C100" s="91"/>
      <c r="D100" s="91"/>
      <c r="E100" s="91"/>
      <c r="F100" s="192"/>
      <c r="G100" s="92"/>
      <c r="H100" s="92"/>
      <c r="I100" s="92"/>
      <c r="J100" s="92"/>
      <c r="K100" s="92"/>
      <c r="L100" s="92"/>
      <c r="M100" s="92"/>
      <c r="N100" s="236"/>
    </row>
    <row r="101" spans="2:14" ht="17.55" x14ac:dyDescent="0.25">
      <c r="B101" s="243" t="s">
        <v>54</v>
      </c>
      <c r="C101" s="244"/>
      <c r="D101" s="244"/>
      <c r="E101" s="244"/>
      <c r="F101" s="248"/>
      <c r="G101" s="246"/>
      <c r="H101" s="246"/>
      <c r="I101" s="249"/>
      <c r="J101" s="250"/>
      <c r="K101" s="249"/>
      <c r="L101" s="251"/>
      <c r="M101" s="252"/>
      <c r="N101" s="236"/>
    </row>
    <row r="102" spans="2:14" ht="8.15" customHeight="1" x14ac:dyDescent="0.25">
      <c r="B102" s="84"/>
      <c r="C102" s="13"/>
      <c r="D102" s="13"/>
      <c r="E102" s="13"/>
      <c r="F102" s="190"/>
      <c r="G102" s="85"/>
      <c r="H102" s="85"/>
      <c r="I102" s="85"/>
      <c r="J102" s="85"/>
      <c r="K102" s="85"/>
      <c r="L102" s="85"/>
      <c r="M102" s="14"/>
      <c r="N102" s="236"/>
    </row>
    <row r="103" spans="2:14" ht="13.15" x14ac:dyDescent="0.2">
      <c r="B103" s="134" t="s">
        <v>357</v>
      </c>
      <c r="C103" s="8"/>
      <c r="D103" s="8"/>
      <c r="E103" s="8"/>
      <c r="F103" s="83"/>
      <c r="G103" s="9"/>
      <c r="H103" s="86"/>
      <c r="I103" s="87"/>
      <c r="J103" s="88"/>
      <c r="K103" s="88"/>
      <c r="L103" s="87"/>
      <c r="M103" s="89"/>
      <c r="N103" s="236"/>
    </row>
    <row r="104" spans="2:14" ht="13.15" x14ac:dyDescent="0.25">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ht="13.15" x14ac:dyDescent="0.25">
      <c r="B105" s="62"/>
      <c r="C105" s="291" t="s">
        <v>20</v>
      </c>
      <c r="D105" s="292"/>
      <c r="E105" s="293"/>
      <c r="F105" s="261" t="str">
        <f>IF(T2B!E19="","",T2B!E19)</f>
        <v/>
      </c>
      <c r="G105" s="22"/>
      <c r="H105" s="100"/>
      <c r="I105" s="18"/>
      <c r="J105" s="10"/>
      <c r="K105" s="18"/>
      <c r="L105" s="65"/>
      <c r="M105" s="66"/>
      <c r="N105" s="236"/>
    </row>
    <row r="106" spans="2:14" ht="13.15" x14ac:dyDescent="0.25">
      <c r="B106" s="62"/>
      <c r="C106" s="291" t="s">
        <v>55</v>
      </c>
      <c r="D106" s="292"/>
      <c r="E106" s="293"/>
      <c r="F106" s="260" t="str">
        <f ca="1">IF(OR(T2B!N14="",C5="",C6="",C7="",C8="",E7="")=TRUE,"",T2B!N14)</f>
        <v/>
      </c>
      <c r="G106" s="22" t="s">
        <v>22</v>
      </c>
      <c r="H106" s="106"/>
      <c r="I106" s="18"/>
      <c r="J106" s="10"/>
      <c r="K106" s="18"/>
      <c r="L106" s="65"/>
      <c r="M106" s="66"/>
      <c r="N106" s="236"/>
    </row>
    <row r="107" spans="2:14" ht="13.15" x14ac:dyDescent="0.25">
      <c r="B107" s="62"/>
      <c r="C107" s="291" t="s">
        <v>56</v>
      </c>
      <c r="D107" s="292"/>
      <c r="E107" s="293"/>
      <c r="F107" s="260" t="str">
        <f ca="1">IF(OR(T2B!M14="",C5="",C6="",C7="",C8="",E7="")=TRUE,"",T2B!M14)</f>
        <v/>
      </c>
      <c r="G107" s="22" t="s">
        <v>22</v>
      </c>
      <c r="H107" s="106"/>
      <c r="I107" s="18"/>
      <c r="J107" s="10"/>
      <c r="K107" s="18"/>
      <c r="L107" s="65"/>
      <c r="M107" s="66"/>
      <c r="N107" s="236"/>
    </row>
    <row r="108" spans="2:14" ht="13.15" x14ac:dyDescent="0.25">
      <c r="B108" s="62"/>
      <c r="C108" s="291" t="s">
        <v>57</v>
      </c>
      <c r="D108" s="292"/>
      <c r="E108" s="293"/>
      <c r="F108" s="260" t="str">
        <f ca="1">IF(OR(T2B!L14="",C5="",C6="",C7="",C8="",E7="")=TRUE,"",T2B!L14)</f>
        <v/>
      </c>
      <c r="G108" s="22" t="s">
        <v>22</v>
      </c>
      <c r="H108" s="106"/>
      <c r="I108" s="18"/>
      <c r="J108" s="10"/>
      <c r="K108" s="18"/>
      <c r="L108" s="65"/>
      <c r="M108" s="66"/>
      <c r="N108" s="236"/>
    </row>
    <row r="109" spans="2:14" ht="13.15" x14ac:dyDescent="0.25">
      <c r="B109" s="62"/>
      <c r="C109" s="294" t="s">
        <v>58</v>
      </c>
      <c r="D109" s="295"/>
      <c r="E109" s="296"/>
      <c r="F109" s="260" t="str">
        <f ca="1">IF(OR(T2B!K14="",C5="",C6="",C7="",C8="",E7="")=TRUE,"",T2B!K14)</f>
        <v/>
      </c>
      <c r="G109" s="22" t="s">
        <v>22</v>
      </c>
      <c r="H109" s="107"/>
      <c r="I109" s="18"/>
      <c r="J109" s="10"/>
      <c r="K109" s="18"/>
      <c r="L109" s="65"/>
      <c r="M109" s="66"/>
      <c r="N109" s="236"/>
    </row>
    <row r="110" spans="2:14" ht="13.15" x14ac:dyDescent="0.25">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ht="13.15" x14ac:dyDescent="0.25">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ht="13.15" x14ac:dyDescent="0.25">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ht="13.15" x14ac:dyDescent="0.25">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ht="13.15" x14ac:dyDescent="0.25">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ht="13.15" x14ac:dyDescent="0.25">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ht="13.15" x14ac:dyDescent="0.25">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5" customHeight="1" x14ac:dyDescent="0.25">
      <c r="B117" s="90"/>
      <c r="C117" s="91"/>
      <c r="D117" s="91"/>
      <c r="E117" s="91"/>
      <c r="F117" s="192"/>
      <c r="G117" s="92"/>
      <c r="H117" s="92"/>
      <c r="I117" s="92"/>
      <c r="J117" s="92"/>
      <c r="K117" s="92"/>
      <c r="L117" s="92"/>
      <c r="M117" s="92"/>
      <c r="N117" s="236"/>
    </row>
    <row r="118" spans="2:14" ht="17.55" x14ac:dyDescent="0.25">
      <c r="B118" s="243" t="s">
        <v>76</v>
      </c>
      <c r="C118" s="244"/>
      <c r="D118" s="244"/>
      <c r="E118" s="244"/>
      <c r="F118" s="248"/>
      <c r="G118" s="246"/>
      <c r="H118" s="246"/>
      <c r="I118" s="249"/>
      <c r="J118" s="250"/>
      <c r="K118" s="249"/>
      <c r="L118" s="251"/>
      <c r="M118" s="252"/>
      <c r="N118" s="236"/>
    </row>
    <row r="119" spans="2:14" ht="8.15" customHeight="1" x14ac:dyDescent="0.25">
      <c r="B119" s="84"/>
      <c r="C119" s="13"/>
      <c r="D119" s="13"/>
      <c r="E119" s="13"/>
      <c r="F119" s="190"/>
      <c r="G119" s="85"/>
      <c r="H119" s="85"/>
      <c r="I119" s="85"/>
      <c r="J119" s="85"/>
      <c r="K119" s="85"/>
      <c r="L119" s="85"/>
      <c r="M119" s="14"/>
      <c r="N119" s="236"/>
    </row>
    <row r="120" spans="2:14" ht="13.15" x14ac:dyDescent="0.2">
      <c r="B120" s="134" t="s">
        <v>358</v>
      </c>
      <c r="C120" s="8"/>
      <c r="D120" s="8"/>
      <c r="E120" s="8"/>
      <c r="F120" s="83"/>
      <c r="G120" s="9"/>
      <c r="H120" s="86"/>
      <c r="I120" s="87"/>
      <c r="J120" s="88"/>
      <c r="K120" s="88"/>
      <c r="L120" s="87"/>
      <c r="M120" s="89"/>
      <c r="N120" s="236"/>
    </row>
    <row r="121" spans="2:14" ht="13.15" x14ac:dyDescent="0.25">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ht="13.15" x14ac:dyDescent="0.25">
      <c r="B122" s="62"/>
      <c r="C122" s="294" t="s">
        <v>20</v>
      </c>
      <c r="D122" s="295"/>
      <c r="E122" s="296"/>
      <c r="F122" s="261" t="e">
        <f>IF(#REF!="","",#REF!)</f>
        <v>#REF!</v>
      </c>
      <c r="G122" s="97"/>
      <c r="H122" s="100"/>
      <c r="I122" s="18"/>
      <c r="J122" s="10"/>
      <c r="K122" s="18"/>
      <c r="L122" s="65"/>
      <c r="M122" s="66"/>
      <c r="N122" s="236"/>
    </row>
    <row r="123" spans="2:14" ht="13.15" x14ac:dyDescent="0.25">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ht="13.15" x14ac:dyDescent="0.25">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ht="13.15" x14ac:dyDescent="0.25">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5" customHeight="1" x14ac:dyDescent="0.25">
      <c r="B126" s="84"/>
      <c r="C126" s="13"/>
      <c r="D126" s="13"/>
      <c r="E126" s="13"/>
      <c r="F126" s="190"/>
      <c r="G126" s="85"/>
      <c r="H126" s="85"/>
      <c r="I126" s="85"/>
      <c r="J126" s="85"/>
      <c r="K126" s="85"/>
      <c r="L126" s="85"/>
      <c r="M126" s="14"/>
      <c r="N126" s="236"/>
    </row>
    <row r="127" spans="2:14" ht="13.15" x14ac:dyDescent="0.2">
      <c r="B127" s="134" t="s">
        <v>363</v>
      </c>
      <c r="C127" s="8"/>
      <c r="D127" s="8"/>
      <c r="E127" s="8"/>
      <c r="F127" s="83"/>
      <c r="G127" s="9"/>
      <c r="H127" s="86"/>
      <c r="I127" s="87"/>
      <c r="J127" s="88"/>
      <c r="K127" s="88"/>
      <c r="L127" s="87"/>
      <c r="M127" s="89"/>
      <c r="N127" s="236"/>
    </row>
    <row r="128" spans="2:14" ht="13.15" x14ac:dyDescent="0.25">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ht="13.15" x14ac:dyDescent="0.25">
      <c r="B129" s="62"/>
      <c r="C129" s="294" t="s">
        <v>20</v>
      </c>
      <c r="D129" s="295"/>
      <c r="E129" s="296"/>
      <c r="F129" s="261" t="e">
        <f>IF(#REF!="","",#REF!)</f>
        <v>#REF!</v>
      </c>
      <c r="G129" s="97"/>
      <c r="H129" s="100"/>
      <c r="I129" s="18"/>
      <c r="J129" s="10"/>
      <c r="K129" s="18"/>
      <c r="L129" s="65"/>
      <c r="M129" s="66"/>
      <c r="N129" s="236"/>
    </row>
    <row r="130" spans="2:14" ht="13.15" x14ac:dyDescent="0.25">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ht="13.15" x14ac:dyDescent="0.25">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ht="13.15" x14ac:dyDescent="0.25">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5" customHeight="1" x14ac:dyDescent="0.25">
      <c r="B133" s="84"/>
      <c r="C133" s="13"/>
      <c r="D133" s="13"/>
      <c r="E133" s="13"/>
      <c r="F133" s="190"/>
      <c r="G133" s="85"/>
      <c r="H133" s="85"/>
      <c r="I133" s="85"/>
      <c r="J133" s="85"/>
      <c r="K133" s="85"/>
      <c r="L133" s="85"/>
      <c r="M133" s="14"/>
      <c r="N133" s="236"/>
    </row>
    <row r="134" spans="2:14" ht="13.15" x14ac:dyDescent="0.2">
      <c r="B134" s="134" t="s">
        <v>364</v>
      </c>
      <c r="C134" s="8"/>
      <c r="D134" s="8"/>
      <c r="E134" s="8"/>
      <c r="F134" s="83"/>
      <c r="G134" s="9"/>
      <c r="H134" s="86"/>
      <c r="I134" s="87"/>
      <c r="J134" s="88"/>
      <c r="K134" s="88"/>
      <c r="L134" s="87"/>
      <c r="M134" s="89"/>
      <c r="N134" s="236"/>
    </row>
    <row r="135" spans="2:14" ht="13.15" x14ac:dyDescent="0.25">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ht="13.15" x14ac:dyDescent="0.25">
      <c r="B136" s="62"/>
      <c r="C136" s="6" t="s">
        <v>20</v>
      </c>
      <c r="D136" s="6"/>
      <c r="E136" s="6"/>
      <c r="F136" s="261" t="e">
        <f>IF(#REF!="","",#REF!)</f>
        <v>#REF!</v>
      </c>
      <c r="G136" s="97"/>
      <c r="H136" s="100"/>
      <c r="I136" s="18"/>
      <c r="J136" s="10"/>
      <c r="K136" s="18"/>
      <c r="L136" s="65"/>
      <c r="M136" s="66"/>
      <c r="N136" s="236"/>
    </row>
    <row r="137" spans="2:14" ht="13.15" x14ac:dyDescent="0.25">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ht="13.15" x14ac:dyDescent="0.25">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ht="13.15" x14ac:dyDescent="0.25">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5" customHeight="1" x14ac:dyDescent="0.25">
      <c r="B140" s="90"/>
      <c r="C140" s="91"/>
      <c r="D140" s="91"/>
      <c r="E140" s="91"/>
      <c r="F140" s="192"/>
      <c r="G140" s="92"/>
      <c r="H140" s="92"/>
      <c r="I140" s="92"/>
      <c r="J140" s="92"/>
      <c r="K140" s="92"/>
      <c r="L140" s="92"/>
      <c r="M140" s="92"/>
      <c r="N140" s="236"/>
    </row>
    <row r="141" spans="2:14" ht="17.55" x14ac:dyDescent="0.25">
      <c r="B141" s="243" t="s">
        <v>85</v>
      </c>
      <c r="C141" s="244"/>
      <c r="D141" s="244"/>
      <c r="E141" s="244"/>
      <c r="F141" s="248"/>
      <c r="G141" s="246"/>
      <c r="H141" s="246"/>
      <c r="I141" s="249"/>
      <c r="J141" s="250"/>
      <c r="K141" s="249"/>
      <c r="L141" s="251"/>
      <c r="M141" s="252"/>
      <c r="N141" s="236"/>
    </row>
    <row r="142" spans="2:14" ht="8.15" customHeight="1" x14ac:dyDescent="0.25">
      <c r="B142" s="84"/>
      <c r="C142" s="13"/>
      <c r="D142" s="13"/>
      <c r="E142" s="13"/>
      <c r="F142" s="190"/>
      <c r="G142" s="85"/>
      <c r="H142" s="85"/>
      <c r="I142" s="85"/>
      <c r="J142" s="85"/>
      <c r="K142" s="85"/>
      <c r="L142" s="85"/>
      <c r="M142" s="14"/>
      <c r="N142" s="236"/>
    </row>
    <row r="143" spans="2:14" ht="13.15" x14ac:dyDescent="0.2">
      <c r="B143" s="134" t="s">
        <v>365</v>
      </c>
      <c r="C143" s="8"/>
      <c r="D143" s="8"/>
      <c r="E143" s="8"/>
      <c r="F143" s="83"/>
      <c r="G143" s="9"/>
      <c r="H143" s="86"/>
      <c r="I143" s="87"/>
      <c r="J143" s="88"/>
      <c r="K143" s="88"/>
      <c r="L143" s="87"/>
      <c r="M143" s="89"/>
      <c r="N143" s="236"/>
    </row>
    <row r="144" spans="2:14" ht="13.15" x14ac:dyDescent="0.25">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ht="13.15" x14ac:dyDescent="0.25">
      <c r="B145" s="62"/>
      <c r="C145" s="294" t="s">
        <v>20</v>
      </c>
      <c r="D145" s="295"/>
      <c r="E145" s="296"/>
      <c r="F145" s="261" t="e">
        <f>IF(#REF!="","",#REF!)</f>
        <v>#REF!</v>
      </c>
      <c r="G145" s="97"/>
      <c r="H145" s="100"/>
      <c r="I145" s="18"/>
      <c r="J145" s="10"/>
      <c r="K145" s="18"/>
      <c r="L145" s="65"/>
      <c r="M145" s="66"/>
      <c r="N145" s="236"/>
    </row>
    <row r="146" spans="2:14" ht="13.15" x14ac:dyDescent="0.25">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ht="13.15" x14ac:dyDescent="0.25">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ht="13.15" x14ac:dyDescent="0.25">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ht="13.15" x14ac:dyDescent="0.25">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ht="13.15" x14ac:dyDescent="0.25">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ht="13.15" x14ac:dyDescent="0.25">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ht="13.15" x14ac:dyDescent="0.25">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ht="13.15" x14ac:dyDescent="0.25">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5" customHeight="1" x14ac:dyDescent="0.25">
      <c r="B155" s="84"/>
      <c r="C155" s="13"/>
      <c r="D155" s="13"/>
      <c r="E155" s="13"/>
      <c r="F155" s="190"/>
      <c r="G155" s="85"/>
      <c r="H155" s="85"/>
      <c r="I155" s="85"/>
      <c r="J155" s="85"/>
      <c r="K155" s="85"/>
      <c r="L155" s="85"/>
      <c r="M155" s="14"/>
      <c r="N155" s="236"/>
    </row>
    <row r="156" spans="2:14" ht="13.15" x14ac:dyDescent="0.2">
      <c r="B156" s="134" t="s">
        <v>367</v>
      </c>
      <c r="C156" s="8"/>
      <c r="D156" s="8"/>
      <c r="E156" s="8"/>
      <c r="F156" s="83"/>
      <c r="G156" s="9"/>
      <c r="H156" s="86"/>
      <c r="I156" s="87"/>
      <c r="J156" s="88"/>
      <c r="K156" s="88"/>
      <c r="L156" s="87"/>
      <c r="M156" s="89"/>
      <c r="N156" s="236"/>
    </row>
    <row r="157" spans="2:14" ht="13.15" x14ac:dyDescent="0.25">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ht="13.15" x14ac:dyDescent="0.25">
      <c r="B158" s="62"/>
      <c r="C158" s="294" t="s">
        <v>20</v>
      </c>
      <c r="D158" s="295"/>
      <c r="E158" s="296"/>
      <c r="F158" s="261" t="e">
        <f>IF(#REF!="","",#REF!)</f>
        <v>#REF!</v>
      </c>
      <c r="G158" s="97"/>
      <c r="H158" s="100"/>
      <c r="I158" s="18"/>
      <c r="J158" s="10"/>
      <c r="K158" s="18"/>
      <c r="L158" s="65"/>
      <c r="M158" s="66"/>
      <c r="N158" s="236"/>
    </row>
    <row r="159" spans="2:14" ht="13.15" x14ac:dyDescent="0.25">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ht="13.15" x14ac:dyDescent="0.25">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ht="13.15" x14ac:dyDescent="0.25">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ht="13.15" x14ac:dyDescent="0.25">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5" customHeight="1" x14ac:dyDescent="0.25">
      <c r="B163" s="84"/>
      <c r="C163" s="13"/>
      <c r="D163" s="13"/>
      <c r="E163" s="13"/>
      <c r="F163" s="190"/>
      <c r="G163" s="85"/>
      <c r="H163" s="85"/>
      <c r="I163" s="85"/>
      <c r="J163" s="85"/>
      <c r="K163" s="85"/>
      <c r="L163" s="85"/>
      <c r="M163" s="14"/>
      <c r="N163" s="236"/>
    </row>
    <row r="164" spans="2:14" ht="13.15" x14ac:dyDescent="0.2">
      <c r="B164" s="134" t="s">
        <v>368</v>
      </c>
      <c r="C164" s="8"/>
      <c r="D164" s="8"/>
      <c r="E164" s="8"/>
      <c r="F164" s="83"/>
      <c r="G164" s="9"/>
      <c r="H164" s="86"/>
      <c r="I164" s="87"/>
      <c r="J164" s="88"/>
      <c r="K164" s="88"/>
      <c r="L164" s="87"/>
      <c r="M164" s="89"/>
      <c r="N164" s="236"/>
    </row>
    <row r="165" spans="2:14" ht="13.15" x14ac:dyDescent="0.25">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ht="13.15" x14ac:dyDescent="0.25">
      <c r="B166" s="62"/>
      <c r="C166" s="294" t="s">
        <v>20</v>
      </c>
      <c r="D166" s="295"/>
      <c r="E166" s="296"/>
      <c r="F166" s="261" t="e">
        <f>IF(#REF!="","",#REF!)</f>
        <v>#REF!</v>
      </c>
      <c r="G166" s="97"/>
      <c r="H166" s="100"/>
      <c r="I166" s="10"/>
      <c r="J166" s="10"/>
      <c r="K166" s="18"/>
      <c r="L166" s="65"/>
      <c r="M166" s="66"/>
      <c r="N166" s="236"/>
    </row>
    <row r="167" spans="2:14" ht="13.15" x14ac:dyDescent="0.25">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ht="13.15" x14ac:dyDescent="0.25">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ht="13.15" x14ac:dyDescent="0.25">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ht="13.15" x14ac:dyDescent="0.25">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ht="13.15" x14ac:dyDescent="0.25">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ht="13.15" x14ac:dyDescent="0.25">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ht="13.15" x14ac:dyDescent="0.25">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ht="13.15" x14ac:dyDescent="0.25">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ht="13.15" x14ac:dyDescent="0.25">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5" customHeight="1" x14ac:dyDescent="0.25">
      <c r="B176" s="84"/>
      <c r="C176" s="13"/>
      <c r="D176" s="13"/>
      <c r="E176" s="13"/>
      <c r="F176" s="190"/>
      <c r="G176" s="85"/>
      <c r="H176" s="85"/>
      <c r="I176" s="85"/>
      <c r="J176" s="85"/>
      <c r="K176" s="85"/>
      <c r="L176" s="85"/>
      <c r="M176" s="14"/>
      <c r="N176" s="236"/>
    </row>
    <row r="177" spans="2:14" ht="13.15" x14ac:dyDescent="0.2">
      <c r="B177" s="134" t="s">
        <v>369</v>
      </c>
      <c r="C177" s="8"/>
      <c r="D177" s="8"/>
      <c r="E177" s="8"/>
      <c r="F177" s="83"/>
      <c r="G177" s="9"/>
      <c r="H177" s="86"/>
      <c r="I177" s="87"/>
      <c r="J177" s="88"/>
      <c r="K177" s="88"/>
      <c r="L177" s="87"/>
      <c r="M177" s="89"/>
      <c r="N177" s="236"/>
    </row>
    <row r="178" spans="2:14" ht="13.15" x14ac:dyDescent="0.25">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ht="13.15" x14ac:dyDescent="0.25">
      <c r="B179" s="62"/>
      <c r="C179" s="294" t="s">
        <v>20</v>
      </c>
      <c r="D179" s="295"/>
      <c r="E179" s="296"/>
      <c r="F179" s="261" t="e">
        <f>IF(#REF!="","",#REF!)</f>
        <v>#REF!</v>
      </c>
      <c r="G179" s="97"/>
      <c r="H179" s="100"/>
      <c r="I179" s="10"/>
      <c r="J179" s="10"/>
      <c r="K179" s="18"/>
      <c r="L179" s="65"/>
      <c r="M179" s="66"/>
      <c r="N179" s="236"/>
    </row>
    <row r="180" spans="2:14" ht="13.15" x14ac:dyDescent="0.25">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 customHeight="1" x14ac:dyDescent="0.25">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ht="13.15" x14ac:dyDescent="0.25">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ht="13.15" x14ac:dyDescent="0.25">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ht="13.15" x14ac:dyDescent="0.25">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ht="13.15" x14ac:dyDescent="0.25">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ht="13.15" x14ac:dyDescent="0.25">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ht="13.15" x14ac:dyDescent="0.25">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ht="13.15" x14ac:dyDescent="0.25">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ht="13.15" x14ac:dyDescent="0.25">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ht="13.15" x14ac:dyDescent="0.25">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ht="13.15" x14ac:dyDescent="0.25">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ht="13.15" x14ac:dyDescent="0.25">
      <c r="B192" s="1"/>
      <c r="C192" s="6"/>
      <c r="D192" s="6"/>
      <c r="E192" s="6"/>
      <c r="F192" s="72"/>
      <c r="G192" s="22"/>
      <c r="H192" s="64"/>
      <c r="I192" s="64"/>
      <c r="J192" s="10"/>
      <c r="K192" s="18"/>
      <c r="L192" s="65"/>
      <c r="M192" s="6"/>
      <c r="N192" s="236"/>
    </row>
    <row r="193" spans="2:14" ht="13.15" x14ac:dyDescent="0.25">
      <c r="B193" s="133" t="s">
        <v>374</v>
      </c>
      <c r="F193" s="114" t="s">
        <v>375</v>
      </c>
      <c r="N193" s="236"/>
    </row>
    <row r="194" spans="2:14" ht="8.15" customHeight="1" x14ac:dyDescent="0.25">
      <c r="B194" s="93"/>
      <c r="C194" s="95"/>
      <c r="D194" s="95"/>
      <c r="E194" s="95"/>
      <c r="F194" s="191"/>
      <c r="G194" s="96"/>
      <c r="H194" s="96"/>
      <c r="I194" s="96"/>
      <c r="J194" s="96"/>
      <c r="K194" s="96"/>
      <c r="L194" s="96"/>
      <c r="M194" s="96"/>
      <c r="N194" s="236"/>
    </row>
    <row r="195" spans="2:14" ht="17.55" x14ac:dyDescent="0.25">
      <c r="B195" s="243" t="s">
        <v>319</v>
      </c>
      <c r="C195" s="244"/>
      <c r="D195" s="244"/>
      <c r="E195" s="244"/>
      <c r="F195" s="248"/>
      <c r="G195" s="246"/>
      <c r="H195" s="246"/>
      <c r="I195" s="249"/>
      <c r="J195" s="250"/>
      <c r="K195" s="249"/>
      <c r="L195" s="251"/>
      <c r="M195" s="252"/>
      <c r="N195" s="236"/>
    </row>
    <row r="196" spans="2:14" ht="8.15" customHeight="1" x14ac:dyDescent="0.25">
      <c r="B196" s="84"/>
      <c r="C196" s="13"/>
      <c r="D196" s="13"/>
      <c r="E196" s="13"/>
      <c r="F196" s="190"/>
      <c r="G196" s="85"/>
      <c r="H196" s="85"/>
      <c r="I196" s="85"/>
      <c r="J196" s="85"/>
      <c r="K196" s="85"/>
      <c r="L196" s="85"/>
      <c r="M196" s="14"/>
      <c r="N196" s="236"/>
    </row>
    <row r="197" spans="2:14" ht="13.15" x14ac:dyDescent="0.2">
      <c r="B197" s="134" t="s">
        <v>320</v>
      </c>
      <c r="C197" s="8"/>
      <c r="D197" s="8"/>
      <c r="E197" s="8"/>
      <c r="F197" s="232" t="s">
        <v>13</v>
      </c>
      <c r="G197" s="9"/>
      <c r="H197" s="87"/>
      <c r="I197" s="237" t="s">
        <v>393</v>
      </c>
      <c r="K197" s="88"/>
      <c r="L197" s="87"/>
      <c r="M197" s="89"/>
      <c r="N197" s="236"/>
    </row>
    <row r="198" spans="2:14" ht="13.15" x14ac:dyDescent="0.25">
      <c r="B198" s="62"/>
      <c r="C198" s="291" t="s">
        <v>50</v>
      </c>
      <c r="D198" s="292"/>
      <c r="E198" s="292"/>
      <c r="F198" s="273" t="str">
        <f>IF(C2="","",C2)</f>
        <v>A</v>
      </c>
      <c r="G198" s="22" t="s">
        <v>19</v>
      </c>
      <c r="H198" s="99"/>
      <c r="I198" s="10" t="s">
        <v>13</v>
      </c>
      <c r="J198" s="11" t="s">
        <v>14</v>
      </c>
      <c r="K198" s="11" t="s">
        <v>15</v>
      </c>
      <c r="L198" s="10" t="s">
        <v>16</v>
      </c>
      <c r="M198" s="66"/>
      <c r="N198" s="236"/>
    </row>
    <row r="199" spans="2:14" ht="13.15" x14ac:dyDescent="0.25">
      <c r="B199" s="62"/>
      <c r="C199" s="294" t="s">
        <v>20</v>
      </c>
      <c r="D199" s="295"/>
      <c r="E199" s="295"/>
      <c r="F199" s="274" t="str">
        <f>IF($C$8="","",$C$8)</f>
        <v/>
      </c>
      <c r="G199" s="22"/>
      <c r="H199" s="100"/>
      <c r="I199" s="237"/>
      <c r="J199" s="10"/>
      <c r="K199" s="18"/>
      <c r="L199" s="65"/>
      <c r="M199" s="66"/>
      <c r="N199" s="236"/>
    </row>
    <row r="200" spans="2:14" ht="13.15" x14ac:dyDescent="0.25">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ht="13.15" x14ac:dyDescent="0.25">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ht="13.15" x14ac:dyDescent="0.25">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ht="13.15" x14ac:dyDescent="0.25">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ht="13.15" x14ac:dyDescent="0.25">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5" customHeight="1" x14ac:dyDescent="0.25">
      <c r="B205" s="84"/>
      <c r="C205" s="13"/>
      <c r="D205" s="13"/>
      <c r="E205" s="13"/>
      <c r="F205" s="190"/>
      <c r="G205" s="85"/>
      <c r="H205" s="85"/>
      <c r="I205" s="85"/>
      <c r="J205" s="85"/>
      <c r="K205" s="85"/>
      <c r="L205" s="85"/>
      <c r="M205" s="14"/>
      <c r="N205" s="236"/>
    </row>
    <row r="206" spans="2:14" ht="13.15" x14ac:dyDescent="0.2">
      <c r="B206" s="134" t="s">
        <v>339</v>
      </c>
      <c r="C206" s="8"/>
      <c r="D206" s="8"/>
      <c r="E206" s="8"/>
      <c r="F206" s="232" t="s">
        <v>13</v>
      </c>
      <c r="G206" s="9"/>
      <c r="H206" s="86"/>
      <c r="I206" s="237" t="s">
        <v>393</v>
      </c>
      <c r="J206" s="88"/>
      <c r="K206" s="88"/>
      <c r="L206" s="87"/>
      <c r="M206" s="89"/>
      <c r="N206" s="236"/>
    </row>
    <row r="207" spans="2:14" ht="13.15" x14ac:dyDescent="0.25">
      <c r="B207" s="62"/>
      <c r="C207" s="291" t="s">
        <v>50</v>
      </c>
      <c r="D207" s="292"/>
      <c r="E207" s="292"/>
      <c r="F207" s="273" t="str">
        <f>IF(C2="","",C2)</f>
        <v>A</v>
      </c>
      <c r="G207" s="22" t="s">
        <v>19</v>
      </c>
      <c r="H207" s="99"/>
      <c r="I207" s="10" t="s">
        <v>13</v>
      </c>
      <c r="J207" s="11" t="s">
        <v>14</v>
      </c>
      <c r="K207" s="11" t="s">
        <v>15</v>
      </c>
      <c r="L207" s="10" t="s">
        <v>16</v>
      </c>
      <c r="M207" s="66"/>
      <c r="N207" s="236"/>
    </row>
    <row r="208" spans="2:14" ht="13.15" x14ac:dyDescent="0.25">
      <c r="B208" s="62"/>
      <c r="C208" s="294" t="s">
        <v>20</v>
      </c>
      <c r="D208" s="295"/>
      <c r="E208" s="295"/>
      <c r="F208" s="274" t="str">
        <f>IF($C$8="","",$C$8)</f>
        <v/>
      </c>
      <c r="G208" s="22"/>
      <c r="H208" s="100"/>
      <c r="I208" s="18"/>
      <c r="J208" s="10"/>
      <c r="K208" s="18"/>
      <c r="L208" s="65"/>
      <c r="M208" s="66"/>
      <c r="N208" s="236"/>
    </row>
    <row r="209" spans="2:14" ht="13.15" x14ac:dyDescent="0.25">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ht="13.15" x14ac:dyDescent="0.25">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ht="13.15" x14ac:dyDescent="0.25">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ht="13.15" x14ac:dyDescent="0.25">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ht="13.15" x14ac:dyDescent="0.25">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ht="13.15" x14ac:dyDescent="0.25">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5" customHeight="1" x14ac:dyDescent="0.25">
      <c r="B215" s="84"/>
      <c r="C215" s="13"/>
      <c r="D215" s="13"/>
      <c r="E215" s="13"/>
      <c r="F215" s="190"/>
      <c r="G215" s="85"/>
      <c r="H215" s="85"/>
      <c r="I215" s="85"/>
      <c r="J215" s="85"/>
      <c r="K215" s="85"/>
      <c r="L215" s="85"/>
      <c r="M215" s="14"/>
      <c r="N215" s="236"/>
    </row>
    <row r="216" spans="2:14" ht="13.15" x14ac:dyDescent="0.2">
      <c r="B216" s="134" t="s">
        <v>321</v>
      </c>
      <c r="C216" s="8"/>
      <c r="D216" s="8"/>
      <c r="E216" s="8"/>
      <c r="F216" s="232" t="s">
        <v>13</v>
      </c>
      <c r="G216" s="9"/>
      <c r="H216" s="86"/>
      <c r="I216" s="237" t="s">
        <v>393</v>
      </c>
      <c r="J216" s="88"/>
      <c r="K216" s="88"/>
      <c r="L216" s="87"/>
      <c r="M216" s="89"/>
      <c r="N216" s="236"/>
    </row>
    <row r="217" spans="2:14" ht="13.15" x14ac:dyDescent="0.25">
      <c r="B217" s="62"/>
      <c r="C217" s="291" t="s">
        <v>50</v>
      </c>
      <c r="D217" s="292"/>
      <c r="E217" s="292"/>
      <c r="F217" s="273" t="str">
        <f>IF(C2="","",C2)</f>
        <v>A</v>
      </c>
      <c r="G217" s="22" t="s">
        <v>19</v>
      </c>
      <c r="H217" s="99"/>
      <c r="I217" s="10" t="s">
        <v>13</v>
      </c>
      <c r="J217" s="11" t="s">
        <v>14</v>
      </c>
      <c r="K217" s="11" t="s">
        <v>15</v>
      </c>
      <c r="L217" s="10" t="s">
        <v>16</v>
      </c>
      <c r="M217" s="66"/>
      <c r="N217" s="236"/>
    </row>
    <row r="218" spans="2:14" ht="13.15" x14ac:dyDescent="0.25">
      <c r="B218" s="62"/>
      <c r="C218" s="294" t="s">
        <v>20</v>
      </c>
      <c r="D218" s="295"/>
      <c r="E218" s="295"/>
      <c r="F218" s="274" t="str">
        <f>IF($C$8="","",$C$8)</f>
        <v/>
      </c>
      <c r="G218" s="22"/>
      <c r="H218" s="100"/>
      <c r="I218" s="18"/>
      <c r="J218" s="10"/>
      <c r="K218" s="18"/>
      <c r="L218" s="65"/>
      <c r="M218" s="66"/>
      <c r="N218" s="236"/>
    </row>
    <row r="219" spans="2:14" ht="13.15" x14ac:dyDescent="0.25">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ht="13.15" x14ac:dyDescent="0.25">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ht="13.15" x14ac:dyDescent="0.25">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5" customHeight="1" x14ac:dyDescent="0.25">
      <c r="B222" s="84"/>
      <c r="C222" s="200"/>
      <c r="D222" s="200"/>
      <c r="E222" s="200"/>
      <c r="F222" s="190"/>
      <c r="G222" s="85"/>
      <c r="H222" s="85"/>
      <c r="I222" s="85"/>
      <c r="J222" s="85"/>
      <c r="K222" s="85"/>
      <c r="L222" s="85"/>
      <c r="M222" s="14"/>
      <c r="N222" s="236"/>
    </row>
    <row r="223" spans="2:14" s="70" customFormat="1" ht="13.15" customHeight="1" x14ac:dyDescent="0.25">
      <c r="B223" s="201" t="s">
        <v>381</v>
      </c>
      <c r="C223" s="202"/>
      <c r="D223" s="202"/>
      <c r="E223" s="202"/>
      <c r="F223" s="231"/>
      <c r="G223" s="203"/>
      <c r="H223" s="203"/>
      <c r="I223" s="203"/>
      <c r="J223" s="203"/>
      <c r="K223" s="203"/>
      <c r="L223" s="203"/>
      <c r="M223" s="204"/>
      <c r="N223" s="278"/>
    </row>
    <row r="224" spans="2:14" s="70" customFormat="1" ht="13.15" x14ac:dyDescent="0.2">
      <c r="B224" s="205" t="s">
        <v>376</v>
      </c>
      <c r="C224" s="206"/>
      <c r="D224" s="206"/>
      <c r="E224" s="206"/>
      <c r="F224" s="232" t="s">
        <v>13</v>
      </c>
      <c r="G224" s="203"/>
      <c r="H224" s="207"/>
      <c r="I224" s="283" t="s">
        <v>393</v>
      </c>
      <c r="J224" s="209"/>
      <c r="K224" s="209"/>
      <c r="L224" s="208"/>
      <c r="M224" s="210"/>
      <c r="N224" s="278"/>
    </row>
    <row r="225" spans="2:14" s="70" customFormat="1" ht="13.15" x14ac:dyDescent="0.25">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ht="13.15" x14ac:dyDescent="0.25">
      <c r="B226" s="194"/>
      <c r="C226" s="316" t="s">
        <v>20</v>
      </c>
      <c r="D226" s="317"/>
      <c r="E226" s="317"/>
      <c r="F226" s="274"/>
      <c r="G226" s="268"/>
      <c r="H226" s="215"/>
      <c r="I226" s="216"/>
      <c r="J226" s="212"/>
      <c r="K226" s="216"/>
      <c r="L226" s="217"/>
      <c r="M226" s="214"/>
      <c r="N226" s="278"/>
    </row>
    <row r="227" spans="2:14" s="70" customFormat="1" ht="13.15" x14ac:dyDescent="0.25">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ht="13.15" x14ac:dyDescent="0.25">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ht="13.15" x14ac:dyDescent="0.25">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5" customHeight="1" x14ac:dyDescent="0.25">
      <c r="B230" s="90"/>
      <c r="C230" s="91"/>
      <c r="D230" s="91"/>
      <c r="E230" s="91"/>
      <c r="F230" s="192"/>
      <c r="G230" s="92"/>
      <c r="H230" s="92"/>
      <c r="I230" s="92"/>
      <c r="J230" s="92"/>
      <c r="K230" s="92"/>
      <c r="L230" s="92"/>
      <c r="M230" s="92"/>
      <c r="N230" s="236"/>
    </row>
    <row r="231" spans="2:14" ht="17.55" x14ac:dyDescent="0.25">
      <c r="B231" s="243" t="s">
        <v>318</v>
      </c>
      <c r="C231" s="244"/>
      <c r="D231" s="244"/>
      <c r="E231" s="244"/>
      <c r="F231" s="248"/>
      <c r="G231" s="246"/>
      <c r="H231" s="246"/>
      <c r="I231" s="249"/>
      <c r="J231" s="250"/>
      <c r="K231" s="249"/>
      <c r="L231" s="251"/>
      <c r="M231" s="252"/>
      <c r="N231" s="236"/>
    </row>
    <row r="232" spans="2:14" ht="8.15" customHeight="1" x14ac:dyDescent="0.25">
      <c r="B232" s="84"/>
      <c r="C232" s="13"/>
      <c r="D232" s="13"/>
      <c r="E232" s="13"/>
      <c r="F232" s="190"/>
      <c r="G232" s="85"/>
      <c r="H232" s="85"/>
      <c r="I232" s="85"/>
      <c r="J232" s="85"/>
      <c r="K232" s="85"/>
      <c r="L232" s="85"/>
      <c r="M232" s="14"/>
      <c r="N232" s="236"/>
    </row>
    <row r="233" spans="2:14" s="70" customFormat="1" ht="13.15" x14ac:dyDescent="0.2">
      <c r="B233" s="201" t="s">
        <v>381</v>
      </c>
      <c r="C233" s="206"/>
      <c r="D233" s="206"/>
      <c r="E233" s="206"/>
      <c r="F233" s="232"/>
      <c r="G233" s="203"/>
      <c r="H233" s="207"/>
      <c r="I233" s="208"/>
      <c r="J233" s="209"/>
      <c r="K233" s="209"/>
      <c r="L233" s="208"/>
      <c r="M233" s="210"/>
      <c r="N233" s="278"/>
    </row>
    <row r="234" spans="2:14" s="70" customFormat="1" ht="13.15" x14ac:dyDescent="0.2">
      <c r="B234" s="205" t="s">
        <v>380</v>
      </c>
      <c r="C234" s="206"/>
      <c r="D234" s="206"/>
      <c r="E234" s="206"/>
      <c r="F234" s="232" t="s">
        <v>13</v>
      </c>
      <c r="G234" s="203"/>
      <c r="H234" s="207"/>
      <c r="I234" s="283" t="s">
        <v>393</v>
      </c>
      <c r="J234" s="209"/>
      <c r="K234" s="209"/>
      <c r="L234" s="208"/>
      <c r="M234" s="210"/>
      <c r="N234" s="278"/>
    </row>
    <row r="235" spans="2:14" s="70" customFormat="1" ht="13.15" x14ac:dyDescent="0.25">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ht="13.15" x14ac:dyDescent="0.25">
      <c r="B236" s="194"/>
      <c r="C236" s="316" t="s">
        <v>20</v>
      </c>
      <c r="D236" s="317"/>
      <c r="E236" s="317"/>
      <c r="F236" s="274"/>
      <c r="G236" s="270"/>
      <c r="H236" s="215"/>
      <c r="I236" s="216"/>
      <c r="J236" s="212"/>
      <c r="K236" s="216"/>
      <c r="L236" s="217"/>
      <c r="M236" s="214"/>
      <c r="N236" s="278"/>
    </row>
    <row r="237" spans="2:14" s="70" customFormat="1" ht="13.15" x14ac:dyDescent="0.25">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ht="13.15" x14ac:dyDescent="0.25">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ht="13.15" x14ac:dyDescent="0.25">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ht="13.15" x14ac:dyDescent="0.25">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ht="13.15" x14ac:dyDescent="0.25">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ht="13.15" x14ac:dyDescent="0.25">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ht="13.15" x14ac:dyDescent="0.25">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ht="13.15" x14ac:dyDescent="0.25">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
      <c r="N245" s="70"/>
    </row>
    <row r="246" spans="2:14" x14ac:dyDescent="0.2">
      <c r="N246" s="70"/>
    </row>
    <row r="247" spans="2:14" x14ac:dyDescent="0.2">
      <c r="N247" s="70"/>
    </row>
    <row r="248" spans="2:14" x14ac:dyDescent="0.2">
      <c r="N248" s="70"/>
    </row>
    <row r="249" spans="2:14" x14ac:dyDescent="0.2">
      <c r="N249" s="70"/>
    </row>
    <row r="250" spans="2:14" x14ac:dyDescent="0.2">
      <c r="N250" s="70"/>
    </row>
    <row r="251" spans="2:14" x14ac:dyDescent="0.2">
      <c r="N251" s="70"/>
    </row>
    <row r="252" spans="2:14" x14ac:dyDescent="0.2">
      <c r="N252" s="70"/>
    </row>
    <row r="253" spans="2:14" x14ac:dyDescent="0.2">
      <c r="N253" s="70"/>
    </row>
    <row r="254" spans="2:14" x14ac:dyDescent="0.2">
      <c r="N254" s="70"/>
    </row>
    <row r="255" spans="2:14" x14ac:dyDescent="0.2">
      <c r="N255" s="70"/>
    </row>
    <row r="256" spans="2:14" x14ac:dyDescent="0.2">
      <c r="N256" s="70"/>
    </row>
    <row r="257" spans="14:14" x14ac:dyDescent="0.2">
      <c r="N257" s="70"/>
    </row>
    <row r="258" spans="14:14" x14ac:dyDescent="0.2">
      <c r="N258" s="70"/>
    </row>
    <row r="259" spans="14:14" x14ac:dyDescent="0.2">
      <c r="N259" s="70"/>
    </row>
    <row r="260" spans="14:14" x14ac:dyDescent="0.2">
      <c r="N260" s="70"/>
    </row>
    <row r="261" spans="14:14" x14ac:dyDescent="0.2">
      <c r="N261" s="70"/>
    </row>
    <row r="262" spans="14:14" x14ac:dyDescent="0.2">
      <c r="N262" s="70"/>
    </row>
    <row r="263" spans="14:14" x14ac:dyDescent="0.2">
      <c r="N263" s="70"/>
    </row>
    <row r="264" spans="14:14" x14ac:dyDescent="0.2">
      <c r="N264" s="70"/>
    </row>
    <row r="265" spans="14:14" x14ac:dyDescent="0.2">
      <c r="N265" s="70"/>
    </row>
    <row r="266" spans="14:14" x14ac:dyDescent="0.2">
      <c r="N266" s="70"/>
    </row>
    <row r="267" spans="14:14" x14ac:dyDescent="0.2">
      <c r="N267" s="70"/>
    </row>
    <row r="268" spans="14:14" x14ac:dyDescent="0.2">
      <c r="N268" s="70"/>
    </row>
    <row r="269" spans="14:14" x14ac:dyDescent="0.2">
      <c r="N269" s="70"/>
    </row>
    <row r="270" spans="14:14" x14ac:dyDescent="0.2">
      <c r="N270" s="70"/>
    </row>
    <row r="271" spans="14:14" x14ac:dyDescent="0.2">
      <c r="N271" s="70"/>
    </row>
    <row r="272" spans="14:14" x14ac:dyDescent="0.2">
      <c r="N272" s="70"/>
    </row>
    <row r="273" spans="14:14" x14ac:dyDescent="0.2">
      <c r="N273" s="70"/>
    </row>
    <row r="274" spans="14:14" x14ac:dyDescent="0.2">
      <c r="N274" s="70"/>
    </row>
    <row r="275" spans="14:14" x14ac:dyDescent="0.2">
      <c r="N275" s="70"/>
    </row>
    <row r="276" spans="14:14" x14ac:dyDescent="0.2">
      <c r="N276" s="70"/>
    </row>
    <row r="277" spans="14:14" x14ac:dyDescent="0.2">
      <c r="N277" s="70"/>
    </row>
    <row r="278" spans="14:14" x14ac:dyDescent="0.2">
      <c r="N278" s="70"/>
    </row>
    <row r="279" spans="14:14" x14ac:dyDescent="0.2">
      <c r="N279" s="70"/>
    </row>
    <row r="280" spans="14:14" x14ac:dyDescent="0.2">
      <c r="N280" s="70"/>
    </row>
    <row r="281" spans="14:14" x14ac:dyDescent="0.2">
      <c r="N281" s="70"/>
    </row>
    <row r="282" spans="14:14" x14ac:dyDescent="0.2">
      <c r="N282" s="70"/>
    </row>
    <row r="283" spans="14:14" x14ac:dyDescent="0.2">
      <c r="N283" s="70"/>
    </row>
    <row r="284" spans="14:14" x14ac:dyDescent="0.2">
      <c r="N284" s="70"/>
    </row>
    <row r="285" spans="14:14" x14ac:dyDescent="0.2">
      <c r="N285" s="70"/>
    </row>
    <row r="286" spans="14:14" x14ac:dyDescent="0.2">
      <c r="N286" s="70"/>
    </row>
    <row r="287" spans="14:14" x14ac:dyDescent="0.2">
      <c r="N287" s="70"/>
    </row>
    <row r="288" spans="14:14" x14ac:dyDescent="0.2">
      <c r="N288" s="70"/>
    </row>
    <row r="289" spans="14:14" x14ac:dyDescent="0.2">
      <c r="N289" s="70"/>
    </row>
    <row r="290" spans="14:14" x14ac:dyDescent="0.2">
      <c r="N290" s="70"/>
    </row>
    <row r="291" spans="14:14" x14ac:dyDescent="0.2">
      <c r="N291" s="70"/>
    </row>
    <row r="292" spans="14:14" x14ac:dyDescent="0.2">
      <c r="N292" s="70"/>
    </row>
    <row r="293" spans="14:14" x14ac:dyDescent="0.2">
      <c r="N293" s="70"/>
    </row>
    <row r="294" spans="14:14" x14ac:dyDescent="0.2">
      <c r="N294" s="70"/>
    </row>
    <row r="295" spans="14:14" x14ac:dyDescent="0.2">
      <c r="N295" s="70"/>
    </row>
    <row r="296" spans="14:14" x14ac:dyDescent="0.2">
      <c r="N296" s="70"/>
    </row>
    <row r="297" spans="14:14" x14ac:dyDescent="0.2">
      <c r="N297" s="70"/>
    </row>
    <row r="298" spans="14:14" x14ac:dyDescent="0.2">
      <c r="N298" s="70"/>
    </row>
    <row r="299" spans="14:14" x14ac:dyDescent="0.2">
      <c r="N299" s="70"/>
    </row>
    <row r="300" spans="14:14" x14ac:dyDescent="0.2">
      <c r="N300" s="70"/>
    </row>
    <row r="301" spans="14:14" x14ac:dyDescent="0.2">
      <c r="N301" s="70"/>
    </row>
    <row r="302" spans="14:14" x14ac:dyDescent="0.2">
      <c r="N302" s="70"/>
    </row>
    <row r="303" spans="14:14" x14ac:dyDescent="0.2">
      <c r="N303" s="70"/>
    </row>
    <row r="304" spans="14:14" x14ac:dyDescent="0.2">
      <c r="N304" s="70"/>
    </row>
    <row r="305" spans="14:14" x14ac:dyDescent="0.2">
      <c r="N305" s="70"/>
    </row>
    <row r="306" spans="14:14" x14ac:dyDescent="0.2">
      <c r="N306" s="70"/>
    </row>
    <row r="307" spans="14:14" x14ac:dyDescent="0.2">
      <c r="N307" s="70"/>
    </row>
    <row r="308" spans="14:14" x14ac:dyDescent="0.2">
      <c r="N308" s="70"/>
    </row>
    <row r="309" spans="14:14" x14ac:dyDescent="0.2">
      <c r="N309" s="70"/>
    </row>
    <row r="310" spans="14:14" x14ac:dyDescent="0.2">
      <c r="N310" s="70"/>
    </row>
    <row r="311" spans="14:14" x14ac:dyDescent="0.2">
      <c r="N311" s="70"/>
    </row>
    <row r="312" spans="14:14" x14ac:dyDescent="0.2">
      <c r="N312" s="70"/>
    </row>
    <row r="313" spans="14:14" x14ac:dyDescent="0.2">
      <c r="N313" s="70"/>
    </row>
    <row r="314" spans="14:14" x14ac:dyDescent="0.2">
      <c r="N314" s="70"/>
    </row>
    <row r="315" spans="14:14" x14ac:dyDescent="0.2">
      <c r="N315" s="70"/>
    </row>
    <row r="316" spans="14:14" x14ac:dyDescent="0.2">
      <c r="N316" s="70"/>
    </row>
    <row r="317" spans="14:14" x14ac:dyDescent="0.2">
      <c r="N317" s="70"/>
    </row>
    <row r="318" spans="14:14" x14ac:dyDescent="0.2">
      <c r="N318" s="70"/>
    </row>
    <row r="319" spans="14:14" x14ac:dyDescent="0.2">
      <c r="N319" s="70"/>
    </row>
    <row r="320" spans="14:14" x14ac:dyDescent="0.2">
      <c r="N320" s="70"/>
    </row>
    <row r="321" spans="14:14" x14ac:dyDescent="0.2">
      <c r="N321" s="70"/>
    </row>
    <row r="322" spans="14:14" x14ac:dyDescent="0.2">
      <c r="N322" s="70"/>
    </row>
    <row r="323" spans="14:14" x14ac:dyDescent="0.2">
      <c r="N323" s="70"/>
    </row>
    <row r="324" spans="14:14" x14ac:dyDescent="0.2">
      <c r="N324" s="70"/>
    </row>
    <row r="325" spans="14:14" x14ac:dyDescent="0.2">
      <c r="N325" s="70"/>
    </row>
    <row r="326" spans="14:14" x14ac:dyDescent="0.2">
      <c r="N326" s="70"/>
    </row>
    <row r="327" spans="14:14" x14ac:dyDescent="0.2">
      <c r="N327" s="70"/>
    </row>
    <row r="328" spans="14:14" x14ac:dyDescent="0.2">
      <c r="N328" s="70"/>
    </row>
    <row r="329" spans="14:14" x14ac:dyDescent="0.2">
      <c r="N329" s="70"/>
    </row>
    <row r="330" spans="14:14" x14ac:dyDescent="0.2">
      <c r="N330" s="70"/>
    </row>
    <row r="331" spans="14:14" x14ac:dyDescent="0.2">
      <c r="N331" s="70"/>
    </row>
    <row r="332" spans="14:14" x14ac:dyDescent="0.2">
      <c r="N332" s="70"/>
    </row>
    <row r="333" spans="14:14" x14ac:dyDescent="0.2">
      <c r="N333" s="70"/>
    </row>
    <row r="334" spans="14:14" x14ac:dyDescent="0.2">
      <c r="N334" s="70"/>
    </row>
    <row r="335" spans="14:14" x14ac:dyDescent="0.2">
      <c r="N335" s="70"/>
    </row>
    <row r="336" spans="14:14" x14ac:dyDescent="0.2">
      <c r="N336" s="70"/>
    </row>
    <row r="337" spans="14:14" x14ac:dyDescent="0.2">
      <c r="N337" s="70"/>
    </row>
    <row r="338" spans="14:14" x14ac:dyDescent="0.2">
      <c r="N338" s="70"/>
    </row>
    <row r="339" spans="14:14" x14ac:dyDescent="0.2">
      <c r="N339" s="70"/>
    </row>
    <row r="340" spans="14:14" x14ac:dyDescent="0.2">
      <c r="N340" s="70"/>
    </row>
    <row r="341" spans="14:14" x14ac:dyDescent="0.2">
      <c r="N341" s="70"/>
    </row>
    <row r="342" spans="14:14" x14ac:dyDescent="0.2">
      <c r="N342" s="70"/>
    </row>
    <row r="343" spans="14:14" x14ac:dyDescent="0.2">
      <c r="N343" s="70"/>
    </row>
    <row r="344" spans="14:14" x14ac:dyDescent="0.2">
      <c r="N344" s="70"/>
    </row>
    <row r="345" spans="14:14" x14ac:dyDescent="0.2">
      <c r="N345" s="70"/>
    </row>
    <row r="346" spans="14:14" x14ac:dyDescent="0.2">
      <c r="N346" s="70"/>
    </row>
    <row r="347" spans="14:14" x14ac:dyDescent="0.2">
      <c r="N347" s="70"/>
    </row>
    <row r="348" spans="14:14" x14ac:dyDescent="0.2">
      <c r="N348" s="70"/>
    </row>
    <row r="349" spans="14:14" x14ac:dyDescent="0.2">
      <c r="N349" s="70"/>
    </row>
    <row r="350" spans="14:14" x14ac:dyDescent="0.2">
      <c r="N350" s="70"/>
    </row>
    <row r="351" spans="14:14" x14ac:dyDescent="0.2">
      <c r="N351" s="70"/>
    </row>
    <row r="352" spans="14:14" x14ac:dyDescent="0.2">
      <c r="N352" s="70"/>
    </row>
    <row r="353" spans="14:14" x14ac:dyDescent="0.2">
      <c r="N353" s="70"/>
    </row>
    <row r="354" spans="14:14" x14ac:dyDescent="0.2">
      <c r="N354" s="70"/>
    </row>
    <row r="355" spans="14:14" x14ac:dyDescent="0.2">
      <c r="N355" s="70"/>
    </row>
    <row r="356" spans="14:14" x14ac:dyDescent="0.2">
      <c r="N356" s="70"/>
    </row>
    <row r="357" spans="14:14" x14ac:dyDescent="0.2">
      <c r="N357" s="70"/>
    </row>
    <row r="358" spans="14:14" x14ac:dyDescent="0.2">
      <c r="N358" s="70"/>
    </row>
    <row r="359" spans="14:14" x14ac:dyDescent="0.2">
      <c r="N359" s="70"/>
    </row>
    <row r="360" spans="14:14" x14ac:dyDescent="0.2">
      <c r="N360" s="70"/>
    </row>
    <row r="361" spans="14:14" x14ac:dyDescent="0.2">
      <c r="N361" s="70"/>
    </row>
    <row r="362" spans="14:14" x14ac:dyDescent="0.2">
      <c r="N362" s="70"/>
    </row>
    <row r="363" spans="14:14" x14ac:dyDescent="0.2">
      <c r="N363" s="70"/>
    </row>
    <row r="364" spans="14:14" x14ac:dyDescent="0.2">
      <c r="N364" s="70"/>
    </row>
    <row r="365" spans="14:14" x14ac:dyDescent="0.2">
      <c r="N365" s="70"/>
    </row>
    <row r="366" spans="14:14" x14ac:dyDescent="0.2">
      <c r="N366" s="70"/>
    </row>
    <row r="367" spans="14:14" x14ac:dyDescent="0.2">
      <c r="N367" s="70"/>
    </row>
    <row r="368" spans="14:14" x14ac:dyDescent="0.2">
      <c r="N368" s="70"/>
    </row>
    <row r="369" spans="14:14" x14ac:dyDescent="0.2">
      <c r="N369" s="70"/>
    </row>
    <row r="370" spans="14:14" x14ac:dyDescent="0.2">
      <c r="N370" s="70"/>
    </row>
    <row r="371" spans="14:14" x14ac:dyDescent="0.2">
      <c r="N371" s="70"/>
    </row>
    <row r="372" spans="14:14" x14ac:dyDescent="0.2">
      <c r="N372" s="70"/>
    </row>
    <row r="373" spans="14:14" x14ac:dyDescent="0.2">
      <c r="N373" s="70"/>
    </row>
    <row r="374" spans="14:14" x14ac:dyDescent="0.2">
      <c r="N374" s="70"/>
    </row>
    <row r="375" spans="14:14" x14ac:dyDescent="0.2">
      <c r="N375" s="70"/>
    </row>
    <row r="376" spans="14:14" x14ac:dyDescent="0.2">
      <c r="N376" s="70"/>
    </row>
    <row r="377" spans="14:14" x14ac:dyDescent="0.2">
      <c r="N377" s="70"/>
    </row>
    <row r="378" spans="14:14" x14ac:dyDescent="0.2">
      <c r="N378" s="70"/>
    </row>
    <row r="379" spans="14:14" x14ac:dyDescent="0.2">
      <c r="N379" s="70"/>
    </row>
    <row r="380" spans="14:14" x14ac:dyDescent="0.2">
      <c r="N380" s="70"/>
    </row>
    <row r="381" spans="14:14" x14ac:dyDescent="0.2">
      <c r="N381" s="70"/>
    </row>
    <row r="382" spans="14:14" x14ac:dyDescent="0.2">
      <c r="N382" s="70"/>
    </row>
    <row r="383" spans="14:14" x14ac:dyDescent="0.2">
      <c r="N383" s="70"/>
    </row>
    <row r="384" spans="14:14" x14ac:dyDescent="0.2">
      <c r="N384" s="70"/>
    </row>
    <row r="385" spans="14:14" x14ac:dyDescent="0.2">
      <c r="N385" s="70"/>
    </row>
    <row r="386" spans="14:14" x14ac:dyDescent="0.2">
      <c r="N386" s="70"/>
    </row>
    <row r="387" spans="14:14" x14ac:dyDescent="0.2">
      <c r="N387" s="70"/>
    </row>
    <row r="388" spans="14:14" x14ac:dyDescent="0.2">
      <c r="N388" s="70"/>
    </row>
    <row r="389" spans="14:14" x14ac:dyDescent="0.2">
      <c r="N389" s="70"/>
    </row>
    <row r="390" spans="14:14" x14ac:dyDescent="0.2">
      <c r="N390" s="70"/>
    </row>
    <row r="391" spans="14:14" x14ac:dyDescent="0.2">
      <c r="N391" s="70"/>
    </row>
    <row r="392" spans="14:14" x14ac:dyDescent="0.2">
      <c r="N392" s="70"/>
    </row>
    <row r="393" spans="14:14" x14ac:dyDescent="0.2">
      <c r="N393" s="70"/>
    </row>
    <row r="394" spans="14:14" x14ac:dyDescent="0.2">
      <c r="N394" s="70"/>
    </row>
    <row r="395" spans="14:14" x14ac:dyDescent="0.2">
      <c r="N395" s="70"/>
    </row>
    <row r="396" spans="14:14" x14ac:dyDescent="0.2">
      <c r="N396" s="70"/>
    </row>
    <row r="397" spans="14:14" x14ac:dyDescent="0.2">
      <c r="N397" s="70"/>
    </row>
    <row r="398" spans="14:14" x14ac:dyDescent="0.2">
      <c r="N398" s="70"/>
    </row>
    <row r="399" spans="14:14" x14ac:dyDescent="0.2">
      <c r="N399" s="70"/>
    </row>
    <row r="400" spans="14:14" x14ac:dyDescent="0.2">
      <c r="N400" s="70"/>
    </row>
    <row r="401" spans="14:14" x14ac:dyDescent="0.2">
      <c r="N401" s="70"/>
    </row>
    <row r="402" spans="14:14" x14ac:dyDescent="0.2">
      <c r="N402" s="70"/>
    </row>
    <row r="403" spans="14:14" x14ac:dyDescent="0.2">
      <c r="N403" s="70"/>
    </row>
    <row r="404" spans="14:14" x14ac:dyDescent="0.2">
      <c r="N404" s="70"/>
    </row>
    <row r="405" spans="14:14" x14ac:dyDescent="0.2">
      <c r="N405" s="70"/>
    </row>
    <row r="406" spans="14:14" x14ac:dyDescent="0.2">
      <c r="N406" s="70"/>
    </row>
    <row r="407" spans="14:14" x14ac:dyDescent="0.2">
      <c r="N407" s="70"/>
    </row>
    <row r="408" spans="14:14" x14ac:dyDescent="0.2">
      <c r="N408" s="70"/>
    </row>
    <row r="409" spans="14:14" x14ac:dyDescent="0.2">
      <c r="N409" s="70"/>
    </row>
    <row r="410" spans="14:14" x14ac:dyDescent="0.2">
      <c r="N410" s="70"/>
    </row>
    <row r="411" spans="14:14" x14ac:dyDescent="0.2">
      <c r="N411" s="70"/>
    </row>
    <row r="412" spans="14:14" x14ac:dyDescent="0.2">
      <c r="N412" s="70"/>
    </row>
    <row r="413" spans="14:14" x14ac:dyDescent="0.2">
      <c r="N413" s="70"/>
    </row>
    <row r="414" spans="14:14" x14ac:dyDescent="0.2">
      <c r="N414" s="70"/>
    </row>
    <row r="415" spans="14:14" x14ac:dyDescent="0.2">
      <c r="N415" s="70"/>
    </row>
    <row r="416" spans="14:14" x14ac:dyDescent="0.2">
      <c r="N416" s="70"/>
    </row>
    <row r="417" spans="14:14" x14ac:dyDescent="0.2">
      <c r="N417" s="70"/>
    </row>
    <row r="418" spans="14:14" x14ac:dyDescent="0.2">
      <c r="N418" s="70"/>
    </row>
    <row r="419" spans="14:14" x14ac:dyDescent="0.2">
      <c r="N419" s="70"/>
    </row>
    <row r="420" spans="14:14" x14ac:dyDescent="0.2">
      <c r="N420" s="70"/>
    </row>
    <row r="421" spans="14:14" x14ac:dyDescent="0.2">
      <c r="N421" s="70"/>
    </row>
    <row r="422" spans="14:14" x14ac:dyDescent="0.2">
      <c r="N422" s="70"/>
    </row>
    <row r="423" spans="14:14" x14ac:dyDescent="0.2">
      <c r="N423" s="70"/>
    </row>
    <row r="424" spans="14:14" x14ac:dyDescent="0.2">
      <c r="N424" s="70"/>
    </row>
    <row r="425" spans="14:14" x14ac:dyDescent="0.2">
      <c r="N425" s="70"/>
    </row>
    <row r="426" spans="14:14" x14ac:dyDescent="0.2">
      <c r="N426" s="70"/>
    </row>
    <row r="427" spans="14:14" x14ac:dyDescent="0.2">
      <c r="N427" s="70"/>
    </row>
    <row r="428" spans="14:14" x14ac:dyDescent="0.2">
      <c r="N428" s="70"/>
    </row>
    <row r="429" spans="14:14" x14ac:dyDescent="0.2">
      <c r="N429" s="70"/>
    </row>
    <row r="430" spans="14:14" x14ac:dyDescent="0.2">
      <c r="N430" s="70"/>
    </row>
    <row r="431" spans="14:14" x14ac:dyDescent="0.2">
      <c r="N431" s="70"/>
    </row>
    <row r="432" spans="14:14" x14ac:dyDescent="0.2">
      <c r="N432" s="70"/>
    </row>
    <row r="433" spans="14:14" x14ac:dyDescent="0.2">
      <c r="N433" s="70"/>
    </row>
    <row r="434" spans="14:14" x14ac:dyDescent="0.2">
      <c r="N434" s="70"/>
    </row>
    <row r="435" spans="14:14" x14ac:dyDescent="0.2">
      <c r="N435" s="70"/>
    </row>
    <row r="436" spans="14:14" x14ac:dyDescent="0.2">
      <c r="N436" s="70"/>
    </row>
    <row r="437" spans="14:14" x14ac:dyDescent="0.2">
      <c r="N437" s="70"/>
    </row>
    <row r="438" spans="14:14" x14ac:dyDescent="0.2">
      <c r="N438" s="70"/>
    </row>
    <row r="439" spans="14:14" x14ac:dyDescent="0.2">
      <c r="N439" s="70"/>
    </row>
    <row r="440" spans="14:14" x14ac:dyDescent="0.2">
      <c r="N440" s="70"/>
    </row>
    <row r="441" spans="14:14" x14ac:dyDescent="0.2">
      <c r="N441" s="70"/>
    </row>
    <row r="442" spans="14:14" x14ac:dyDescent="0.2">
      <c r="N442" s="70"/>
    </row>
    <row r="443" spans="14:14" x14ac:dyDescent="0.2">
      <c r="N443" s="70"/>
    </row>
    <row r="444" spans="14:14" x14ac:dyDescent="0.2">
      <c r="N444" s="70"/>
    </row>
    <row r="445" spans="14:14" x14ac:dyDescent="0.2">
      <c r="N445" s="70"/>
    </row>
    <row r="446" spans="14:14" x14ac:dyDescent="0.2">
      <c r="N446" s="70"/>
    </row>
    <row r="447" spans="14:14" x14ac:dyDescent="0.2">
      <c r="N447" s="70"/>
    </row>
    <row r="448" spans="14:14" x14ac:dyDescent="0.2">
      <c r="N448" s="70"/>
    </row>
    <row r="449" spans="14:14" x14ac:dyDescent="0.2">
      <c r="N449" s="70"/>
    </row>
    <row r="450" spans="14:14" x14ac:dyDescent="0.2">
      <c r="N450" s="70"/>
    </row>
    <row r="451" spans="14:14" x14ac:dyDescent="0.2">
      <c r="N451" s="70"/>
    </row>
    <row r="452" spans="14:14" x14ac:dyDescent="0.2">
      <c r="N452" s="70"/>
    </row>
    <row r="453" spans="14:14" x14ac:dyDescent="0.2">
      <c r="N453" s="70"/>
    </row>
    <row r="454" spans="14:14" x14ac:dyDescent="0.2">
      <c r="N454" s="70"/>
    </row>
    <row r="455" spans="14:14" x14ac:dyDescent="0.2">
      <c r="N455" s="70"/>
    </row>
    <row r="456" spans="14:14" x14ac:dyDescent="0.2">
      <c r="N456" s="70"/>
    </row>
    <row r="457" spans="14:14" x14ac:dyDescent="0.2">
      <c r="N457" s="70"/>
    </row>
    <row r="458" spans="14:14" x14ac:dyDescent="0.2">
      <c r="N458" s="70"/>
    </row>
    <row r="459" spans="14:14" x14ac:dyDescent="0.2">
      <c r="N459" s="70"/>
    </row>
    <row r="460" spans="14:14" x14ac:dyDescent="0.2">
      <c r="N460" s="70"/>
    </row>
    <row r="461" spans="14:14" x14ac:dyDescent="0.2">
      <c r="N461" s="70"/>
    </row>
    <row r="462" spans="14:14" x14ac:dyDescent="0.2">
      <c r="N462" s="70"/>
    </row>
    <row r="463" spans="14:14" x14ac:dyDescent="0.2">
      <c r="N463" s="70"/>
    </row>
    <row r="464" spans="14:14" x14ac:dyDescent="0.2">
      <c r="N464" s="70"/>
    </row>
    <row r="465" spans="14:14" x14ac:dyDescent="0.2">
      <c r="N465" s="70"/>
    </row>
    <row r="466" spans="14:14" x14ac:dyDescent="0.2">
      <c r="N466" s="70"/>
    </row>
    <row r="467" spans="14:14" x14ac:dyDescent="0.2">
      <c r="N467" s="70"/>
    </row>
    <row r="468" spans="14:14" x14ac:dyDescent="0.2">
      <c r="N468" s="70"/>
    </row>
    <row r="469" spans="14:14" x14ac:dyDescent="0.2">
      <c r="N469" s="70"/>
    </row>
    <row r="470" spans="14:14" x14ac:dyDescent="0.2">
      <c r="N470" s="70"/>
    </row>
    <row r="471" spans="14:14" x14ac:dyDescent="0.2">
      <c r="N471" s="70"/>
    </row>
    <row r="472" spans="14:14" x14ac:dyDescent="0.2">
      <c r="N472" s="70"/>
    </row>
    <row r="473" spans="14:14" x14ac:dyDescent="0.2">
      <c r="N473" s="70"/>
    </row>
    <row r="474" spans="14:14" x14ac:dyDescent="0.2">
      <c r="N474" s="70"/>
    </row>
    <row r="475" spans="14:14" x14ac:dyDescent="0.2">
      <c r="N475" s="70"/>
    </row>
    <row r="476" spans="14:14" x14ac:dyDescent="0.2">
      <c r="N476" s="70"/>
    </row>
    <row r="477" spans="14:14" x14ac:dyDescent="0.2">
      <c r="N477" s="70"/>
    </row>
    <row r="478" spans="14:14" x14ac:dyDescent="0.2">
      <c r="N478" s="70"/>
    </row>
    <row r="479" spans="14:14" x14ac:dyDescent="0.2">
      <c r="N479" s="70"/>
    </row>
    <row r="480" spans="14:14" x14ac:dyDescent="0.2">
      <c r="N480" s="70"/>
    </row>
    <row r="481" spans="14:14" x14ac:dyDescent="0.2">
      <c r="N481" s="70"/>
    </row>
    <row r="482" spans="14:14" x14ac:dyDescent="0.2">
      <c r="N482" s="70"/>
    </row>
    <row r="483" spans="14:14" x14ac:dyDescent="0.2">
      <c r="N483" s="70"/>
    </row>
    <row r="484" spans="14:14" x14ac:dyDescent="0.2">
      <c r="N484" s="70"/>
    </row>
    <row r="485" spans="14:14" x14ac:dyDescent="0.2">
      <c r="N485" s="70"/>
    </row>
    <row r="486" spans="14:14" x14ac:dyDescent="0.2">
      <c r="N486" s="70"/>
    </row>
    <row r="487" spans="14:14" x14ac:dyDescent="0.2">
      <c r="N487" s="70"/>
    </row>
    <row r="488" spans="14:14" x14ac:dyDescent="0.2">
      <c r="N488" s="70"/>
    </row>
    <row r="489" spans="14:14" x14ac:dyDescent="0.2">
      <c r="N489" s="70"/>
    </row>
    <row r="490" spans="14:14" x14ac:dyDescent="0.2">
      <c r="N490" s="70"/>
    </row>
    <row r="491" spans="14:14" x14ac:dyDescent="0.2">
      <c r="N491" s="70"/>
    </row>
    <row r="492" spans="14:14" x14ac:dyDescent="0.2">
      <c r="N492" s="70"/>
    </row>
    <row r="493" spans="14:14" x14ac:dyDescent="0.2">
      <c r="N493" s="70"/>
    </row>
    <row r="494" spans="14:14" x14ac:dyDescent="0.2">
      <c r="N494" s="70"/>
    </row>
    <row r="495" spans="14:14" x14ac:dyDescent="0.2">
      <c r="N495" s="70"/>
    </row>
    <row r="496" spans="14:14" x14ac:dyDescent="0.2">
      <c r="N496" s="70"/>
    </row>
    <row r="497" spans="14:14" x14ac:dyDescent="0.2">
      <c r="N497" s="70"/>
    </row>
    <row r="498" spans="14:14" x14ac:dyDescent="0.2">
      <c r="N498" s="70"/>
    </row>
    <row r="499" spans="14:14" x14ac:dyDescent="0.2">
      <c r="N499" s="70"/>
    </row>
    <row r="500" spans="14:14" x14ac:dyDescent="0.2">
      <c r="N500" s="70"/>
    </row>
    <row r="501" spans="14:14" x14ac:dyDescent="0.2">
      <c r="N501" s="70"/>
    </row>
    <row r="502" spans="14:14" x14ac:dyDescent="0.2">
      <c r="N502" s="70"/>
    </row>
    <row r="503" spans="14:14" x14ac:dyDescent="0.2">
      <c r="N503" s="70"/>
    </row>
    <row r="504" spans="14:14" x14ac:dyDescent="0.2">
      <c r="N504" s="70"/>
    </row>
    <row r="505" spans="14:14" x14ac:dyDescent="0.2">
      <c r="N505" s="70"/>
    </row>
    <row r="506" spans="14:14" x14ac:dyDescent="0.2">
      <c r="N506" s="70"/>
    </row>
    <row r="507" spans="14:14" x14ac:dyDescent="0.2">
      <c r="N507" s="70"/>
    </row>
    <row r="508" spans="14:14" x14ac:dyDescent="0.2">
      <c r="N508" s="70"/>
    </row>
    <row r="509" spans="14:14" x14ac:dyDescent="0.2">
      <c r="N509" s="70"/>
    </row>
    <row r="510" spans="14:14" x14ac:dyDescent="0.2">
      <c r="N510" s="70"/>
    </row>
    <row r="511" spans="14:14" x14ac:dyDescent="0.2">
      <c r="N511" s="70"/>
    </row>
    <row r="512" spans="14:14" x14ac:dyDescent="0.2">
      <c r="N512" s="70"/>
    </row>
    <row r="513" spans="14:14" x14ac:dyDescent="0.2">
      <c r="N513" s="70"/>
    </row>
    <row r="514" spans="14:14" x14ac:dyDescent="0.2">
      <c r="N514" s="70"/>
    </row>
    <row r="515" spans="14:14" x14ac:dyDescent="0.2">
      <c r="N515" s="70"/>
    </row>
    <row r="516" spans="14:14" x14ac:dyDescent="0.2">
      <c r="N516" s="70"/>
    </row>
    <row r="517" spans="14:14" x14ac:dyDescent="0.2">
      <c r="N517" s="70"/>
    </row>
    <row r="518" spans="14:14" x14ac:dyDescent="0.2">
      <c r="N518" s="70"/>
    </row>
    <row r="519" spans="14:14" x14ac:dyDescent="0.2">
      <c r="N519" s="70"/>
    </row>
    <row r="520" spans="14:14" x14ac:dyDescent="0.2">
      <c r="N520" s="70"/>
    </row>
    <row r="521" spans="14:14" x14ac:dyDescent="0.2">
      <c r="N521" s="70"/>
    </row>
    <row r="522" spans="14:14" x14ac:dyDescent="0.2">
      <c r="N522" s="70"/>
    </row>
    <row r="523" spans="14:14" x14ac:dyDescent="0.2">
      <c r="N523" s="70"/>
    </row>
    <row r="524" spans="14:14" x14ac:dyDescent="0.2">
      <c r="N524" s="70"/>
    </row>
    <row r="525" spans="14:14" x14ac:dyDescent="0.2">
      <c r="N525" s="70"/>
    </row>
    <row r="526" spans="14:14" x14ac:dyDescent="0.2">
      <c r="N526" s="70"/>
    </row>
    <row r="527" spans="14:14" x14ac:dyDescent="0.2">
      <c r="N527" s="70"/>
    </row>
    <row r="528" spans="14:14" x14ac:dyDescent="0.2">
      <c r="N528" s="70"/>
    </row>
    <row r="529" spans="14:14" x14ac:dyDescent="0.2">
      <c r="N529" s="70"/>
    </row>
    <row r="530" spans="14:14" x14ac:dyDescent="0.2">
      <c r="N530" s="70"/>
    </row>
    <row r="531" spans="14:14" x14ac:dyDescent="0.2">
      <c r="N531" s="70"/>
    </row>
    <row r="532" spans="14:14" x14ac:dyDescent="0.2">
      <c r="N532" s="70"/>
    </row>
    <row r="533" spans="14:14" x14ac:dyDescent="0.2">
      <c r="N533" s="70"/>
    </row>
    <row r="534" spans="14:14" x14ac:dyDescent="0.2">
      <c r="N534" s="70"/>
    </row>
    <row r="535" spans="14:14" x14ac:dyDescent="0.2">
      <c r="N535" s="70"/>
    </row>
    <row r="536" spans="14:14" x14ac:dyDescent="0.2">
      <c r="N536" s="70"/>
    </row>
    <row r="537" spans="14:14" x14ac:dyDescent="0.2">
      <c r="N537" s="70"/>
    </row>
    <row r="538" spans="14:14" x14ac:dyDescent="0.2">
      <c r="N538" s="70"/>
    </row>
    <row r="539" spans="14:14" x14ac:dyDescent="0.2">
      <c r="N539" s="70"/>
    </row>
    <row r="540" spans="14:14" x14ac:dyDescent="0.2">
      <c r="N540" s="70"/>
    </row>
    <row r="541" spans="14:14" x14ac:dyDescent="0.2">
      <c r="N541" s="70"/>
    </row>
    <row r="542" spans="14:14" x14ac:dyDescent="0.2">
      <c r="N542" s="70"/>
    </row>
    <row r="543" spans="14:14" x14ac:dyDescent="0.2">
      <c r="N543" s="70"/>
    </row>
    <row r="544" spans="14:14" x14ac:dyDescent="0.2">
      <c r="N544" s="70"/>
    </row>
    <row r="545" spans="14:14" x14ac:dyDescent="0.2">
      <c r="N545" s="70"/>
    </row>
    <row r="546" spans="14:14" x14ac:dyDescent="0.2">
      <c r="N546" s="70"/>
    </row>
    <row r="547" spans="14:14" x14ac:dyDescent="0.2">
      <c r="N547" s="70"/>
    </row>
    <row r="548" spans="14:14" x14ac:dyDescent="0.2">
      <c r="N548" s="70"/>
    </row>
    <row r="549" spans="14:14" x14ac:dyDescent="0.2">
      <c r="N549" s="70"/>
    </row>
    <row r="550" spans="14:14" x14ac:dyDescent="0.2">
      <c r="N550" s="70"/>
    </row>
    <row r="551" spans="14:14" x14ac:dyDescent="0.2">
      <c r="N551" s="70"/>
    </row>
    <row r="552" spans="14:14" x14ac:dyDescent="0.2">
      <c r="N552" s="70"/>
    </row>
    <row r="553" spans="14:14" x14ac:dyDescent="0.2">
      <c r="N553" s="70"/>
    </row>
    <row r="554" spans="14:14" x14ac:dyDescent="0.2">
      <c r="N554" s="70"/>
    </row>
    <row r="555" spans="14:14" x14ac:dyDescent="0.2">
      <c r="N555" s="70"/>
    </row>
    <row r="556" spans="14:14" x14ac:dyDescent="0.2">
      <c r="N556" s="70"/>
    </row>
    <row r="557" spans="14:14" x14ac:dyDescent="0.2">
      <c r="N557" s="70"/>
    </row>
    <row r="558" spans="14:14" x14ac:dyDescent="0.2">
      <c r="N558" s="70"/>
    </row>
    <row r="559" spans="14:14" x14ac:dyDescent="0.2">
      <c r="N559" s="70"/>
    </row>
    <row r="560" spans="14:14" x14ac:dyDescent="0.2">
      <c r="N560" s="70"/>
    </row>
    <row r="561" spans="14:14" x14ac:dyDescent="0.2">
      <c r="N561" s="70"/>
    </row>
    <row r="562" spans="14:14" x14ac:dyDescent="0.2">
      <c r="N562" s="70"/>
    </row>
    <row r="563" spans="14:14" x14ac:dyDescent="0.2">
      <c r="N563" s="70"/>
    </row>
    <row r="564" spans="14:14" x14ac:dyDescent="0.2">
      <c r="N564" s="70"/>
    </row>
    <row r="565" spans="14:14" x14ac:dyDescent="0.2">
      <c r="N565" s="70"/>
    </row>
    <row r="566" spans="14:14" x14ac:dyDescent="0.2">
      <c r="N566" s="70"/>
    </row>
    <row r="567" spans="14:14" x14ac:dyDescent="0.2">
      <c r="N567" s="70"/>
    </row>
    <row r="568" spans="14:14" x14ac:dyDescent="0.2">
      <c r="N568" s="70"/>
    </row>
    <row r="569" spans="14:14" x14ac:dyDescent="0.2">
      <c r="N569" s="70"/>
    </row>
    <row r="570" spans="14:14" x14ac:dyDescent="0.2">
      <c r="N570" s="70"/>
    </row>
    <row r="571" spans="14:14" x14ac:dyDescent="0.2">
      <c r="N571" s="70"/>
    </row>
    <row r="572" spans="14:14" x14ac:dyDescent="0.2">
      <c r="N572" s="70"/>
    </row>
    <row r="573" spans="14:14" x14ac:dyDescent="0.2">
      <c r="N573" s="70"/>
    </row>
    <row r="574" spans="14:14" x14ac:dyDescent="0.2">
      <c r="N574" s="70"/>
    </row>
    <row r="575" spans="14:14" x14ac:dyDescent="0.2">
      <c r="N575" s="70"/>
    </row>
    <row r="576" spans="14:14" x14ac:dyDescent="0.2">
      <c r="N576" s="70"/>
    </row>
    <row r="577" spans="14:14" x14ac:dyDescent="0.2">
      <c r="N577" s="70"/>
    </row>
    <row r="578" spans="14:14" x14ac:dyDescent="0.2">
      <c r="N578" s="70"/>
    </row>
    <row r="579" spans="14:14" x14ac:dyDescent="0.2">
      <c r="N579" s="70"/>
    </row>
    <row r="580" spans="14:14" x14ac:dyDescent="0.2">
      <c r="N580" s="70"/>
    </row>
    <row r="581" spans="14:14" x14ac:dyDescent="0.2">
      <c r="N581" s="70"/>
    </row>
    <row r="582" spans="14:14" x14ac:dyDescent="0.2">
      <c r="N582" s="70"/>
    </row>
    <row r="583" spans="14:14" x14ac:dyDescent="0.2">
      <c r="N583" s="70"/>
    </row>
    <row r="584" spans="14:14" x14ac:dyDescent="0.2">
      <c r="N584" s="70"/>
    </row>
    <row r="585" spans="14:14" x14ac:dyDescent="0.2">
      <c r="N585" s="70"/>
    </row>
    <row r="586" spans="14:14" x14ac:dyDescent="0.2">
      <c r="N586" s="70"/>
    </row>
    <row r="587" spans="14:14" x14ac:dyDescent="0.2">
      <c r="N587" s="70"/>
    </row>
    <row r="588" spans="14:14" x14ac:dyDescent="0.2">
      <c r="N588" s="70"/>
    </row>
    <row r="589" spans="14:14" x14ac:dyDescent="0.2">
      <c r="N589" s="70"/>
    </row>
    <row r="590" spans="14:14" x14ac:dyDescent="0.2">
      <c r="N590" s="70"/>
    </row>
    <row r="591" spans="14:14" x14ac:dyDescent="0.2">
      <c r="N591" s="70"/>
    </row>
    <row r="592" spans="14:14" x14ac:dyDescent="0.2">
      <c r="N592" s="70"/>
    </row>
    <row r="593" spans="14:14" x14ac:dyDescent="0.2">
      <c r="N593" s="70"/>
    </row>
    <row r="594" spans="14:14" x14ac:dyDescent="0.2">
      <c r="N594" s="70"/>
    </row>
    <row r="595" spans="14:14" x14ac:dyDescent="0.2">
      <c r="N595" s="70"/>
    </row>
    <row r="596" spans="14:14" x14ac:dyDescent="0.2">
      <c r="N596" s="70"/>
    </row>
    <row r="597" spans="14:14" x14ac:dyDescent="0.2">
      <c r="N597" s="70"/>
    </row>
    <row r="598" spans="14:14" x14ac:dyDescent="0.2">
      <c r="N598" s="70"/>
    </row>
    <row r="599" spans="14:14" x14ac:dyDescent="0.2">
      <c r="N599" s="70"/>
    </row>
    <row r="600" spans="14:14" x14ac:dyDescent="0.2">
      <c r="N600" s="70"/>
    </row>
    <row r="601" spans="14:14" x14ac:dyDescent="0.2">
      <c r="N601" s="70"/>
    </row>
    <row r="602" spans="14:14" x14ac:dyDescent="0.2">
      <c r="N602" s="70"/>
    </row>
    <row r="603" spans="14:14" x14ac:dyDescent="0.2">
      <c r="N603" s="70"/>
    </row>
    <row r="604" spans="14:14" x14ac:dyDescent="0.2">
      <c r="N604" s="70"/>
    </row>
    <row r="605" spans="14:14" x14ac:dyDescent="0.2">
      <c r="N605" s="70"/>
    </row>
    <row r="606" spans="14:14" x14ac:dyDescent="0.2">
      <c r="N606" s="70"/>
    </row>
    <row r="607" spans="14:14" x14ac:dyDescent="0.2">
      <c r="N607" s="70"/>
    </row>
    <row r="608" spans="14:14" x14ac:dyDescent="0.2">
      <c r="N608" s="70"/>
    </row>
    <row r="609" spans="14:14" x14ac:dyDescent="0.2">
      <c r="N609" s="70"/>
    </row>
    <row r="610" spans="14:14" x14ac:dyDescent="0.2">
      <c r="N610" s="70"/>
    </row>
    <row r="611" spans="14:14" x14ac:dyDescent="0.2">
      <c r="N611" s="70"/>
    </row>
    <row r="612" spans="14:14" x14ac:dyDescent="0.2">
      <c r="N612" s="70"/>
    </row>
    <row r="613" spans="14:14" x14ac:dyDescent="0.2">
      <c r="N613" s="70"/>
    </row>
    <row r="614" spans="14:14" x14ac:dyDescent="0.2">
      <c r="N614" s="70"/>
    </row>
    <row r="615" spans="14:14" x14ac:dyDescent="0.2">
      <c r="N615" s="70"/>
    </row>
    <row r="616" spans="14:14" x14ac:dyDescent="0.2">
      <c r="N616" s="70"/>
    </row>
    <row r="617" spans="14:14" x14ac:dyDescent="0.2">
      <c r="N617" s="70"/>
    </row>
    <row r="618" spans="14:14" x14ac:dyDescent="0.2">
      <c r="N618" s="70"/>
    </row>
    <row r="619" spans="14:14" x14ac:dyDescent="0.2">
      <c r="N619" s="70"/>
    </row>
    <row r="620" spans="14:14" x14ac:dyDescent="0.2">
      <c r="N620" s="70"/>
    </row>
    <row r="621" spans="14:14" x14ac:dyDescent="0.2">
      <c r="N621" s="70"/>
    </row>
    <row r="622" spans="14:14" x14ac:dyDescent="0.2">
      <c r="N622" s="70"/>
    </row>
    <row r="623" spans="14:14" x14ac:dyDescent="0.2">
      <c r="N623" s="70"/>
    </row>
    <row r="624" spans="14:14" x14ac:dyDescent="0.2">
      <c r="N624" s="70"/>
    </row>
    <row r="625" spans="14:14" x14ac:dyDescent="0.2">
      <c r="N625" s="70"/>
    </row>
    <row r="626" spans="14:14" x14ac:dyDescent="0.2">
      <c r="N626" s="70"/>
    </row>
    <row r="627" spans="14:14" x14ac:dyDescent="0.2">
      <c r="N627" s="70"/>
    </row>
    <row r="628" spans="14:14" x14ac:dyDescent="0.2">
      <c r="N628" s="70"/>
    </row>
    <row r="629" spans="14:14" x14ac:dyDescent="0.2">
      <c r="N629" s="70"/>
    </row>
    <row r="630" spans="14:14" x14ac:dyDescent="0.2">
      <c r="N630" s="70"/>
    </row>
    <row r="631" spans="14:14" x14ac:dyDescent="0.2">
      <c r="N631" s="70"/>
    </row>
    <row r="632" spans="14:14" x14ac:dyDescent="0.2">
      <c r="N632" s="70"/>
    </row>
    <row r="633" spans="14:14" x14ac:dyDescent="0.2">
      <c r="N633" s="70"/>
    </row>
    <row r="634" spans="14:14" x14ac:dyDescent="0.2">
      <c r="N634" s="70"/>
    </row>
    <row r="635" spans="14:14" x14ac:dyDescent="0.2">
      <c r="N635" s="70"/>
    </row>
    <row r="636" spans="14:14" x14ac:dyDescent="0.2">
      <c r="N636" s="70"/>
    </row>
    <row r="637" spans="14:14" x14ac:dyDescent="0.2">
      <c r="N637" s="70"/>
    </row>
    <row r="638" spans="14:14" x14ac:dyDescent="0.2">
      <c r="N638" s="70"/>
    </row>
    <row r="639" spans="14:14" x14ac:dyDescent="0.2">
      <c r="N639" s="70"/>
    </row>
    <row r="640" spans="14:14" x14ac:dyDescent="0.2">
      <c r="N640" s="70"/>
    </row>
    <row r="641" spans="14:14" x14ac:dyDescent="0.2">
      <c r="N641" s="70"/>
    </row>
    <row r="642" spans="14:14" x14ac:dyDescent="0.2">
      <c r="N642" s="70"/>
    </row>
    <row r="643" spans="14:14" x14ac:dyDescent="0.2">
      <c r="N643" s="70"/>
    </row>
    <row r="644" spans="14:14" x14ac:dyDescent="0.2">
      <c r="N644" s="70"/>
    </row>
    <row r="645" spans="14:14" x14ac:dyDescent="0.2">
      <c r="N645" s="70"/>
    </row>
    <row r="646" spans="14:14" x14ac:dyDescent="0.2">
      <c r="N646" s="70"/>
    </row>
    <row r="647" spans="14:14" x14ac:dyDescent="0.2">
      <c r="N647" s="70"/>
    </row>
    <row r="648" spans="14:14" x14ac:dyDescent="0.2">
      <c r="N648" s="70"/>
    </row>
    <row r="649" spans="14:14" x14ac:dyDescent="0.2">
      <c r="N649" s="70"/>
    </row>
    <row r="650" spans="14:14" x14ac:dyDescent="0.2">
      <c r="N650" s="70"/>
    </row>
    <row r="651" spans="14:14" x14ac:dyDescent="0.2">
      <c r="N651" s="70"/>
    </row>
    <row r="652" spans="14:14" x14ac:dyDescent="0.2">
      <c r="N652" s="70"/>
    </row>
    <row r="653" spans="14:14" x14ac:dyDescent="0.2">
      <c r="N653" s="70"/>
    </row>
    <row r="654" spans="14:14" x14ac:dyDescent="0.2">
      <c r="N654" s="70"/>
    </row>
    <row r="655" spans="14:14" x14ac:dyDescent="0.2">
      <c r="N655" s="70"/>
    </row>
    <row r="656" spans="14:14" x14ac:dyDescent="0.2">
      <c r="N656" s="70"/>
    </row>
    <row r="657" spans="14:14" x14ac:dyDescent="0.2">
      <c r="N657" s="70"/>
    </row>
    <row r="658" spans="14:14" x14ac:dyDescent="0.2">
      <c r="N658" s="70"/>
    </row>
    <row r="659" spans="14:14" x14ac:dyDescent="0.2">
      <c r="N659" s="70"/>
    </row>
    <row r="660" spans="14:14" x14ac:dyDescent="0.2">
      <c r="N660" s="70"/>
    </row>
    <row r="661" spans="14:14" x14ac:dyDescent="0.2">
      <c r="N661" s="70"/>
    </row>
    <row r="662" spans="14:14" x14ac:dyDescent="0.2">
      <c r="N662" s="70"/>
    </row>
    <row r="663" spans="14:14" x14ac:dyDescent="0.2">
      <c r="N663" s="70"/>
    </row>
    <row r="664" spans="14:14" x14ac:dyDescent="0.2">
      <c r="N664" s="70"/>
    </row>
    <row r="665" spans="14:14" x14ac:dyDescent="0.2">
      <c r="N665" s="70"/>
    </row>
    <row r="666" spans="14:14" x14ac:dyDescent="0.2">
      <c r="N666" s="70"/>
    </row>
    <row r="667" spans="14:14" x14ac:dyDescent="0.2">
      <c r="N667" s="70"/>
    </row>
    <row r="668" spans="14:14" x14ac:dyDescent="0.2">
      <c r="N668" s="70"/>
    </row>
    <row r="669" spans="14:14" x14ac:dyDescent="0.2">
      <c r="N669" s="70"/>
    </row>
    <row r="670" spans="14:14" x14ac:dyDescent="0.2">
      <c r="N670" s="70"/>
    </row>
    <row r="671" spans="14:14" x14ac:dyDescent="0.2">
      <c r="N671" s="70"/>
    </row>
    <row r="672" spans="14:14" x14ac:dyDescent="0.2">
      <c r="N672" s="70"/>
    </row>
    <row r="673" spans="14:14" x14ac:dyDescent="0.2">
      <c r="N673" s="70"/>
    </row>
    <row r="674" spans="14:14" x14ac:dyDescent="0.2">
      <c r="N674" s="70"/>
    </row>
    <row r="675" spans="14:14" x14ac:dyDescent="0.2">
      <c r="N675" s="70"/>
    </row>
    <row r="676" spans="14:14" x14ac:dyDescent="0.2">
      <c r="N676" s="70"/>
    </row>
    <row r="677" spans="14:14" x14ac:dyDescent="0.2">
      <c r="N677" s="70"/>
    </row>
    <row r="678" spans="14:14" x14ac:dyDescent="0.2">
      <c r="N678" s="70"/>
    </row>
    <row r="679" spans="14:14" x14ac:dyDescent="0.2">
      <c r="N679" s="70"/>
    </row>
    <row r="680" spans="14:14" x14ac:dyDescent="0.2">
      <c r="N680" s="70"/>
    </row>
    <row r="681" spans="14:14" x14ac:dyDescent="0.2">
      <c r="N681" s="70"/>
    </row>
    <row r="682" spans="14:14" x14ac:dyDescent="0.2">
      <c r="N682" s="70"/>
    </row>
    <row r="683" spans="14:14" x14ac:dyDescent="0.2">
      <c r="N683" s="70"/>
    </row>
    <row r="684" spans="14:14" x14ac:dyDescent="0.2">
      <c r="N684" s="70"/>
    </row>
    <row r="685" spans="14:14" x14ac:dyDescent="0.2">
      <c r="N685" s="70"/>
    </row>
    <row r="686" spans="14:14" x14ac:dyDescent="0.2">
      <c r="N686" s="70"/>
    </row>
    <row r="687" spans="14:14" x14ac:dyDescent="0.2">
      <c r="N687" s="70"/>
    </row>
    <row r="688" spans="14:14" x14ac:dyDescent="0.2">
      <c r="N688" s="70"/>
    </row>
    <row r="689" spans="14:14" x14ac:dyDescent="0.2">
      <c r="N689" s="70"/>
    </row>
    <row r="690" spans="14:14" x14ac:dyDescent="0.2">
      <c r="N690" s="70"/>
    </row>
    <row r="691" spans="14:14" x14ac:dyDescent="0.2">
      <c r="N691" s="70"/>
    </row>
    <row r="692" spans="14:14" x14ac:dyDescent="0.2">
      <c r="N692" s="70"/>
    </row>
    <row r="693" spans="14:14" x14ac:dyDescent="0.2">
      <c r="N693" s="70"/>
    </row>
    <row r="694" spans="14:14" x14ac:dyDescent="0.2">
      <c r="N694" s="70"/>
    </row>
    <row r="695" spans="14:14" x14ac:dyDescent="0.2">
      <c r="N695" s="70"/>
    </row>
    <row r="696" spans="14:14" x14ac:dyDescent="0.2">
      <c r="N696" s="70"/>
    </row>
    <row r="697" spans="14:14" x14ac:dyDescent="0.2">
      <c r="N697" s="70"/>
    </row>
    <row r="698" spans="14:14" x14ac:dyDescent="0.2">
      <c r="N698" s="70"/>
    </row>
    <row r="699" spans="14:14" x14ac:dyDescent="0.2">
      <c r="N699" s="70"/>
    </row>
    <row r="700" spans="14:14" x14ac:dyDescent="0.2">
      <c r="N700" s="70"/>
    </row>
    <row r="701" spans="14:14" x14ac:dyDescent="0.2">
      <c r="N701" s="70"/>
    </row>
    <row r="702" spans="14:14" x14ac:dyDescent="0.2">
      <c r="N702" s="70"/>
    </row>
    <row r="703" spans="14:14" x14ac:dyDescent="0.2">
      <c r="N703" s="70"/>
    </row>
    <row r="704" spans="14:14" x14ac:dyDescent="0.2">
      <c r="N704" s="70"/>
    </row>
    <row r="705" spans="14:14" x14ac:dyDescent="0.2">
      <c r="N705" s="70"/>
    </row>
    <row r="706" spans="14:14" x14ac:dyDescent="0.2">
      <c r="N706" s="70"/>
    </row>
    <row r="707" spans="14:14" x14ac:dyDescent="0.2">
      <c r="N707" s="70"/>
    </row>
    <row r="708" spans="14:14" x14ac:dyDescent="0.2">
      <c r="N708" s="70"/>
    </row>
    <row r="709" spans="14:14" x14ac:dyDescent="0.2">
      <c r="N709" s="70"/>
    </row>
    <row r="710" spans="14:14" x14ac:dyDescent="0.2">
      <c r="N710" s="70"/>
    </row>
    <row r="711" spans="14:14" x14ac:dyDescent="0.2">
      <c r="N711" s="70"/>
    </row>
    <row r="712" spans="14:14" x14ac:dyDescent="0.2">
      <c r="N712" s="70"/>
    </row>
    <row r="713" spans="14:14" x14ac:dyDescent="0.2">
      <c r="N713" s="70"/>
    </row>
    <row r="714" spans="14:14" x14ac:dyDescent="0.2">
      <c r="N714" s="70"/>
    </row>
    <row r="715" spans="14:14" x14ac:dyDescent="0.2">
      <c r="N715" s="70"/>
    </row>
    <row r="716" spans="14:14" x14ac:dyDescent="0.2">
      <c r="N716" s="70"/>
    </row>
    <row r="717" spans="14:14" x14ac:dyDescent="0.2">
      <c r="N717" s="70"/>
    </row>
    <row r="718" spans="14:14" x14ac:dyDescent="0.2">
      <c r="N718" s="70"/>
    </row>
    <row r="719" spans="14:14" x14ac:dyDescent="0.2">
      <c r="N719" s="70"/>
    </row>
    <row r="720" spans="14:14" x14ac:dyDescent="0.2">
      <c r="N720" s="70"/>
    </row>
    <row r="721" spans="14:14" x14ac:dyDescent="0.2">
      <c r="N721" s="70"/>
    </row>
    <row r="722" spans="14:14" x14ac:dyDescent="0.2">
      <c r="N722" s="70"/>
    </row>
    <row r="723" spans="14:14" x14ac:dyDescent="0.2">
      <c r="N723" s="70"/>
    </row>
    <row r="724" spans="14:14" x14ac:dyDescent="0.2">
      <c r="N724" s="70"/>
    </row>
    <row r="725" spans="14:14" x14ac:dyDescent="0.2">
      <c r="N725" s="70"/>
    </row>
    <row r="726" spans="14:14" x14ac:dyDescent="0.2">
      <c r="N726" s="70"/>
    </row>
    <row r="727" spans="14:14" x14ac:dyDescent="0.2">
      <c r="N727" s="70"/>
    </row>
    <row r="728" spans="14:14" x14ac:dyDescent="0.2">
      <c r="N728" s="70"/>
    </row>
    <row r="729" spans="14:14" x14ac:dyDescent="0.2">
      <c r="N729" s="70"/>
    </row>
    <row r="730" spans="14:14" x14ac:dyDescent="0.2">
      <c r="N730" s="70"/>
    </row>
    <row r="731" spans="14:14" x14ac:dyDescent="0.2">
      <c r="N731" s="70"/>
    </row>
    <row r="732" spans="14:14" x14ac:dyDescent="0.2">
      <c r="N732" s="70"/>
    </row>
    <row r="733" spans="14:14" x14ac:dyDescent="0.2">
      <c r="N733" s="70"/>
    </row>
    <row r="734" spans="14:14" x14ac:dyDescent="0.2">
      <c r="N734" s="70"/>
    </row>
    <row r="735" spans="14:14" x14ac:dyDescent="0.2">
      <c r="N735" s="70"/>
    </row>
    <row r="736" spans="14:14" x14ac:dyDescent="0.2">
      <c r="N736" s="70"/>
    </row>
    <row r="737" spans="14:14" x14ac:dyDescent="0.2">
      <c r="N737" s="70"/>
    </row>
    <row r="738" spans="14:14" x14ac:dyDescent="0.2">
      <c r="N738" s="70"/>
    </row>
    <row r="739" spans="14:14" x14ac:dyDescent="0.2">
      <c r="N739" s="70"/>
    </row>
    <row r="740" spans="14:14" x14ac:dyDescent="0.2">
      <c r="N740" s="70"/>
    </row>
    <row r="741" spans="14:14" x14ac:dyDescent="0.2">
      <c r="N741" s="70"/>
    </row>
    <row r="742" spans="14:14" x14ac:dyDescent="0.2">
      <c r="N742" s="70"/>
    </row>
    <row r="743" spans="14:14" x14ac:dyDescent="0.2">
      <c r="N743" s="70"/>
    </row>
    <row r="744" spans="14:14" x14ac:dyDescent="0.2">
      <c r="N744" s="70"/>
    </row>
    <row r="745" spans="14:14" x14ac:dyDescent="0.2">
      <c r="N745" s="70"/>
    </row>
    <row r="746" spans="14:14" x14ac:dyDescent="0.2">
      <c r="N746" s="70"/>
    </row>
    <row r="747" spans="14:14" x14ac:dyDescent="0.2">
      <c r="N747" s="70"/>
    </row>
    <row r="748" spans="14:14" x14ac:dyDescent="0.2">
      <c r="N748" s="70"/>
    </row>
    <row r="749" spans="14:14" x14ac:dyDescent="0.2">
      <c r="N749" s="70"/>
    </row>
    <row r="750" spans="14:14" x14ac:dyDescent="0.2">
      <c r="N750" s="70"/>
    </row>
    <row r="751" spans="14:14" x14ac:dyDescent="0.2">
      <c r="N751" s="70"/>
    </row>
    <row r="752" spans="14:14" x14ac:dyDescent="0.2">
      <c r="N752" s="70"/>
    </row>
    <row r="753" spans="14:14" x14ac:dyDescent="0.2">
      <c r="N753" s="70"/>
    </row>
    <row r="754" spans="14:14" x14ac:dyDescent="0.2">
      <c r="N754" s="70"/>
    </row>
    <row r="755" spans="14:14" x14ac:dyDescent="0.2">
      <c r="N755" s="70"/>
    </row>
    <row r="756" spans="14:14" x14ac:dyDescent="0.2">
      <c r="N756" s="70"/>
    </row>
    <row r="757" spans="14:14" x14ac:dyDescent="0.2">
      <c r="N757" s="70"/>
    </row>
    <row r="758" spans="14:14" x14ac:dyDescent="0.2">
      <c r="N758" s="70"/>
    </row>
    <row r="759" spans="14:14" x14ac:dyDescent="0.2">
      <c r="N759" s="70"/>
    </row>
    <row r="760" spans="14:14" x14ac:dyDescent="0.2">
      <c r="N760" s="70"/>
    </row>
    <row r="761" spans="14:14" x14ac:dyDescent="0.2">
      <c r="N761" s="70"/>
    </row>
    <row r="762" spans="14:14" x14ac:dyDescent="0.2">
      <c r="N762" s="70"/>
    </row>
    <row r="763" spans="14:14" x14ac:dyDescent="0.2">
      <c r="N763" s="70"/>
    </row>
    <row r="764" spans="14:14" x14ac:dyDescent="0.2">
      <c r="N764" s="70"/>
    </row>
    <row r="765" spans="14:14" x14ac:dyDescent="0.2">
      <c r="N765" s="70"/>
    </row>
    <row r="766" spans="14:14" x14ac:dyDescent="0.2">
      <c r="N766" s="70"/>
    </row>
    <row r="767" spans="14:14" x14ac:dyDescent="0.2">
      <c r="N767" s="70"/>
    </row>
    <row r="768" spans="14:14" x14ac:dyDescent="0.2">
      <c r="N768" s="70"/>
    </row>
    <row r="769" spans="14:14" x14ac:dyDescent="0.2">
      <c r="N769" s="70"/>
    </row>
    <row r="770" spans="14:14" x14ac:dyDescent="0.2">
      <c r="N770" s="70"/>
    </row>
    <row r="771" spans="14:14" x14ac:dyDescent="0.2">
      <c r="N771" s="70"/>
    </row>
    <row r="772" spans="14:14" x14ac:dyDescent="0.2">
      <c r="N772" s="70"/>
    </row>
    <row r="773" spans="14:14" x14ac:dyDescent="0.2">
      <c r="N773" s="70"/>
    </row>
    <row r="774" spans="14:14" x14ac:dyDescent="0.2">
      <c r="N774" s="70"/>
    </row>
    <row r="775" spans="14:14" x14ac:dyDescent="0.2">
      <c r="N775" s="70"/>
    </row>
    <row r="776" spans="14:14" x14ac:dyDescent="0.2">
      <c r="N776" s="70"/>
    </row>
    <row r="777" spans="14:14" x14ac:dyDescent="0.2">
      <c r="N777" s="70"/>
    </row>
    <row r="778" spans="14:14" x14ac:dyDescent="0.2">
      <c r="N778" s="70"/>
    </row>
    <row r="779" spans="14:14" x14ac:dyDescent="0.2">
      <c r="N779" s="70"/>
    </row>
    <row r="780" spans="14:14" x14ac:dyDescent="0.2">
      <c r="N780" s="70"/>
    </row>
    <row r="781" spans="14:14" x14ac:dyDescent="0.2">
      <c r="N781" s="70"/>
    </row>
    <row r="782" spans="14:14" x14ac:dyDescent="0.2">
      <c r="N782" s="70"/>
    </row>
    <row r="783" spans="14:14" x14ac:dyDescent="0.2">
      <c r="N783" s="70"/>
    </row>
    <row r="784" spans="14:14" x14ac:dyDescent="0.2">
      <c r="N784" s="70"/>
    </row>
    <row r="785" spans="14:14" x14ac:dyDescent="0.2">
      <c r="N785" s="70"/>
    </row>
    <row r="786" spans="14:14" x14ac:dyDescent="0.2">
      <c r="N786" s="70"/>
    </row>
    <row r="787" spans="14:14" x14ac:dyDescent="0.2">
      <c r="N787" s="70"/>
    </row>
    <row r="788" spans="14:14" x14ac:dyDescent="0.2">
      <c r="N788" s="70"/>
    </row>
    <row r="789" spans="14:14" x14ac:dyDescent="0.2">
      <c r="N789" s="70"/>
    </row>
    <row r="790" spans="14:14" x14ac:dyDescent="0.2">
      <c r="N790" s="70"/>
    </row>
    <row r="791" spans="14:14" x14ac:dyDescent="0.2">
      <c r="N791" s="70"/>
    </row>
    <row r="792" spans="14:14" x14ac:dyDescent="0.2">
      <c r="N792" s="70"/>
    </row>
    <row r="793" spans="14:14" x14ac:dyDescent="0.2">
      <c r="N793" s="70"/>
    </row>
    <row r="794" spans="14:14" x14ac:dyDescent="0.2">
      <c r="N794" s="70"/>
    </row>
    <row r="795" spans="14:14" x14ac:dyDescent="0.2">
      <c r="N795" s="70"/>
    </row>
    <row r="796" spans="14:14" x14ac:dyDescent="0.2">
      <c r="N796" s="70"/>
    </row>
    <row r="797" spans="14:14" x14ac:dyDescent="0.2">
      <c r="N797" s="70"/>
    </row>
    <row r="798" spans="14:14" x14ac:dyDescent="0.2">
      <c r="N798" s="70"/>
    </row>
    <row r="799" spans="14:14" x14ac:dyDescent="0.2">
      <c r="N799" s="70"/>
    </row>
    <row r="800" spans="14:14" x14ac:dyDescent="0.2">
      <c r="N800" s="70"/>
    </row>
    <row r="801" spans="14:14" x14ac:dyDescent="0.2">
      <c r="N801" s="70"/>
    </row>
    <row r="802" spans="14:14" x14ac:dyDescent="0.2">
      <c r="N802" s="70"/>
    </row>
    <row r="803" spans="14:14" x14ac:dyDescent="0.2">
      <c r="N803" s="70"/>
    </row>
    <row r="804" spans="14:14" x14ac:dyDescent="0.2">
      <c r="N804" s="70"/>
    </row>
    <row r="805" spans="14:14" x14ac:dyDescent="0.2">
      <c r="N805" s="70"/>
    </row>
    <row r="806" spans="14:14" x14ac:dyDescent="0.2">
      <c r="N806" s="70"/>
    </row>
    <row r="807" spans="14:14" x14ac:dyDescent="0.2">
      <c r="N807" s="70"/>
    </row>
    <row r="808" spans="14:14" x14ac:dyDescent="0.2">
      <c r="N808" s="70"/>
    </row>
    <row r="809" spans="14:14" x14ac:dyDescent="0.2">
      <c r="N809" s="70"/>
    </row>
    <row r="810" spans="14:14" x14ac:dyDescent="0.2">
      <c r="N810" s="70"/>
    </row>
    <row r="811" spans="14:14" x14ac:dyDescent="0.2">
      <c r="N811" s="70"/>
    </row>
    <row r="812" spans="14:14" x14ac:dyDescent="0.2">
      <c r="N812" s="70"/>
    </row>
    <row r="813" spans="14:14" x14ac:dyDescent="0.2">
      <c r="N813" s="70"/>
    </row>
    <row r="814" spans="14:14" x14ac:dyDescent="0.2">
      <c r="N814" s="70"/>
    </row>
    <row r="815" spans="14:14" x14ac:dyDescent="0.2">
      <c r="N815" s="70"/>
    </row>
    <row r="816" spans="14:14" x14ac:dyDescent="0.2">
      <c r="N816" s="70"/>
    </row>
    <row r="817" spans="14:14" x14ac:dyDescent="0.2">
      <c r="N817" s="70"/>
    </row>
    <row r="818" spans="14:14" x14ac:dyDescent="0.2">
      <c r="N818" s="70"/>
    </row>
    <row r="819" spans="14:14" x14ac:dyDescent="0.2">
      <c r="N819" s="70"/>
    </row>
    <row r="820" spans="14:14" x14ac:dyDescent="0.2">
      <c r="N820" s="70"/>
    </row>
    <row r="821" spans="14:14" x14ac:dyDescent="0.2">
      <c r="N821" s="70"/>
    </row>
    <row r="822" spans="14:14" x14ac:dyDescent="0.2">
      <c r="N822" s="70"/>
    </row>
    <row r="823" spans="14:14" x14ac:dyDescent="0.2">
      <c r="N823" s="70"/>
    </row>
    <row r="824" spans="14:14" x14ac:dyDescent="0.2">
      <c r="N824" s="70"/>
    </row>
    <row r="825" spans="14:14" x14ac:dyDescent="0.2">
      <c r="N825" s="70"/>
    </row>
    <row r="826" spans="14:14" x14ac:dyDescent="0.2">
      <c r="N826" s="70"/>
    </row>
    <row r="827" spans="14:14" x14ac:dyDescent="0.2">
      <c r="N827" s="70"/>
    </row>
    <row r="828" spans="14:14" x14ac:dyDescent="0.2">
      <c r="N828" s="70"/>
    </row>
    <row r="829" spans="14:14" x14ac:dyDescent="0.2">
      <c r="N829" s="70"/>
    </row>
    <row r="830" spans="14:14" x14ac:dyDescent="0.2">
      <c r="N830" s="70"/>
    </row>
    <row r="831" spans="14:14" x14ac:dyDescent="0.2">
      <c r="N831" s="70"/>
    </row>
    <row r="832" spans="14:14" x14ac:dyDescent="0.2">
      <c r="N832" s="70"/>
    </row>
    <row r="833" spans="14:14" x14ac:dyDescent="0.2">
      <c r="N833" s="70"/>
    </row>
    <row r="834" spans="14:14" x14ac:dyDescent="0.2">
      <c r="N834" s="70"/>
    </row>
    <row r="835" spans="14:14" x14ac:dyDescent="0.2">
      <c r="N835" s="70"/>
    </row>
    <row r="836" spans="14:14" x14ac:dyDescent="0.2">
      <c r="N836" s="70"/>
    </row>
    <row r="837" spans="14:14" x14ac:dyDescent="0.2">
      <c r="N837" s="70"/>
    </row>
    <row r="838" spans="14:14" x14ac:dyDescent="0.2">
      <c r="N838" s="70"/>
    </row>
    <row r="839" spans="14:14" x14ac:dyDescent="0.2">
      <c r="N839" s="70"/>
    </row>
    <row r="840" spans="14:14" x14ac:dyDescent="0.2">
      <c r="N840" s="70"/>
    </row>
    <row r="841" spans="14:14" x14ac:dyDescent="0.2">
      <c r="N841" s="70"/>
    </row>
    <row r="842" spans="14:14" x14ac:dyDescent="0.2">
      <c r="N842" s="70"/>
    </row>
    <row r="843" spans="14:14" x14ac:dyDescent="0.2">
      <c r="N843" s="70"/>
    </row>
    <row r="844" spans="14:14" x14ac:dyDescent="0.2">
      <c r="N844" s="70"/>
    </row>
    <row r="845" spans="14:14" x14ac:dyDescent="0.2">
      <c r="N845" s="70"/>
    </row>
    <row r="846" spans="14:14" x14ac:dyDescent="0.2">
      <c r="N846" s="70"/>
    </row>
    <row r="847" spans="14:14" x14ac:dyDescent="0.2">
      <c r="N847" s="70"/>
    </row>
    <row r="848" spans="14:14" x14ac:dyDescent="0.2">
      <c r="N848" s="70"/>
    </row>
    <row r="849" spans="14:14" x14ac:dyDescent="0.2">
      <c r="N849" s="70"/>
    </row>
    <row r="850" spans="14:14" x14ac:dyDescent="0.2">
      <c r="N850" s="70"/>
    </row>
    <row r="851" spans="14:14" x14ac:dyDescent="0.2">
      <c r="N851" s="70"/>
    </row>
    <row r="852" spans="14:14" x14ac:dyDescent="0.2">
      <c r="N852" s="70"/>
    </row>
    <row r="853" spans="14:14" x14ac:dyDescent="0.2">
      <c r="N853" s="70"/>
    </row>
    <row r="854" spans="14:14" x14ac:dyDescent="0.2">
      <c r="N854" s="70"/>
    </row>
    <row r="855" spans="14:14" x14ac:dyDescent="0.2">
      <c r="N855" s="70"/>
    </row>
    <row r="856" spans="14:14" x14ac:dyDescent="0.2">
      <c r="N856" s="70"/>
    </row>
    <row r="857" spans="14:14" x14ac:dyDescent="0.2">
      <c r="N857" s="70"/>
    </row>
    <row r="858" spans="14:14" x14ac:dyDescent="0.2">
      <c r="N858" s="70"/>
    </row>
    <row r="859" spans="14:14" x14ac:dyDescent="0.2">
      <c r="N859" s="70"/>
    </row>
    <row r="860" spans="14:14" x14ac:dyDescent="0.2">
      <c r="N860" s="70"/>
    </row>
    <row r="861" spans="14:14" x14ac:dyDescent="0.2">
      <c r="N861" s="70"/>
    </row>
    <row r="862" spans="14:14" x14ac:dyDescent="0.2">
      <c r="N862" s="70"/>
    </row>
    <row r="863" spans="14:14" x14ac:dyDescent="0.2">
      <c r="N863" s="70"/>
    </row>
    <row r="864" spans="14:14" x14ac:dyDescent="0.2">
      <c r="N864" s="70"/>
    </row>
    <row r="865" spans="14:14" x14ac:dyDescent="0.2">
      <c r="N865" s="70"/>
    </row>
    <row r="866" spans="14:14" x14ac:dyDescent="0.2">
      <c r="N866" s="70"/>
    </row>
    <row r="867" spans="14:14" x14ac:dyDescent="0.2">
      <c r="N867" s="70"/>
    </row>
    <row r="868" spans="14:14" x14ac:dyDescent="0.2">
      <c r="N868" s="70"/>
    </row>
    <row r="869" spans="14:14" x14ac:dyDescent="0.2">
      <c r="N869" s="70"/>
    </row>
    <row r="870" spans="14:14" x14ac:dyDescent="0.2">
      <c r="N870" s="70"/>
    </row>
    <row r="871" spans="14:14" x14ac:dyDescent="0.2">
      <c r="N871" s="70"/>
    </row>
    <row r="872" spans="14:14" x14ac:dyDescent="0.2">
      <c r="N872" s="70"/>
    </row>
    <row r="873" spans="14:14" x14ac:dyDescent="0.2">
      <c r="N873" s="70"/>
    </row>
    <row r="874" spans="14:14" x14ac:dyDescent="0.2">
      <c r="N874" s="70"/>
    </row>
    <row r="875" spans="14:14" x14ac:dyDescent="0.2">
      <c r="N875" s="70"/>
    </row>
    <row r="876" spans="14:14" x14ac:dyDescent="0.2">
      <c r="N876" s="70"/>
    </row>
    <row r="877" spans="14:14" x14ac:dyDescent="0.2">
      <c r="N877" s="70"/>
    </row>
    <row r="878" spans="14:14" x14ac:dyDescent="0.2">
      <c r="N878" s="70"/>
    </row>
    <row r="879" spans="14:14" x14ac:dyDescent="0.2">
      <c r="N879" s="70"/>
    </row>
    <row r="880" spans="14:14" x14ac:dyDescent="0.2">
      <c r="N880" s="70"/>
    </row>
    <row r="881" spans="14:14" x14ac:dyDescent="0.2">
      <c r="N881" s="70"/>
    </row>
    <row r="882" spans="14:14" x14ac:dyDescent="0.2">
      <c r="N882" s="70"/>
    </row>
    <row r="883" spans="14:14" x14ac:dyDescent="0.2">
      <c r="N883" s="70"/>
    </row>
    <row r="884" spans="14:14" x14ac:dyDescent="0.2">
      <c r="N884" s="70"/>
    </row>
    <row r="885" spans="14:14" x14ac:dyDescent="0.2">
      <c r="N885" s="70"/>
    </row>
    <row r="886" spans="14:14" x14ac:dyDescent="0.2">
      <c r="N886" s="70"/>
    </row>
    <row r="887" spans="14:14" x14ac:dyDescent="0.2">
      <c r="N887" s="70"/>
    </row>
    <row r="888" spans="14:14" x14ac:dyDescent="0.2">
      <c r="N888" s="70"/>
    </row>
    <row r="889" spans="14:14" x14ac:dyDescent="0.2">
      <c r="N889" s="70"/>
    </row>
    <row r="890" spans="14:14" x14ac:dyDescent="0.2">
      <c r="N890" s="70"/>
    </row>
    <row r="891" spans="14:14" x14ac:dyDescent="0.2">
      <c r="N891" s="70"/>
    </row>
    <row r="892" spans="14:14" x14ac:dyDescent="0.2">
      <c r="N892" s="70"/>
    </row>
    <row r="893" spans="14:14" x14ac:dyDescent="0.2">
      <c r="N893" s="70"/>
    </row>
    <row r="894" spans="14:14" x14ac:dyDescent="0.2">
      <c r="N894" s="70"/>
    </row>
    <row r="895" spans="14:14" x14ac:dyDescent="0.2">
      <c r="N895" s="70"/>
    </row>
    <row r="896" spans="14:14" x14ac:dyDescent="0.2">
      <c r="N896" s="70"/>
    </row>
    <row r="897" spans="14:14" x14ac:dyDescent="0.2">
      <c r="N897" s="70"/>
    </row>
    <row r="898" spans="14:14" x14ac:dyDescent="0.2">
      <c r="N898" s="70"/>
    </row>
    <row r="899" spans="14:14" x14ac:dyDescent="0.2">
      <c r="N899" s="70"/>
    </row>
    <row r="900" spans="14:14" x14ac:dyDescent="0.2">
      <c r="N900" s="70"/>
    </row>
    <row r="901" spans="14:14" x14ac:dyDescent="0.2">
      <c r="N901" s="70"/>
    </row>
    <row r="902" spans="14:14" x14ac:dyDescent="0.2">
      <c r="N902" s="70"/>
    </row>
    <row r="903" spans="14:14" x14ac:dyDescent="0.2">
      <c r="N903" s="70"/>
    </row>
    <row r="904" spans="14:14" x14ac:dyDescent="0.2">
      <c r="N904" s="70"/>
    </row>
    <row r="905" spans="14:14" x14ac:dyDescent="0.2">
      <c r="N905" s="70"/>
    </row>
    <row r="906" spans="14:14" x14ac:dyDescent="0.2">
      <c r="N906" s="70"/>
    </row>
    <row r="907" spans="14:14" x14ac:dyDescent="0.2">
      <c r="N907" s="70"/>
    </row>
    <row r="908" spans="14:14" x14ac:dyDescent="0.2">
      <c r="N908" s="70"/>
    </row>
    <row r="909" spans="14:14" x14ac:dyDescent="0.2">
      <c r="N909" s="70"/>
    </row>
    <row r="910" spans="14:14" x14ac:dyDescent="0.2">
      <c r="N910" s="70"/>
    </row>
    <row r="911" spans="14:14" x14ac:dyDescent="0.2">
      <c r="N911" s="70"/>
    </row>
    <row r="912" spans="14:14" x14ac:dyDescent="0.2">
      <c r="N912" s="70"/>
    </row>
    <row r="913" spans="14:14" x14ac:dyDescent="0.2">
      <c r="N913" s="70"/>
    </row>
    <row r="914" spans="14:14" x14ac:dyDescent="0.2">
      <c r="N914" s="70"/>
    </row>
    <row r="915" spans="14:14" x14ac:dyDescent="0.2">
      <c r="N915" s="70"/>
    </row>
    <row r="916" spans="14:14" x14ac:dyDescent="0.2">
      <c r="N916" s="70"/>
    </row>
    <row r="917" spans="14:14" x14ac:dyDescent="0.2">
      <c r="N917" s="70"/>
    </row>
    <row r="918" spans="14:14" x14ac:dyDescent="0.2">
      <c r="N918" s="70"/>
    </row>
    <row r="919" spans="14:14" x14ac:dyDescent="0.2">
      <c r="N919" s="70"/>
    </row>
    <row r="920" spans="14:14" x14ac:dyDescent="0.2">
      <c r="N920" s="70"/>
    </row>
    <row r="921" spans="14:14" x14ac:dyDescent="0.2">
      <c r="N921" s="70"/>
    </row>
    <row r="922" spans="14:14" x14ac:dyDescent="0.2">
      <c r="N922" s="70"/>
    </row>
    <row r="923" spans="14:14" x14ac:dyDescent="0.2">
      <c r="N923" s="70"/>
    </row>
    <row r="924" spans="14:14" x14ac:dyDescent="0.2">
      <c r="N924" s="70"/>
    </row>
    <row r="925" spans="14:14" x14ac:dyDescent="0.2">
      <c r="N925" s="70"/>
    </row>
    <row r="926" spans="14:14" x14ac:dyDescent="0.2">
      <c r="N926" s="70"/>
    </row>
    <row r="927" spans="14:14" x14ac:dyDescent="0.2">
      <c r="N927" s="70"/>
    </row>
    <row r="928" spans="14:14" x14ac:dyDescent="0.2">
      <c r="N928" s="70"/>
    </row>
    <row r="929" spans="14:14" x14ac:dyDescent="0.2">
      <c r="N929" s="70"/>
    </row>
    <row r="930" spans="14:14" x14ac:dyDescent="0.2">
      <c r="N930" s="70"/>
    </row>
    <row r="931" spans="14:14" x14ac:dyDescent="0.2">
      <c r="N931" s="70"/>
    </row>
    <row r="932" spans="14:14" x14ac:dyDescent="0.2">
      <c r="N932" s="70"/>
    </row>
    <row r="933" spans="14:14" x14ac:dyDescent="0.2">
      <c r="N933" s="70"/>
    </row>
    <row r="934" spans="14:14" x14ac:dyDescent="0.2">
      <c r="N934" s="70"/>
    </row>
    <row r="935" spans="14:14" x14ac:dyDescent="0.2">
      <c r="N935" s="70"/>
    </row>
    <row r="936" spans="14:14" x14ac:dyDescent="0.2">
      <c r="N936" s="70"/>
    </row>
    <row r="937" spans="14:14" x14ac:dyDescent="0.2">
      <c r="N937" s="70"/>
    </row>
    <row r="938" spans="14:14" x14ac:dyDescent="0.2">
      <c r="N938" s="70"/>
    </row>
    <row r="939" spans="14:14" x14ac:dyDescent="0.2">
      <c r="N939" s="70"/>
    </row>
    <row r="940" spans="14:14" x14ac:dyDescent="0.2">
      <c r="N940" s="70"/>
    </row>
    <row r="941" spans="14:14" x14ac:dyDescent="0.2">
      <c r="N941" s="70"/>
    </row>
    <row r="942" spans="14:14" x14ac:dyDescent="0.2">
      <c r="N942" s="70"/>
    </row>
    <row r="943" spans="14:14" x14ac:dyDescent="0.2">
      <c r="N943" s="70"/>
    </row>
    <row r="944" spans="14:14" x14ac:dyDescent="0.2">
      <c r="N944" s="70"/>
    </row>
    <row r="945" spans="14:14" x14ac:dyDescent="0.2">
      <c r="N945" s="70"/>
    </row>
    <row r="946" spans="14:14" x14ac:dyDescent="0.2">
      <c r="N946" s="70"/>
    </row>
    <row r="947" spans="14:14" x14ac:dyDescent="0.2">
      <c r="N947" s="70"/>
    </row>
    <row r="948" spans="14:14" x14ac:dyDescent="0.2">
      <c r="N948" s="70"/>
    </row>
    <row r="949" spans="14:14" x14ac:dyDescent="0.2">
      <c r="N949" s="70"/>
    </row>
    <row r="950" spans="14:14" x14ac:dyDescent="0.2">
      <c r="N950" s="70"/>
    </row>
    <row r="951" spans="14:14" x14ac:dyDescent="0.2">
      <c r="N951" s="70"/>
    </row>
    <row r="952" spans="14:14" x14ac:dyDescent="0.2">
      <c r="N952" s="70"/>
    </row>
    <row r="953" spans="14:14" x14ac:dyDescent="0.2">
      <c r="N953" s="70"/>
    </row>
    <row r="954" spans="14:14" x14ac:dyDescent="0.2">
      <c r="N954" s="70"/>
    </row>
    <row r="955" spans="14:14" x14ac:dyDescent="0.2">
      <c r="N955" s="70"/>
    </row>
    <row r="956" spans="14:14" x14ac:dyDescent="0.2">
      <c r="N956" s="70"/>
    </row>
    <row r="957" spans="14:14" x14ac:dyDescent="0.2">
      <c r="N957" s="70"/>
    </row>
    <row r="958" spans="14:14" x14ac:dyDescent="0.2">
      <c r="N958" s="70"/>
    </row>
    <row r="959" spans="14:14" x14ac:dyDescent="0.2">
      <c r="N959" s="70"/>
    </row>
    <row r="960" spans="14:14" x14ac:dyDescent="0.2">
      <c r="N960" s="70"/>
    </row>
    <row r="961" spans="14:14" x14ac:dyDescent="0.2">
      <c r="N961" s="70"/>
    </row>
    <row r="962" spans="14:14" x14ac:dyDescent="0.2">
      <c r="N962" s="70"/>
    </row>
    <row r="963" spans="14:14" x14ac:dyDescent="0.2">
      <c r="N963" s="70"/>
    </row>
    <row r="964" spans="14:14" x14ac:dyDescent="0.2">
      <c r="N964" s="70"/>
    </row>
    <row r="965" spans="14:14" x14ac:dyDescent="0.2">
      <c r="N965" s="70"/>
    </row>
    <row r="966" spans="14:14" x14ac:dyDescent="0.2">
      <c r="N966" s="70"/>
    </row>
    <row r="967" spans="14:14" x14ac:dyDescent="0.2">
      <c r="N967" s="70"/>
    </row>
    <row r="968" spans="14:14" x14ac:dyDescent="0.2">
      <c r="N968" s="70"/>
    </row>
    <row r="969" spans="14:14" x14ac:dyDescent="0.2">
      <c r="N969" s="70"/>
    </row>
    <row r="970" spans="14:14" x14ac:dyDescent="0.2">
      <c r="N970" s="70"/>
    </row>
    <row r="971" spans="14:14" x14ac:dyDescent="0.2">
      <c r="N971" s="70"/>
    </row>
    <row r="972" spans="14:14" x14ac:dyDescent="0.2">
      <c r="N972" s="70"/>
    </row>
    <row r="973" spans="14:14" x14ac:dyDescent="0.2">
      <c r="N973" s="70"/>
    </row>
    <row r="974" spans="14:14" x14ac:dyDescent="0.2">
      <c r="N974" s="70"/>
    </row>
    <row r="975" spans="14:14" x14ac:dyDescent="0.2">
      <c r="N975" s="70"/>
    </row>
    <row r="976" spans="14:14" x14ac:dyDescent="0.2">
      <c r="N976" s="70"/>
    </row>
    <row r="977" spans="14:14" x14ac:dyDescent="0.2">
      <c r="N977" s="70"/>
    </row>
    <row r="978" spans="14:14" x14ac:dyDescent="0.2">
      <c r="N978" s="70"/>
    </row>
    <row r="979" spans="14:14" x14ac:dyDescent="0.2">
      <c r="N979" s="70"/>
    </row>
    <row r="980" spans="14:14" x14ac:dyDescent="0.2">
      <c r="N980" s="70"/>
    </row>
    <row r="981" spans="14:14" x14ac:dyDescent="0.2">
      <c r="N981" s="70"/>
    </row>
    <row r="982" spans="14:14" x14ac:dyDescent="0.2">
      <c r="N982" s="70"/>
    </row>
    <row r="983" spans="14:14" x14ac:dyDescent="0.2">
      <c r="N983" s="70"/>
    </row>
    <row r="984" spans="14:14" x14ac:dyDescent="0.2">
      <c r="N984" s="70"/>
    </row>
    <row r="985" spans="14:14" x14ac:dyDescent="0.2">
      <c r="N985" s="70"/>
    </row>
    <row r="986" spans="14:14" x14ac:dyDescent="0.2">
      <c r="N986" s="70"/>
    </row>
    <row r="987" spans="14:14" x14ac:dyDescent="0.2">
      <c r="N987" s="70"/>
    </row>
    <row r="988" spans="14:14" x14ac:dyDescent="0.2">
      <c r="N988" s="70"/>
    </row>
    <row r="989" spans="14:14" x14ac:dyDescent="0.2">
      <c r="N989" s="70"/>
    </row>
    <row r="990" spans="14:14" x14ac:dyDescent="0.2">
      <c r="N990" s="70"/>
    </row>
    <row r="991" spans="14:14" x14ac:dyDescent="0.2">
      <c r="N991" s="70"/>
    </row>
    <row r="992" spans="14:14" x14ac:dyDescent="0.2">
      <c r="N992" s="70"/>
    </row>
    <row r="993" spans="14:14" x14ac:dyDescent="0.2">
      <c r="N993" s="70"/>
    </row>
    <row r="994" spans="14:14" x14ac:dyDescent="0.2">
      <c r="N994" s="70"/>
    </row>
    <row r="995" spans="14:14" x14ac:dyDescent="0.2">
      <c r="N995" s="70"/>
    </row>
    <row r="996" spans="14:14" x14ac:dyDescent="0.2">
      <c r="N996" s="70"/>
    </row>
    <row r="997" spans="14:14" x14ac:dyDescent="0.2">
      <c r="N997" s="70"/>
    </row>
    <row r="998" spans="14:14" x14ac:dyDescent="0.2">
      <c r="N998" s="70"/>
    </row>
    <row r="999" spans="14:14" x14ac:dyDescent="0.2">
      <c r="N999" s="70"/>
    </row>
    <row r="1000" spans="14:14" x14ac:dyDescent="0.2">
      <c r="N1000" s="70"/>
    </row>
    <row r="1001" spans="14:14" x14ac:dyDescent="0.2">
      <c r="N1001" s="70"/>
    </row>
    <row r="1002" spans="14:14" x14ac:dyDescent="0.2">
      <c r="N1002" s="70"/>
    </row>
    <row r="1003" spans="14:14" x14ac:dyDescent="0.2">
      <c r="N1003" s="70"/>
    </row>
    <row r="1004" spans="14:14" x14ac:dyDescent="0.2">
      <c r="N1004" s="70"/>
    </row>
    <row r="1005" spans="14:14" x14ac:dyDescent="0.2">
      <c r="N1005" s="70"/>
    </row>
    <row r="1006" spans="14:14" x14ac:dyDescent="0.2">
      <c r="N1006" s="70"/>
    </row>
    <row r="1007" spans="14:14" x14ac:dyDescent="0.2">
      <c r="N1007" s="70"/>
    </row>
    <row r="1008" spans="14:14" x14ac:dyDescent="0.2">
      <c r="N1008" s="70"/>
    </row>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row r="1017" hidden="1" x14ac:dyDescent="0.2"/>
    <row r="1018" hidden="1" x14ac:dyDescent="0.2"/>
    <row r="1019" hidden="1" x14ac:dyDescent="0.2"/>
    <row r="1020" hidden="1" x14ac:dyDescent="0.2"/>
    <row r="1021" hidden="1" x14ac:dyDescent="0.2"/>
    <row r="1022" hidden="1" x14ac:dyDescent="0.2"/>
    <row r="1023" hidden="1" x14ac:dyDescent="0.2"/>
    <row r="1024" hidden="1" x14ac:dyDescent="0.2"/>
    <row r="1025" spans="15:110" hidden="1" x14ac:dyDescent="0.2"/>
    <row r="1026" spans="15:110" hidden="1" x14ac:dyDescent="0.2"/>
    <row r="1027" spans="15:110" ht="13.15" hidden="1" thickBot="1" x14ac:dyDescent="0.25"/>
    <row r="1028" spans="15:110" ht="13.15"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15" hidden="1" thickBot="1" x14ac:dyDescent="0.25">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15" hidden="1" thickBot="1" x14ac:dyDescent="0.25">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15" hidden="1" thickBot="1" x14ac:dyDescent="0.25">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15" hidden="1" thickBot="1" x14ac:dyDescent="0.25">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15" hidden="1" thickBot="1" x14ac:dyDescent="0.25">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15" hidden="1" thickBot="1" x14ac:dyDescent="0.25">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15" hidden="1" thickBot="1" x14ac:dyDescent="0.25">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15" hidden="1" thickBot="1" x14ac:dyDescent="0.25">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15" hidden="1" thickBot="1" x14ac:dyDescent="0.25">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15" hidden="1" thickBot="1" x14ac:dyDescent="0.25">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15" hidden="1" thickBot="1" x14ac:dyDescent="0.25">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t="13.15"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15" hidden="1" thickBot="1" x14ac:dyDescent="0.25">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15" hidden="1" thickBot="1" x14ac:dyDescent="0.25">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15" hidden="1" thickBot="1" x14ac:dyDescent="0.25">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15" hidden="1" thickBot="1" x14ac:dyDescent="0.25">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15" hidden="1" thickBot="1" x14ac:dyDescent="0.25">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15" hidden="1" thickBot="1" x14ac:dyDescent="0.25">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15" hidden="1" thickBot="1" x14ac:dyDescent="0.25">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15" hidden="1" thickBot="1" x14ac:dyDescent="0.25">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15" hidden="1" thickBot="1" x14ac:dyDescent="0.25">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15" hidden="1" thickBot="1" x14ac:dyDescent="0.25">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15" hidden="1" thickBot="1" x14ac:dyDescent="0.25">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15" hidden="1" thickBot="1" x14ac:dyDescent="0.25">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15" hidden="1" thickBot="1" x14ac:dyDescent="0.25">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15" hidden="1" thickBot="1" x14ac:dyDescent="0.25">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15" hidden="1" thickBot="1" x14ac:dyDescent="0.25">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15" hidden="1" thickBot="1" x14ac:dyDescent="0.25">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15" hidden="1" thickBot="1" x14ac:dyDescent="0.25">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15" hidden="1" thickBot="1" x14ac:dyDescent="0.25">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15" hidden="1" thickBot="1" x14ac:dyDescent="0.25">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15" hidden="1" thickBot="1" x14ac:dyDescent="0.25">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15" hidden="1" thickBot="1" x14ac:dyDescent="0.25">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15" hidden="1" thickBot="1" x14ac:dyDescent="0.25">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15" hidden="1" thickBot="1" x14ac:dyDescent="0.25">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15" hidden="1" thickBot="1" x14ac:dyDescent="0.25">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t="13.15"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15" hidden="1" thickBot="1" x14ac:dyDescent="0.25">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15" hidden="1" thickBot="1" x14ac:dyDescent="0.25">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15" hidden="1" thickBot="1" x14ac:dyDescent="0.25">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15" hidden="1" thickBot="1" x14ac:dyDescent="0.25">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t="13.15"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15" hidden="1" thickBot="1" x14ac:dyDescent="0.25">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15" hidden="1" thickBot="1" x14ac:dyDescent="0.25">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15" hidden="1" thickBot="1" x14ac:dyDescent="0.25">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15" hidden="1" thickBot="1" x14ac:dyDescent="0.25">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15" hidden="1" thickBot="1" x14ac:dyDescent="0.25">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15" hidden="1" thickBot="1" x14ac:dyDescent="0.25">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15" hidden="1" thickBot="1" x14ac:dyDescent="0.25">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t="13.15"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15" hidden="1" thickBot="1" x14ac:dyDescent="0.25">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15" hidden="1" thickBot="1" x14ac:dyDescent="0.25">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15" hidden="1" thickBot="1" x14ac:dyDescent="0.25">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15" hidden="1" thickBot="1" x14ac:dyDescent="0.25">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15" hidden="1" thickBot="1" x14ac:dyDescent="0.25">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15" hidden="1" thickBot="1" x14ac:dyDescent="0.25">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15" hidden="1" thickBot="1" x14ac:dyDescent="0.25">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15" hidden="1" thickBot="1" x14ac:dyDescent="0.25">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15" hidden="1" thickBot="1" x14ac:dyDescent="0.25">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t="13.15"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15" hidden="1" thickBot="1" x14ac:dyDescent="0.25">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15" hidden="1" thickBot="1" x14ac:dyDescent="0.25">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15" hidden="1" thickBot="1" x14ac:dyDescent="0.25">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15" hidden="1" thickBot="1" x14ac:dyDescent="0.25">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15" hidden="1" thickBot="1" x14ac:dyDescent="0.25">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15" hidden="1" thickBot="1" x14ac:dyDescent="0.25">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15" hidden="1" thickBot="1" x14ac:dyDescent="0.25">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15" hidden="1" thickBot="1" x14ac:dyDescent="0.25">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15" hidden="1" thickBot="1" x14ac:dyDescent="0.25">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15" hidden="1" thickBot="1" x14ac:dyDescent="0.25">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15" hidden="1" thickBot="1" x14ac:dyDescent="0.25">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15" hidden="1" thickBot="1" x14ac:dyDescent="0.25">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15" hidden="1" thickBot="1" x14ac:dyDescent="0.25">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15" hidden="1" thickBot="1" x14ac:dyDescent="0.25">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15" hidden="1" thickBot="1" x14ac:dyDescent="0.25">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15" hidden="1" thickBot="1" x14ac:dyDescent="0.25">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15" hidden="1" thickBot="1" x14ac:dyDescent="0.25">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15" hidden="1" thickBot="1" x14ac:dyDescent="0.25">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15" hidden="1" thickBot="1" x14ac:dyDescent="0.25">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t="13.15"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15" hidden="1" thickBot="1" x14ac:dyDescent="0.25">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15" hidden="1" thickBot="1" x14ac:dyDescent="0.25">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15" hidden="1" thickBot="1" x14ac:dyDescent="0.25">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15" hidden="1" thickBot="1" x14ac:dyDescent="0.25">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15" hidden="1" thickBot="1" x14ac:dyDescent="0.25">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15" hidden="1" thickBot="1" x14ac:dyDescent="0.25">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15" hidden="1" thickBot="1" x14ac:dyDescent="0.25">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t="13.15"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15" hidden="1" thickBot="1" x14ac:dyDescent="0.25">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15" hidden="1" thickBot="1" x14ac:dyDescent="0.25">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15" hidden="1" thickBot="1" x14ac:dyDescent="0.25">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15" hidden="1" thickBot="1" x14ac:dyDescent="0.25">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15" hidden="1" thickBot="1" x14ac:dyDescent="0.25">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15" hidden="1" thickBot="1" x14ac:dyDescent="0.25">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15" hidden="1" thickBot="1" x14ac:dyDescent="0.25">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15" hidden="1" thickBot="1" x14ac:dyDescent="0.25">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15" hidden="1" thickBot="1" x14ac:dyDescent="0.25">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t="13.15"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15" hidden="1" thickBot="1" x14ac:dyDescent="0.25">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15" hidden="1" thickBot="1" x14ac:dyDescent="0.25">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15" hidden="1" thickBot="1" x14ac:dyDescent="0.25">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15" hidden="1" thickBot="1" x14ac:dyDescent="0.25">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15" hidden="1" thickBot="1" x14ac:dyDescent="0.25">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15" hidden="1" thickBot="1" x14ac:dyDescent="0.25">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15" hidden="1" thickBot="1" x14ac:dyDescent="0.25">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15" hidden="1" thickBot="1" x14ac:dyDescent="0.25">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15" hidden="1" thickBot="1" x14ac:dyDescent="0.25">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15" hidden="1" thickBot="1" x14ac:dyDescent="0.25">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15" hidden="1" thickBot="1" x14ac:dyDescent="0.25">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15" hidden="1" thickBot="1" x14ac:dyDescent="0.25">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15" hidden="1" thickBot="1" x14ac:dyDescent="0.25">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15" hidden="1" thickBot="1" x14ac:dyDescent="0.25">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15" hidden="1" thickBot="1" x14ac:dyDescent="0.25">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15" hidden="1" thickBot="1" x14ac:dyDescent="0.25">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15" hidden="1" thickBot="1" x14ac:dyDescent="0.25">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15" hidden="1" thickBot="1" x14ac:dyDescent="0.25">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t="13.15"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15" hidden="1" thickBot="1" x14ac:dyDescent="0.25">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15" hidden="1" thickBot="1" x14ac:dyDescent="0.25">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15" hidden="1" thickBot="1" x14ac:dyDescent="0.25">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15" hidden="1" thickBot="1" x14ac:dyDescent="0.25">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15" hidden="1" thickBot="1" x14ac:dyDescent="0.25">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15" hidden="1" thickBot="1" x14ac:dyDescent="0.25">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15" hidden="1" thickBot="1" x14ac:dyDescent="0.25">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t="13.15"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15" hidden="1" thickBot="1" x14ac:dyDescent="0.25">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15" hidden="1" thickBot="1" x14ac:dyDescent="0.25">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15" hidden="1" thickBot="1" x14ac:dyDescent="0.25">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15" hidden="1" thickBot="1" x14ac:dyDescent="0.25">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t="13.15"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15" hidden="1" thickBot="1" x14ac:dyDescent="0.25">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15" hidden="1" thickBot="1" x14ac:dyDescent="0.25">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15" hidden="1" thickBot="1" x14ac:dyDescent="0.25">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15" hidden="1" thickBot="1" x14ac:dyDescent="0.25">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t="13.15"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15" hidden="1" thickBot="1" x14ac:dyDescent="0.25">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15" hidden="1" thickBot="1" x14ac:dyDescent="0.25">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15" hidden="1" thickBot="1" x14ac:dyDescent="0.25">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15" hidden="1" thickBot="1" x14ac:dyDescent="0.25">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15" hidden="1" thickBot="1" x14ac:dyDescent="0.25">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15" hidden="1" thickBot="1" x14ac:dyDescent="0.25">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t="13.15"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15" hidden="1" thickBot="1" x14ac:dyDescent="0.25">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15" hidden="1" thickBot="1" x14ac:dyDescent="0.25">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15" hidden="1" thickBot="1" x14ac:dyDescent="0.25">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15" hidden="1" thickBot="1" x14ac:dyDescent="0.25">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t="13.15"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15" hidden="1" thickBot="1" x14ac:dyDescent="0.25">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15" hidden="1" thickBot="1" x14ac:dyDescent="0.25">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15" hidden="1" thickBot="1" x14ac:dyDescent="0.25">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15" hidden="1" thickBot="1" x14ac:dyDescent="0.25">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15" hidden="1" thickBot="1" x14ac:dyDescent="0.25">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15" hidden="1" thickBot="1" x14ac:dyDescent="0.25">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t="13.15"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15" hidden="1" thickBot="1" x14ac:dyDescent="0.25">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15" hidden="1" thickBot="1" x14ac:dyDescent="0.25">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15" hidden="1" thickBot="1" x14ac:dyDescent="0.25">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15" hidden="1" thickBot="1" x14ac:dyDescent="0.25">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15" hidden="1" thickBot="1" x14ac:dyDescent="0.25">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15" hidden="1" thickBot="1" x14ac:dyDescent="0.25">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15" hidden="1" thickBot="1" x14ac:dyDescent="0.25">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15" hidden="1" thickBot="1" x14ac:dyDescent="0.25">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15" hidden="1" thickBot="1" x14ac:dyDescent="0.25">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15" hidden="1" thickBot="1" x14ac:dyDescent="0.25">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15" hidden="1" thickBot="1" x14ac:dyDescent="0.25">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t="13.15"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15" hidden="1" thickBot="1" x14ac:dyDescent="0.25">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15" hidden="1" thickBot="1" x14ac:dyDescent="0.25">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15" hidden="1" thickBot="1" x14ac:dyDescent="0.25">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t="13.15"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15" hidden="1" thickBot="1" x14ac:dyDescent="0.25">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15" hidden="1" thickBot="1" x14ac:dyDescent="0.25">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15" hidden="1" thickBot="1" x14ac:dyDescent="0.25">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15" hidden="1" thickBot="1" x14ac:dyDescent="0.25">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15" hidden="1" thickBot="1" x14ac:dyDescent="0.25">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15" hidden="1" thickBot="1" x14ac:dyDescent="0.25">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t="13.15"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15" hidden="1" thickBot="1" x14ac:dyDescent="0.25">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15" hidden="1" thickBot="1" x14ac:dyDescent="0.25">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15" hidden="1" thickBot="1" x14ac:dyDescent="0.25">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15" hidden="1" thickBot="1" x14ac:dyDescent="0.25">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15" hidden="1" thickBot="1" x14ac:dyDescent="0.25">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15" hidden="1" thickBot="1" x14ac:dyDescent="0.25">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15" hidden="1" thickBot="1" x14ac:dyDescent="0.25">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15" hidden="1" thickBot="1" x14ac:dyDescent="0.25">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15" hidden="1" thickBot="1" x14ac:dyDescent="0.25">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15" hidden="1" thickBot="1" x14ac:dyDescent="0.25">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15" hidden="1" thickBot="1" x14ac:dyDescent="0.25">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15" hidden="1" thickBot="1" x14ac:dyDescent="0.25">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t="13.15"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15" hidden="1" thickBot="1" x14ac:dyDescent="0.25">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15" hidden="1" thickBot="1" x14ac:dyDescent="0.25">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15" hidden="1" thickBot="1" x14ac:dyDescent="0.25">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15" hidden="1" thickBot="1" x14ac:dyDescent="0.25">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15" hidden="1" thickBot="1" x14ac:dyDescent="0.25">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t="13.15"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15" hidden="1" thickBot="1" x14ac:dyDescent="0.25">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15" hidden="1" thickBot="1" x14ac:dyDescent="0.25">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15" hidden="1" thickBot="1" x14ac:dyDescent="0.25">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15" hidden="1" thickBot="1" x14ac:dyDescent="0.25">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15" hidden="1" thickBot="1" x14ac:dyDescent="0.25">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15" hidden="1" thickBot="1" x14ac:dyDescent="0.25">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15" hidden="1" thickBot="1" x14ac:dyDescent="0.25">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15" hidden="1" thickBot="1" x14ac:dyDescent="0.25">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15" hidden="1" thickBot="1" x14ac:dyDescent="0.25">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t="13.15"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15" hidden="1" thickBot="1" x14ac:dyDescent="0.25">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15" hidden="1" thickBot="1" x14ac:dyDescent="0.25">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15" hidden="1" thickBot="1" x14ac:dyDescent="0.25">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15" hidden="1" thickBot="1" x14ac:dyDescent="0.25">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15" hidden="1" thickBot="1" x14ac:dyDescent="0.25">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t="13.15"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15" hidden="1" thickBot="1" x14ac:dyDescent="0.25">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15" hidden="1" thickBot="1" x14ac:dyDescent="0.25">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15" hidden="1" thickBot="1" x14ac:dyDescent="0.25">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15" hidden="1" thickBot="1" x14ac:dyDescent="0.25">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15" hidden="1" thickBot="1" x14ac:dyDescent="0.25">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t="13.15"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15" hidden="1" thickBot="1" x14ac:dyDescent="0.25">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15" hidden="1" thickBot="1" x14ac:dyDescent="0.25">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15" hidden="1" thickBot="1" x14ac:dyDescent="0.25">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15" hidden="1" thickBot="1" x14ac:dyDescent="0.25">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15" hidden="1" thickBot="1" x14ac:dyDescent="0.25">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15" hidden="1" thickBot="1" x14ac:dyDescent="0.25">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15" hidden="1" thickBot="1" x14ac:dyDescent="0.25">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15" hidden="1" thickBot="1" x14ac:dyDescent="0.25">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15" hidden="1" thickBot="1" x14ac:dyDescent="0.25">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15" hidden="1" thickBot="1" x14ac:dyDescent="0.25">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t="13.15"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15" hidden="1" thickBot="1" x14ac:dyDescent="0.25">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15" hidden="1" thickBot="1" x14ac:dyDescent="0.25">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15" hidden="1" thickBot="1" x14ac:dyDescent="0.25">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15" hidden="1" thickBot="1" x14ac:dyDescent="0.25">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15" hidden="1" thickBot="1" x14ac:dyDescent="0.25">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15" hidden="1" thickBot="1" x14ac:dyDescent="0.25">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t="13.15"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15" hidden="1" thickBot="1" x14ac:dyDescent="0.25">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15" hidden="1" thickBot="1" x14ac:dyDescent="0.25">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15" hidden="1" thickBot="1" x14ac:dyDescent="0.25">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15" hidden="1" thickBot="1" x14ac:dyDescent="0.25">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15" hidden="1" thickBot="1" x14ac:dyDescent="0.25">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t="13.15"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15" hidden="1" thickBot="1" x14ac:dyDescent="0.25">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15" hidden="1" thickBot="1" x14ac:dyDescent="0.25">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15" hidden="1" thickBot="1" x14ac:dyDescent="0.25">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15" hidden="1" thickBot="1" x14ac:dyDescent="0.25">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15" hidden="1" thickBot="1" x14ac:dyDescent="0.25">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t="13.15"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15" hidden="1" thickBot="1" x14ac:dyDescent="0.25">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15" hidden="1" thickBot="1" x14ac:dyDescent="0.25">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15" hidden="1" thickBot="1" x14ac:dyDescent="0.25">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15" hidden="1" thickBot="1" x14ac:dyDescent="0.25">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15" hidden="1" thickBot="1" x14ac:dyDescent="0.25">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15" hidden="1" thickBot="1" x14ac:dyDescent="0.25">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t="13.15"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15" hidden="1" thickBot="1" x14ac:dyDescent="0.25">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15" hidden="1" thickBot="1" x14ac:dyDescent="0.25">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15" hidden="1" thickBot="1" x14ac:dyDescent="0.25">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15" hidden="1" thickBot="1" x14ac:dyDescent="0.25">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15" hidden="1" thickBot="1" x14ac:dyDescent="0.25">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t="13.15"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15" hidden="1" thickBot="1" x14ac:dyDescent="0.25">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15" hidden="1" thickBot="1" x14ac:dyDescent="0.25">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15" hidden="1" thickBot="1" x14ac:dyDescent="0.25">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15" hidden="1" thickBot="1" x14ac:dyDescent="0.25">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15" hidden="1" thickBot="1" x14ac:dyDescent="0.25">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15" hidden="1" thickBot="1" x14ac:dyDescent="0.25">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15" hidden="1" thickBot="1" x14ac:dyDescent="0.25">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15" hidden="1" thickBot="1" x14ac:dyDescent="0.25">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t="13.15"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15" hidden="1" thickBot="1" x14ac:dyDescent="0.25">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15" hidden="1" thickBot="1" x14ac:dyDescent="0.25">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15" hidden="1" thickBot="1" x14ac:dyDescent="0.25">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15" hidden="1" thickBot="1" x14ac:dyDescent="0.25">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15" hidden="1" thickBot="1" x14ac:dyDescent="0.25">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15" hidden="1" thickBot="1" x14ac:dyDescent="0.25">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t="13.15"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15" hidden="1" thickBot="1" x14ac:dyDescent="0.25">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15" hidden="1" thickBot="1" x14ac:dyDescent="0.25">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15" hidden="1" thickBot="1" x14ac:dyDescent="0.25">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15" hidden="1" thickBot="1" x14ac:dyDescent="0.25">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15" hidden="1" thickBot="1" x14ac:dyDescent="0.25">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15" hidden="1" thickBot="1" x14ac:dyDescent="0.25">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15" hidden="1" thickBot="1" x14ac:dyDescent="0.25">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15" hidden="1" thickBot="1" x14ac:dyDescent="0.25">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15" hidden="1" thickBot="1" x14ac:dyDescent="0.25">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15" hidden="1" thickBot="1" x14ac:dyDescent="0.25">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15" hidden="1" thickBot="1" x14ac:dyDescent="0.25">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15" hidden="1" thickBot="1" x14ac:dyDescent="0.25">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15" hidden="1" thickBot="1" x14ac:dyDescent="0.25">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t="13.15"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15" hidden="1" thickBot="1" x14ac:dyDescent="0.25">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15" hidden="1" thickBot="1" x14ac:dyDescent="0.25">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15" hidden="1" thickBot="1" x14ac:dyDescent="0.25">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15" hidden="1" thickBot="1" x14ac:dyDescent="0.25">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
      <c r="BX1668" s="165">
        <v>129</v>
      </c>
      <c r="BY1668" s="167">
        <v>69.190140845070431</v>
      </c>
      <c r="BZ1668" s="168">
        <v>0.5</v>
      </c>
      <c r="CA1668" s="169">
        <v>6</v>
      </c>
      <c r="CB1668" s="170">
        <v>55</v>
      </c>
      <c r="DB1668" s="165">
        <v>71</v>
      </c>
      <c r="DC1668" s="167">
        <v>83.048780487804876</v>
      </c>
      <c r="DD1668" s="168">
        <v>1</v>
      </c>
      <c r="DE1668" s="169">
        <v>7</v>
      </c>
      <c r="DF1668" s="170">
        <v>60</v>
      </c>
    </row>
    <row r="1669" spans="39:110" ht="13.15" hidden="1" thickBot="1" x14ac:dyDescent="0.25">
      <c r="BX1669" s="165">
        <v>128</v>
      </c>
      <c r="BY1669" s="167">
        <v>69.190140845070431</v>
      </c>
      <c r="BZ1669" s="168">
        <v>0.5</v>
      </c>
      <c r="CA1669" s="169">
        <v>6</v>
      </c>
      <c r="CB1669" s="170">
        <v>55</v>
      </c>
      <c r="DB1669" s="165">
        <v>72</v>
      </c>
      <c r="DC1669" s="167">
        <v>84.024390243902431</v>
      </c>
      <c r="DD1669" s="168">
        <v>1</v>
      </c>
      <c r="DE1669" s="169">
        <v>7</v>
      </c>
      <c r="DF1669" s="170">
        <v>60</v>
      </c>
    </row>
    <row r="1670" spans="39:110" ht="13.15"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15" hidden="1" thickBot="1" x14ac:dyDescent="0.25">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15" hidden="1" thickBot="1" x14ac:dyDescent="0.25">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15" hidden="1" thickBot="1" x14ac:dyDescent="0.25">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15" hidden="1" thickBot="1" x14ac:dyDescent="0.25">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15" hidden="1" thickBot="1" x14ac:dyDescent="0.25">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t="13.15"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15" hidden="1" thickBot="1" x14ac:dyDescent="0.25">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15" hidden="1" thickBot="1" x14ac:dyDescent="0.25">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15" hidden="1" thickBot="1" x14ac:dyDescent="0.25">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15" hidden="1" thickBot="1" x14ac:dyDescent="0.25">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
      <c r="BX1706" s="165">
        <v>91</v>
      </c>
      <c r="BY1706" s="167">
        <v>87.5</v>
      </c>
      <c r="BZ1706" s="168">
        <v>1.2</v>
      </c>
      <c r="CA1706" s="169">
        <v>7.4</v>
      </c>
      <c r="CB1706" s="170">
        <v>62</v>
      </c>
      <c r="DB1706" s="165">
        <v>14</v>
      </c>
      <c r="DC1706" s="167">
        <v>3.6585365853658534</v>
      </c>
      <c r="DD1706" s="168">
        <v>-1.8</v>
      </c>
      <c r="DE1706" s="169">
        <v>1.4</v>
      </c>
      <c r="DF1706" s="170">
        <v>32</v>
      </c>
    </row>
    <row r="1707" spans="39:110" ht="13.15" hidden="1" thickBot="1" x14ac:dyDescent="0.25">
      <c r="BX1707" s="165">
        <v>90</v>
      </c>
      <c r="BY1707" s="167">
        <v>87.5</v>
      </c>
      <c r="BZ1707" s="168">
        <v>1.2</v>
      </c>
      <c r="CA1707" s="169">
        <v>7.4</v>
      </c>
      <c r="CB1707" s="170">
        <v>62</v>
      </c>
      <c r="DB1707" s="165">
        <v>15</v>
      </c>
      <c r="DC1707" s="167">
        <v>4.5121951219512191</v>
      </c>
      <c r="DD1707" s="168">
        <v>-1.7</v>
      </c>
      <c r="DE1707" s="169">
        <v>1.6</v>
      </c>
      <c r="DF1707" s="170">
        <v>33</v>
      </c>
    </row>
    <row r="1708" spans="39:110" ht="13.15"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15" hidden="1" thickBot="1" x14ac:dyDescent="0.25">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15" hidden="1" thickBot="1" x14ac:dyDescent="0.25">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15" hidden="1" thickBot="1" x14ac:dyDescent="0.25">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15" hidden="1" thickBot="1" x14ac:dyDescent="0.25">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15" hidden="1" thickBot="1" x14ac:dyDescent="0.25">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
      <c r="DB1778" s="165">
        <v>86</v>
      </c>
      <c r="DC1778" s="167">
        <v>98.536585365853654</v>
      </c>
      <c r="DD1778" s="168">
        <v>2.2000000000000002</v>
      </c>
      <c r="DE1778" s="169">
        <v>9.4</v>
      </c>
      <c r="DF1778" s="170">
        <v>72</v>
      </c>
    </row>
    <row r="1779" spans="76:110" hidden="1" x14ac:dyDescent="0.2">
      <c r="DB1779" s="165">
        <v>87</v>
      </c>
      <c r="DC1779" s="167">
        <v>98.536585365853654</v>
      </c>
      <c r="DD1779" s="168">
        <v>2.2000000000000002</v>
      </c>
      <c r="DE1779" s="169">
        <v>9.4</v>
      </c>
      <c r="DF1779" s="170">
        <v>72</v>
      </c>
    </row>
    <row r="1780" spans="76:110" hidden="1" x14ac:dyDescent="0.2">
      <c r="DB1780" s="165">
        <v>88</v>
      </c>
      <c r="DC1780" s="167">
        <v>99.146341463414629</v>
      </c>
      <c r="DD1780" s="168">
        <v>2.4</v>
      </c>
      <c r="DE1780" s="169">
        <v>9.8000000000000007</v>
      </c>
      <c r="DF1780" s="170">
        <v>74</v>
      </c>
    </row>
    <row r="1781" spans="76:110" hidden="1" x14ac:dyDescent="0.2">
      <c r="DB1781" s="165">
        <v>89</v>
      </c>
      <c r="DC1781" s="167">
        <v>99.390243902439025</v>
      </c>
      <c r="DD1781" s="168">
        <v>2.5</v>
      </c>
      <c r="DE1781" s="169">
        <v>10</v>
      </c>
      <c r="DF1781" s="170">
        <v>75</v>
      </c>
    </row>
    <row r="1782" spans="76:110" hidden="1" x14ac:dyDescent="0.2">
      <c r="DB1782" s="165">
        <v>90</v>
      </c>
      <c r="DC1782" s="167">
        <v>99.756097560975604</v>
      </c>
      <c r="DD1782" s="168">
        <v>2.8</v>
      </c>
      <c r="DE1782" s="169">
        <v>10.6</v>
      </c>
      <c r="DF1782" s="170">
        <v>78</v>
      </c>
    </row>
    <row r="1783" spans="76:110" hidden="1" x14ac:dyDescent="0.2">
      <c r="DB1783" s="165">
        <v>91</v>
      </c>
      <c r="DC1783" s="167">
        <v>99.756097560975604</v>
      </c>
      <c r="DD1783" s="168">
        <v>2.8</v>
      </c>
      <c r="DE1783" s="169">
        <v>10.6</v>
      </c>
      <c r="DF1783" s="170">
        <v>78</v>
      </c>
    </row>
    <row r="1784" spans="76:110" hidden="1" x14ac:dyDescent="0.2">
      <c r="DB1784" s="165">
        <v>92</v>
      </c>
      <c r="DC1784" s="167">
        <v>99.756097560975604</v>
      </c>
      <c r="DD1784" s="168">
        <v>2.8</v>
      </c>
      <c r="DE1784" s="169">
        <v>10.6</v>
      </c>
      <c r="DF1784" s="170">
        <v>78</v>
      </c>
    </row>
    <row r="1785" spans="76:110" ht="13.15" hidden="1" thickBot="1" x14ac:dyDescent="0.25">
      <c r="DB1785" s="172">
        <v>93</v>
      </c>
      <c r="DC1785" s="173">
        <v>99.756097560975604</v>
      </c>
      <c r="DD1785" s="174">
        <v>2.8</v>
      </c>
      <c r="DE1785" s="175">
        <v>10.6</v>
      </c>
      <c r="DF1785" s="176">
        <v>78</v>
      </c>
    </row>
    <row r="1786" spans="76:110" hidden="1" x14ac:dyDescent="0.2"/>
    <row r="1787" spans="76:110" hidden="1" x14ac:dyDescent="0.2"/>
    <row r="1788" spans="76:110" hidden="1" x14ac:dyDescent="0.2"/>
    <row r="1789" spans="76:110" hidden="1" x14ac:dyDescent="0.2"/>
    <row r="1790" spans="76:110" hidden="1" x14ac:dyDescent="0.2"/>
    <row r="1791" spans="76:110" hidden="1" x14ac:dyDescent="0.2"/>
    <row r="1792" spans="76:110" hidden="1" x14ac:dyDescent="0.2"/>
    <row r="1793" hidden="1" x14ac:dyDescent="0.2"/>
    <row r="1794" hidden="1" x14ac:dyDescent="0.2"/>
    <row r="1795" hidden="1" x14ac:dyDescent="0.2"/>
    <row r="1796" hidden="1" x14ac:dyDescent="0.2"/>
    <row r="1797" hidden="1" x14ac:dyDescent="0.2"/>
    <row r="1798" hidden="1" x14ac:dyDescent="0.2"/>
    <row r="1799" hidden="1" x14ac:dyDescent="0.2"/>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zoomScale="66" workbookViewId="0">
      <selection activeCell="AA5" sqref="AA5:AY43"/>
    </sheetView>
  </sheetViews>
  <sheetFormatPr baseColWidth="10" defaultColWidth="12.77734375" defaultRowHeight="13.15" customHeight="1" x14ac:dyDescent="0.2"/>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15" customHeight="1" x14ac:dyDescent="0.2">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5" customHeight="1" x14ac:dyDescent="0.2">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899999999999999" customHeight="1" x14ac:dyDescent="0.25">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5"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v>
      </c>
      <c r="D5" s="22"/>
      <c r="E5" s="126">
        <f ca="1">IF(C5="","",J5-H5)</f>
        <v>23</v>
      </c>
      <c r="F5" s="126">
        <f t="shared" ref="F5:F14" ca="1" si="0">IF(E5="","",G5+H5)</f>
        <v>0</v>
      </c>
      <c r="G5" s="128">
        <f ca="1">IF(E5="","",DZ5)</f>
        <v>0</v>
      </c>
      <c r="H5" s="129">
        <f ca="1">IF(C5="","",CZ5)</f>
        <v>0</v>
      </c>
      <c r="I5" s="126"/>
      <c r="J5" s="126">
        <f ca="1">IF(AND($B5&gt;=1,$B5&lt;=40,$C5&gt;=1,$C5&lt;=25),IF($B5&gt;1,SUM(INDIRECT("BA4:BY"&amp;($B5+2))),0)+SUM(INDIRECT("BA"&amp;($B5+3)&amp;":B"&amp;CHAR(64+$C5)&amp;($B5+3))),0)</f>
        <v>23</v>
      </c>
      <c r="K5" s="126">
        <f ca="1">$E5</f>
        <v>23</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8</v>
      </c>
      <c r="C6" s="39">
        <v>7</v>
      </c>
      <c r="D6" s="22"/>
      <c r="E6" s="22">
        <f t="shared" ref="E6:E14" ca="1" si="53">IF(J6=J5,"",(J6-J5)-H6)</f>
        <v>20</v>
      </c>
      <c r="F6" s="22">
        <f t="shared" ca="1" si="0"/>
        <v>0</v>
      </c>
      <c r="G6" s="130">
        <f t="shared" ref="G6:G14" ca="1" si="54">IF(E6="","",DZ6-DZ5)</f>
        <v>0</v>
      </c>
      <c r="H6" s="131">
        <f t="shared" ref="H6:H14" ca="1" si="55">IF(C6="","",CZ6-CZ5)</f>
        <v>0</v>
      </c>
      <c r="I6" s="22"/>
      <c r="J6" s="22">
        <f t="shared" ref="J6:J14" ca="1" si="56">IF(AND($B6&gt;=1,$B6&lt;=40,$C6&gt;=1,$C6&lt;=25),IF($B6&gt;1,SUM(INDIRECT("BA4:BY" &amp; ($B6 +2))),0)+SUM(INDIRECT("BA" &amp; ($B6+3) &amp; ":B" &amp; CHAR(64+$C6) &amp; ($B6+3))),J5)</f>
        <v>43</v>
      </c>
      <c r="K6" s="22">
        <f t="shared" ref="K6:K14" ca="1" si="57">IF(E6="",K5,K5+$E6)</f>
        <v>43</v>
      </c>
      <c r="L6" s="22">
        <f t="shared" ref="L6:L14" ca="1" si="58">IF(F6="",L5,L5+$F6)</f>
        <v>0</v>
      </c>
      <c r="M6" s="22">
        <f t="shared" ref="M6:M14" ca="1" si="59">IF(G6="",M5,M5+$G6)</f>
        <v>0</v>
      </c>
      <c r="N6" s="22">
        <f t="shared" ref="N6:N14" ca="1" si="60">IF(H6="",N5,N5+$H6)</f>
        <v>0</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0</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11</v>
      </c>
      <c r="C7" s="39">
        <v>11</v>
      </c>
      <c r="D7" s="22"/>
      <c r="E7" s="22">
        <f t="shared" ca="1" si="53"/>
        <v>17</v>
      </c>
      <c r="F7" s="22">
        <f t="shared" ca="1" si="0"/>
        <v>0</v>
      </c>
      <c r="G7" s="130">
        <f t="shared" ca="1" si="54"/>
        <v>0</v>
      </c>
      <c r="H7" s="131">
        <f t="shared" ca="1" si="55"/>
        <v>0</v>
      </c>
      <c r="I7" s="22"/>
      <c r="J7" s="22">
        <f t="shared" ca="1" si="56"/>
        <v>60</v>
      </c>
      <c r="K7" s="22">
        <f t="shared" ca="1" si="57"/>
        <v>60</v>
      </c>
      <c r="L7" s="22">
        <f t="shared" ca="1" si="58"/>
        <v>0</v>
      </c>
      <c r="M7" s="22">
        <f t="shared" ca="1" si="59"/>
        <v>0</v>
      </c>
      <c r="N7" s="22">
        <f t="shared" ca="1" si="60"/>
        <v>0</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0</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14</v>
      </c>
      <c r="C8" s="39">
        <v>20</v>
      </c>
      <c r="D8" s="22"/>
      <c r="E8" s="22">
        <f t="shared" ca="1" si="53"/>
        <v>19</v>
      </c>
      <c r="F8" s="22">
        <f t="shared" ca="1" si="0"/>
        <v>0</v>
      </c>
      <c r="G8" s="130">
        <f t="shared" ca="1" si="54"/>
        <v>0</v>
      </c>
      <c r="H8" s="131">
        <f t="shared" ca="1" si="55"/>
        <v>0</v>
      </c>
      <c r="I8" s="22"/>
      <c r="J8" s="22">
        <f t="shared" ca="1" si="56"/>
        <v>79</v>
      </c>
      <c r="K8" s="22">
        <f t="shared" ca="1" si="57"/>
        <v>79</v>
      </c>
      <c r="L8" s="22">
        <f t="shared" ca="1" si="58"/>
        <v>0</v>
      </c>
      <c r="M8" s="22">
        <f t="shared" ca="1" si="59"/>
        <v>0</v>
      </c>
      <c r="N8" s="22">
        <f t="shared" ca="1" si="60"/>
        <v>0</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0</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18</v>
      </c>
      <c r="C9" s="39">
        <v>7</v>
      </c>
      <c r="D9" s="22"/>
      <c r="E9" s="22">
        <f t="shared" ca="1" si="53"/>
        <v>19</v>
      </c>
      <c r="F9" s="22">
        <f t="shared" ca="1" si="0"/>
        <v>0</v>
      </c>
      <c r="G9" s="130">
        <f t="shared" ca="1" si="54"/>
        <v>0</v>
      </c>
      <c r="H9" s="131">
        <f t="shared" ca="1" si="55"/>
        <v>0</v>
      </c>
      <c r="I9" s="22"/>
      <c r="J9" s="22">
        <f t="shared" ca="1" si="56"/>
        <v>98</v>
      </c>
      <c r="K9" s="22">
        <f t="shared" ca="1" si="57"/>
        <v>98</v>
      </c>
      <c r="L9" s="22">
        <f t="shared" ca="1" si="58"/>
        <v>0</v>
      </c>
      <c r="M9" s="22">
        <f t="shared" ca="1" si="59"/>
        <v>0</v>
      </c>
      <c r="N9" s="22">
        <f t="shared" ca="1" si="60"/>
        <v>0</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0</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21</v>
      </c>
      <c r="C10" s="39">
        <v>14</v>
      </c>
      <c r="D10" s="22"/>
      <c r="E10" s="22">
        <f t="shared" ca="1" si="53"/>
        <v>21</v>
      </c>
      <c r="F10" s="22">
        <f t="shared" ca="1" si="0"/>
        <v>0</v>
      </c>
      <c r="G10" s="130">
        <f t="shared" ca="1" si="54"/>
        <v>0</v>
      </c>
      <c r="H10" s="131">
        <f t="shared" ca="1" si="55"/>
        <v>0</v>
      </c>
      <c r="I10" s="22"/>
      <c r="J10" s="22">
        <f t="shared" ca="1" si="56"/>
        <v>119</v>
      </c>
      <c r="K10" s="22">
        <f t="shared" ca="1" si="57"/>
        <v>119</v>
      </c>
      <c r="L10" s="22">
        <f t="shared" ca="1" si="58"/>
        <v>0</v>
      </c>
      <c r="M10" s="22">
        <f t="shared" ca="1" si="59"/>
        <v>0</v>
      </c>
      <c r="N10" s="22">
        <f t="shared" ca="1" si="60"/>
        <v>0</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0</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24</v>
      </c>
      <c r="C11" s="39">
        <v>24</v>
      </c>
      <c r="D11" s="22"/>
      <c r="E11" s="22">
        <f t="shared" ca="1" si="53"/>
        <v>22</v>
      </c>
      <c r="F11" s="22">
        <f t="shared" ca="1" si="0"/>
        <v>0</v>
      </c>
      <c r="G11" s="130">
        <f t="shared" ca="1" si="54"/>
        <v>0</v>
      </c>
      <c r="H11" s="131">
        <f t="shared" ca="1" si="55"/>
        <v>0</v>
      </c>
      <c r="I11" s="22"/>
      <c r="J11" s="22">
        <f t="shared" ca="1" si="56"/>
        <v>141</v>
      </c>
      <c r="K11" s="22">
        <f t="shared" ca="1" si="57"/>
        <v>141</v>
      </c>
      <c r="L11" s="22">
        <f t="shared" ca="1" si="58"/>
        <v>0</v>
      </c>
      <c r="M11" s="22">
        <f t="shared" ca="1" si="59"/>
        <v>0</v>
      </c>
      <c r="N11" s="22">
        <f t="shared" ca="1" si="60"/>
        <v>0</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0</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28</v>
      </c>
      <c r="C12" s="39">
        <v>5</v>
      </c>
      <c r="D12" s="22"/>
      <c r="E12" s="22">
        <f t="shared" ca="1" si="53"/>
        <v>22</v>
      </c>
      <c r="F12" s="22">
        <f t="shared" ca="1" si="0"/>
        <v>0</v>
      </c>
      <c r="G12" s="130">
        <f t="shared" ca="1" si="54"/>
        <v>0</v>
      </c>
      <c r="H12" s="131">
        <f t="shared" ca="1" si="55"/>
        <v>0</v>
      </c>
      <c r="I12" s="22"/>
      <c r="J12" s="22">
        <f t="shared" ca="1" si="56"/>
        <v>163</v>
      </c>
      <c r="K12" s="22">
        <f t="shared" ca="1" si="57"/>
        <v>163</v>
      </c>
      <c r="L12" s="22">
        <f t="shared" ca="1" si="58"/>
        <v>0</v>
      </c>
      <c r="M12" s="22">
        <f t="shared" ca="1" si="59"/>
        <v>0</v>
      </c>
      <c r="N12" s="22">
        <f t="shared" ca="1" si="60"/>
        <v>0</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0</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31</v>
      </c>
      <c r="C13" s="39">
        <v>17</v>
      </c>
      <c r="D13" s="22"/>
      <c r="E13" s="22">
        <f t="shared" ca="1" si="53"/>
        <v>20</v>
      </c>
      <c r="F13" s="22">
        <f t="shared" ca="1" si="0"/>
        <v>0</v>
      </c>
      <c r="G13" s="130">
        <f t="shared" ca="1" si="54"/>
        <v>0</v>
      </c>
      <c r="H13" s="131">
        <f t="shared" ca="1" si="55"/>
        <v>0</v>
      </c>
      <c r="I13" s="22"/>
      <c r="J13" s="22">
        <f t="shared" ca="1" si="56"/>
        <v>183</v>
      </c>
      <c r="K13" s="22">
        <f t="shared" ca="1" si="57"/>
        <v>183</v>
      </c>
      <c r="L13" s="22">
        <f t="shared" ca="1" si="58"/>
        <v>0</v>
      </c>
      <c r="M13" s="22">
        <f t="shared" ca="1" si="59"/>
        <v>0</v>
      </c>
      <c r="N13" s="22">
        <f t="shared" ca="1" si="60"/>
        <v>0</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0</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35</v>
      </c>
      <c r="C14" s="39">
        <v>7</v>
      </c>
      <c r="D14" s="46"/>
      <c r="E14" s="47">
        <f t="shared" ca="1" si="53"/>
        <v>22</v>
      </c>
      <c r="F14" s="47">
        <f t="shared" ca="1" si="0"/>
        <v>3</v>
      </c>
      <c r="G14" s="48">
        <f t="shared" ca="1" si="54"/>
        <v>0</v>
      </c>
      <c r="H14" s="49">
        <f t="shared" ca="1" si="55"/>
        <v>3</v>
      </c>
      <c r="I14" s="47"/>
      <c r="J14" s="49">
        <f t="shared" ca="1" si="56"/>
        <v>208</v>
      </c>
      <c r="K14" s="127">
        <f t="shared" ca="1" si="57"/>
        <v>205</v>
      </c>
      <c r="L14" s="127">
        <f t="shared" ca="1" si="58"/>
        <v>3</v>
      </c>
      <c r="M14" s="127">
        <f t="shared" ca="1" si="59"/>
        <v>0</v>
      </c>
      <c r="N14" s="127">
        <f t="shared" ca="1" si="60"/>
        <v>3</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3</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10</v>
      </c>
      <c r="F17" s="52">
        <v>0</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10</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1.4423076923076923</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20.5</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0.3</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0.3</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17</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23</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6</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t="s">
        <v>397</v>
      </c>
      <c r="AV35" s="41" t="s">
        <v>397</v>
      </c>
      <c r="AW35" s="41" t="s">
        <v>397</v>
      </c>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1</v>
      </c>
      <c r="CV35" s="36">
        <f t="shared" si="22"/>
        <v>1</v>
      </c>
      <c r="CW35" s="36">
        <f t="shared" si="23"/>
        <v>1</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15" customHeight="1" x14ac:dyDescent="0.25">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15" customHeight="1" x14ac:dyDescent="0.25">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15"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0FA12-0947-403B-8E1B-DF2F87E0A1CD}">
  <dimension ref="A1:Y39"/>
  <sheetViews>
    <sheetView zoomScale="42" workbookViewId="0">
      <selection sqref="A1:Y39"/>
    </sheetView>
  </sheetViews>
  <sheetFormatPr baseColWidth="10" defaultRowHeight="12.55" x14ac:dyDescent="0.2"/>
  <sheetData>
    <row r="1" spans="1:25" x14ac:dyDescent="0.2">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t="str">
        <f>T2B!AU35</f>
        <v>a</v>
      </c>
      <c r="V31" t="str">
        <f>T2B!AV35</f>
        <v>a</v>
      </c>
      <c r="W31" t="str">
        <f>T2B!AW35</f>
        <v>a</v>
      </c>
      <c r="X31">
        <f>T2B!AX35</f>
        <v>0</v>
      </c>
      <c r="Y31">
        <f>T2B!AY35</f>
        <v>0</v>
      </c>
    </row>
    <row r="32" spans="1:25" x14ac:dyDescent="0.2">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2023-03-21T16:34:28Z</dcterms:modified>
</cp:coreProperties>
</file>