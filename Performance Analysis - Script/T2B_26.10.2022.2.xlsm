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AE6600E7-7A62-396C-DE95-9942FA9DD81E}"/>
  <workbookPr codeName="DieseArbeitsmappe" defaultThemeVersion="124226"/>
  <mc:AlternateContent xmlns:mc="http://schemas.openxmlformats.org/markup-compatibility/2006">
    <mc:Choice Requires="x15">
      <x15ac:absPath xmlns:x15ac="http://schemas.microsoft.com/office/spreadsheetml/2010/11/ac" url="https://d.docs.live.net/80668e7497f3097b/ID/MA/Hans T2B ^M Excel/performance analysis - script/"/>
    </mc:Choice>
  </mc:AlternateContent>
  <xr:revisionPtr revIDLastSave="14" documentId="8_{53B713BC-22C6-407D-B0A6-EA254AEB0D83}" xr6:coauthVersionLast="47" xr6:coauthVersionMax="47" xr10:uidLastSave="{C0BE7BEE-65A2-4C3E-8A2A-2C0FBB913F71}"/>
  <bookViews>
    <workbookView xWindow="-113" yWindow="-113" windowWidth="24267" windowHeight="13749" firstSheet="1" activeTab="1" xr2:uid="{00000000-000D-0000-FFFF-FFFF00000000}"/>
  </bookViews>
  <sheets>
    <sheet name="Ergebnisse" sheetId="1" r:id="rId1"/>
    <sheet name="T2B" sheetId="13" r:id="rId2"/>
    <sheet name="template" sheetId="23" r:id="rId3"/>
  </sheets>
  <definedNames>
    <definedName name="_xlnm.Print_Area" localSheetId="0">Ergebnisse!$B$2:$M$244</definedName>
    <definedName name="_xlnm.Print_Area" localSheetId="1">T2B!$A:$N,T2B!$Z:$AY</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23" l="1"/>
  <c r="B1" i="23"/>
  <c r="C1" i="23"/>
  <c r="D1" i="23"/>
  <c r="E1" i="23"/>
  <c r="F1" i="23"/>
  <c r="G1" i="23"/>
  <c r="H1" i="23"/>
  <c r="I1" i="23"/>
  <c r="J1" i="23"/>
  <c r="K1" i="23"/>
  <c r="L1" i="23"/>
  <c r="M1" i="23"/>
  <c r="N1" i="23"/>
  <c r="O1" i="23"/>
  <c r="P1" i="23"/>
  <c r="Q1" i="23"/>
  <c r="R1" i="23"/>
  <c r="S1" i="23"/>
  <c r="T1" i="23"/>
  <c r="U1" i="23"/>
  <c r="V1" i="23"/>
  <c r="W1" i="23"/>
  <c r="X1" i="23"/>
  <c r="Y1" i="23"/>
  <c r="A2" i="23"/>
  <c r="B2" i="23"/>
  <c r="C2" i="23"/>
  <c r="D2" i="23"/>
  <c r="E2" i="23"/>
  <c r="F2" i="23"/>
  <c r="G2" i="23"/>
  <c r="H2" i="23"/>
  <c r="I2" i="23"/>
  <c r="J2" i="23"/>
  <c r="K2" i="23"/>
  <c r="L2" i="23"/>
  <c r="M2" i="23"/>
  <c r="N2" i="23"/>
  <c r="O2" i="23"/>
  <c r="P2" i="23"/>
  <c r="Q2" i="23"/>
  <c r="R2" i="23"/>
  <c r="S2" i="23"/>
  <c r="T2" i="23"/>
  <c r="U2" i="23"/>
  <c r="V2" i="23"/>
  <c r="W2" i="23"/>
  <c r="X2" i="23"/>
  <c r="Y2" i="23"/>
  <c r="A3" i="23"/>
  <c r="B3" i="23"/>
  <c r="C3" i="23"/>
  <c r="D3" i="23"/>
  <c r="E3" i="23"/>
  <c r="F3" i="23"/>
  <c r="G3" i="23"/>
  <c r="H3" i="23"/>
  <c r="I3" i="23"/>
  <c r="J3" i="23"/>
  <c r="K3" i="23"/>
  <c r="L3" i="23"/>
  <c r="M3" i="23"/>
  <c r="N3" i="23"/>
  <c r="O3" i="23"/>
  <c r="P3" i="23"/>
  <c r="Q3" i="23"/>
  <c r="R3" i="23"/>
  <c r="S3" i="23"/>
  <c r="T3" i="23"/>
  <c r="U3" i="23"/>
  <c r="V3" i="23"/>
  <c r="W3" i="23"/>
  <c r="X3" i="23"/>
  <c r="Y3" i="23"/>
  <c r="A4" i="23"/>
  <c r="B4" i="23"/>
  <c r="C4" i="23"/>
  <c r="D4" i="23"/>
  <c r="E4" i="23"/>
  <c r="F4" i="23"/>
  <c r="G4" i="23"/>
  <c r="H4" i="23"/>
  <c r="I4" i="23"/>
  <c r="J4" i="23"/>
  <c r="K4" i="23"/>
  <c r="L4" i="23"/>
  <c r="M4" i="23"/>
  <c r="N4" i="23"/>
  <c r="O4" i="23"/>
  <c r="P4" i="23"/>
  <c r="Q4" i="23"/>
  <c r="R4" i="23"/>
  <c r="S4" i="23"/>
  <c r="T4" i="23"/>
  <c r="U4" i="23"/>
  <c r="V4" i="23"/>
  <c r="W4" i="23"/>
  <c r="X4" i="23"/>
  <c r="Y4" i="23"/>
  <c r="A5" i="23"/>
  <c r="B5" i="23"/>
  <c r="C5" i="23"/>
  <c r="D5" i="23"/>
  <c r="E5" i="23"/>
  <c r="F5" i="23"/>
  <c r="G5" i="23"/>
  <c r="H5" i="23"/>
  <c r="I5" i="23"/>
  <c r="J5" i="23"/>
  <c r="K5" i="23"/>
  <c r="L5" i="23"/>
  <c r="M5" i="23"/>
  <c r="N5" i="23"/>
  <c r="O5" i="23"/>
  <c r="P5" i="23"/>
  <c r="Q5" i="23"/>
  <c r="R5" i="23"/>
  <c r="S5" i="23"/>
  <c r="T5" i="23"/>
  <c r="U5" i="23"/>
  <c r="V5" i="23"/>
  <c r="W5" i="23"/>
  <c r="X5" i="23"/>
  <c r="Y5" i="23"/>
  <c r="A6" i="23"/>
  <c r="B6" i="23"/>
  <c r="C6" i="23"/>
  <c r="D6" i="23"/>
  <c r="E6" i="23"/>
  <c r="F6" i="23"/>
  <c r="G6" i="23"/>
  <c r="H6" i="23"/>
  <c r="I6" i="23"/>
  <c r="J6" i="23"/>
  <c r="K6" i="23"/>
  <c r="L6" i="23"/>
  <c r="M6" i="23"/>
  <c r="N6" i="23"/>
  <c r="O6" i="23"/>
  <c r="P6" i="23"/>
  <c r="Q6" i="23"/>
  <c r="R6" i="23"/>
  <c r="S6" i="23"/>
  <c r="T6" i="23"/>
  <c r="U6" i="23"/>
  <c r="V6" i="23"/>
  <c r="W6" i="23"/>
  <c r="X6" i="23"/>
  <c r="Y6" i="23"/>
  <c r="A7" i="23"/>
  <c r="B7" i="23"/>
  <c r="C7" i="23"/>
  <c r="D7" i="23"/>
  <c r="E7" i="23"/>
  <c r="F7" i="23"/>
  <c r="G7" i="23"/>
  <c r="H7" i="23"/>
  <c r="I7" i="23"/>
  <c r="J7" i="23"/>
  <c r="K7" i="23"/>
  <c r="L7" i="23"/>
  <c r="M7" i="23"/>
  <c r="N7" i="23"/>
  <c r="O7" i="23"/>
  <c r="P7" i="23"/>
  <c r="Q7" i="23"/>
  <c r="R7" i="23"/>
  <c r="S7" i="23"/>
  <c r="T7" i="23"/>
  <c r="U7" i="23"/>
  <c r="V7" i="23"/>
  <c r="W7" i="23"/>
  <c r="X7" i="23"/>
  <c r="Y7" i="23"/>
  <c r="A8" i="23"/>
  <c r="B8" i="23"/>
  <c r="C8" i="23"/>
  <c r="D8" i="23"/>
  <c r="E8" i="23"/>
  <c r="F8" i="23"/>
  <c r="G8" i="23"/>
  <c r="H8" i="23"/>
  <c r="I8" i="23"/>
  <c r="J8" i="23"/>
  <c r="K8" i="23"/>
  <c r="L8" i="23"/>
  <c r="M8" i="23"/>
  <c r="N8" i="23"/>
  <c r="O8" i="23"/>
  <c r="P8" i="23"/>
  <c r="Q8" i="23"/>
  <c r="R8" i="23"/>
  <c r="S8" i="23"/>
  <c r="T8" i="23"/>
  <c r="U8" i="23"/>
  <c r="V8" i="23"/>
  <c r="W8" i="23"/>
  <c r="X8" i="23"/>
  <c r="Y8" i="23"/>
  <c r="A9" i="23"/>
  <c r="B9" i="23"/>
  <c r="C9" i="23"/>
  <c r="D9" i="23"/>
  <c r="E9" i="23"/>
  <c r="F9" i="23"/>
  <c r="G9" i="23"/>
  <c r="H9" i="23"/>
  <c r="I9" i="23"/>
  <c r="J9" i="23"/>
  <c r="K9" i="23"/>
  <c r="L9" i="23"/>
  <c r="M9" i="23"/>
  <c r="N9" i="23"/>
  <c r="O9" i="23"/>
  <c r="P9" i="23"/>
  <c r="Q9" i="23"/>
  <c r="R9" i="23"/>
  <c r="S9" i="23"/>
  <c r="T9" i="23"/>
  <c r="U9" i="23"/>
  <c r="V9" i="23"/>
  <c r="W9" i="23"/>
  <c r="X9" i="23"/>
  <c r="Y9" i="23"/>
  <c r="A10" i="23"/>
  <c r="B10" i="23"/>
  <c r="C10" i="23"/>
  <c r="D10" i="23"/>
  <c r="E10" i="23"/>
  <c r="F10" i="23"/>
  <c r="G10" i="23"/>
  <c r="H10" i="23"/>
  <c r="I10" i="23"/>
  <c r="J10" i="23"/>
  <c r="K10" i="23"/>
  <c r="L10" i="23"/>
  <c r="M10" i="23"/>
  <c r="N10" i="23"/>
  <c r="O10" i="23"/>
  <c r="P10" i="23"/>
  <c r="Q10" i="23"/>
  <c r="R10" i="23"/>
  <c r="S10" i="23"/>
  <c r="T10" i="23"/>
  <c r="U10" i="23"/>
  <c r="V10" i="23"/>
  <c r="W10" i="23"/>
  <c r="X10" i="23"/>
  <c r="Y10" i="23"/>
  <c r="A11" i="23"/>
  <c r="B11" i="23"/>
  <c r="C11" i="23"/>
  <c r="D11" i="23"/>
  <c r="E11" i="23"/>
  <c r="F11" i="23"/>
  <c r="G11" i="23"/>
  <c r="H11" i="23"/>
  <c r="I11" i="23"/>
  <c r="J11" i="23"/>
  <c r="K11" i="23"/>
  <c r="L11" i="23"/>
  <c r="M11" i="23"/>
  <c r="N11" i="23"/>
  <c r="O11" i="23"/>
  <c r="P11" i="23"/>
  <c r="Q11" i="23"/>
  <c r="R11" i="23"/>
  <c r="S11" i="23"/>
  <c r="T11" i="23"/>
  <c r="U11" i="23"/>
  <c r="V11" i="23"/>
  <c r="W11" i="23"/>
  <c r="X11" i="23"/>
  <c r="Y11" i="23"/>
  <c r="A12" i="23"/>
  <c r="B12" i="23"/>
  <c r="C12" i="23"/>
  <c r="D12" i="23"/>
  <c r="E12" i="23"/>
  <c r="F12" i="23"/>
  <c r="G12" i="23"/>
  <c r="H12" i="23"/>
  <c r="I12" i="23"/>
  <c r="J12" i="23"/>
  <c r="K12" i="23"/>
  <c r="L12" i="23"/>
  <c r="M12" i="23"/>
  <c r="N12" i="23"/>
  <c r="O12" i="23"/>
  <c r="P12" i="23"/>
  <c r="Q12" i="23"/>
  <c r="R12" i="23"/>
  <c r="S12" i="23"/>
  <c r="T12" i="23"/>
  <c r="U12" i="23"/>
  <c r="V12" i="23"/>
  <c r="W12" i="23"/>
  <c r="X12" i="23"/>
  <c r="Y12" i="23"/>
  <c r="A13" i="23"/>
  <c r="B13" i="23"/>
  <c r="C13" i="23"/>
  <c r="D13" i="23"/>
  <c r="E13" i="23"/>
  <c r="F13" i="23"/>
  <c r="G13" i="23"/>
  <c r="H13" i="23"/>
  <c r="I13" i="23"/>
  <c r="J13" i="23"/>
  <c r="K13" i="23"/>
  <c r="L13" i="23"/>
  <c r="M13" i="23"/>
  <c r="N13" i="23"/>
  <c r="O13" i="23"/>
  <c r="P13" i="23"/>
  <c r="Q13" i="23"/>
  <c r="R13" i="23"/>
  <c r="S13" i="23"/>
  <c r="T13" i="23"/>
  <c r="U13" i="23"/>
  <c r="V13" i="23"/>
  <c r="W13" i="23"/>
  <c r="X13" i="23"/>
  <c r="Y13" i="23"/>
  <c r="A14" i="23"/>
  <c r="B14" i="23"/>
  <c r="C14" i="23"/>
  <c r="D14" i="23"/>
  <c r="E14" i="23"/>
  <c r="F14" i="23"/>
  <c r="G14" i="23"/>
  <c r="H14" i="23"/>
  <c r="I14" i="23"/>
  <c r="J14" i="23"/>
  <c r="K14" i="23"/>
  <c r="L14" i="23"/>
  <c r="M14" i="23"/>
  <c r="N14" i="23"/>
  <c r="O14" i="23"/>
  <c r="P14" i="23"/>
  <c r="Q14" i="23"/>
  <c r="R14" i="23"/>
  <c r="S14" i="23"/>
  <c r="T14" i="23"/>
  <c r="U14" i="23"/>
  <c r="V14" i="23"/>
  <c r="W14" i="23"/>
  <c r="X14" i="23"/>
  <c r="Y14" i="23"/>
  <c r="A15" i="23"/>
  <c r="B15" i="23"/>
  <c r="C15" i="23"/>
  <c r="D15" i="23"/>
  <c r="E15" i="23"/>
  <c r="F15" i="23"/>
  <c r="G15" i="23"/>
  <c r="H15" i="23"/>
  <c r="I15" i="23"/>
  <c r="J15" i="23"/>
  <c r="K15" i="23"/>
  <c r="L15" i="23"/>
  <c r="M15" i="23"/>
  <c r="N15" i="23"/>
  <c r="O15" i="23"/>
  <c r="P15" i="23"/>
  <c r="Q15" i="23"/>
  <c r="R15" i="23"/>
  <c r="S15" i="23"/>
  <c r="T15" i="23"/>
  <c r="U15" i="23"/>
  <c r="V15" i="23"/>
  <c r="W15" i="23"/>
  <c r="X15" i="23"/>
  <c r="Y15" i="23"/>
  <c r="A16" i="23"/>
  <c r="B16" i="23"/>
  <c r="C16" i="23"/>
  <c r="D16" i="23"/>
  <c r="E16" i="23"/>
  <c r="F16" i="23"/>
  <c r="G16" i="23"/>
  <c r="H16" i="23"/>
  <c r="I16" i="23"/>
  <c r="J16" i="23"/>
  <c r="K16" i="23"/>
  <c r="L16" i="23"/>
  <c r="M16" i="23"/>
  <c r="N16" i="23"/>
  <c r="O16" i="23"/>
  <c r="P16" i="23"/>
  <c r="Q16" i="23"/>
  <c r="R16" i="23"/>
  <c r="S16" i="23"/>
  <c r="T16" i="23"/>
  <c r="U16" i="23"/>
  <c r="V16" i="23"/>
  <c r="W16" i="23"/>
  <c r="X16" i="23"/>
  <c r="Y16" i="23"/>
  <c r="A17" i="23"/>
  <c r="B17" i="23"/>
  <c r="C17" i="23"/>
  <c r="D17" i="23"/>
  <c r="E17" i="23"/>
  <c r="F17" i="23"/>
  <c r="G17" i="23"/>
  <c r="H17" i="23"/>
  <c r="I17" i="23"/>
  <c r="J17" i="23"/>
  <c r="K17" i="23"/>
  <c r="L17" i="23"/>
  <c r="M17" i="23"/>
  <c r="N17" i="23"/>
  <c r="O17" i="23"/>
  <c r="P17" i="23"/>
  <c r="Q17" i="23"/>
  <c r="R17" i="23"/>
  <c r="S17" i="23"/>
  <c r="T17" i="23"/>
  <c r="U17" i="23"/>
  <c r="V17" i="23"/>
  <c r="W17" i="23"/>
  <c r="X17" i="23"/>
  <c r="Y17" i="23"/>
  <c r="A18" i="23"/>
  <c r="B18" i="23"/>
  <c r="C18" i="23"/>
  <c r="D18" i="23"/>
  <c r="E18" i="23"/>
  <c r="F18" i="23"/>
  <c r="G18" i="23"/>
  <c r="H18" i="23"/>
  <c r="I18" i="23"/>
  <c r="J18" i="23"/>
  <c r="K18" i="23"/>
  <c r="L18" i="23"/>
  <c r="M18" i="23"/>
  <c r="N18" i="23"/>
  <c r="O18" i="23"/>
  <c r="P18" i="23"/>
  <c r="Q18" i="23"/>
  <c r="R18" i="23"/>
  <c r="S18" i="23"/>
  <c r="T18" i="23"/>
  <c r="U18" i="23"/>
  <c r="V18" i="23"/>
  <c r="W18" i="23"/>
  <c r="X18" i="23"/>
  <c r="Y18" i="23"/>
  <c r="A19" i="23"/>
  <c r="B19" i="23"/>
  <c r="C19" i="23"/>
  <c r="D19" i="23"/>
  <c r="E19" i="23"/>
  <c r="F19" i="23"/>
  <c r="G19" i="23"/>
  <c r="H19" i="23"/>
  <c r="I19" i="23"/>
  <c r="J19" i="23"/>
  <c r="K19" i="23"/>
  <c r="L19" i="23"/>
  <c r="M19" i="23"/>
  <c r="N19" i="23"/>
  <c r="O19" i="23"/>
  <c r="P19" i="23"/>
  <c r="Q19" i="23"/>
  <c r="R19" i="23"/>
  <c r="S19" i="23"/>
  <c r="T19" i="23"/>
  <c r="U19" i="23"/>
  <c r="V19" i="23"/>
  <c r="W19" i="23"/>
  <c r="X19" i="23"/>
  <c r="Y19" i="23"/>
  <c r="A20" i="23"/>
  <c r="B20" i="23"/>
  <c r="C20" i="23"/>
  <c r="D20" i="23"/>
  <c r="E20" i="23"/>
  <c r="F20" i="23"/>
  <c r="G20" i="23"/>
  <c r="H20" i="23"/>
  <c r="I20" i="23"/>
  <c r="J20" i="23"/>
  <c r="K20" i="23"/>
  <c r="L20" i="23"/>
  <c r="M20" i="23"/>
  <c r="N20" i="23"/>
  <c r="O20" i="23"/>
  <c r="P20" i="23"/>
  <c r="Q20" i="23"/>
  <c r="R20" i="23"/>
  <c r="S20" i="23"/>
  <c r="T20" i="23"/>
  <c r="U20" i="23"/>
  <c r="V20" i="23"/>
  <c r="W20" i="23"/>
  <c r="X20" i="23"/>
  <c r="Y20" i="23"/>
  <c r="A21" i="23"/>
  <c r="B21" i="23"/>
  <c r="C21" i="23"/>
  <c r="D21" i="23"/>
  <c r="E21" i="23"/>
  <c r="F21" i="23"/>
  <c r="G21" i="23"/>
  <c r="H21" i="23"/>
  <c r="I21" i="23"/>
  <c r="J21" i="23"/>
  <c r="K21" i="23"/>
  <c r="L21" i="23"/>
  <c r="M21" i="23"/>
  <c r="N21" i="23"/>
  <c r="O21" i="23"/>
  <c r="P21" i="23"/>
  <c r="Q21" i="23"/>
  <c r="R21" i="23"/>
  <c r="S21" i="23"/>
  <c r="T21" i="23"/>
  <c r="U21" i="23"/>
  <c r="V21" i="23"/>
  <c r="W21" i="23"/>
  <c r="X21" i="23"/>
  <c r="Y21" i="23"/>
  <c r="A22" i="23"/>
  <c r="B22" i="23"/>
  <c r="C22" i="23"/>
  <c r="D22" i="23"/>
  <c r="E22" i="23"/>
  <c r="F22" i="23"/>
  <c r="G22" i="23"/>
  <c r="H22" i="23"/>
  <c r="I22" i="23"/>
  <c r="J22" i="23"/>
  <c r="K22" i="23"/>
  <c r="L22" i="23"/>
  <c r="M22" i="23"/>
  <c r="N22" i="23"/>
  <c r="O22" i="23"/>
  <c r="P22" i="23"/>
  <c r="Q22" i="23"/>
  <c r="R22" i="23"/>
  <c r="S22" i="23"/>
  <c r="T22" i="23"/>
  <c r="U22" i="23"/>
  <c r="V22" i="23"/>
  <c r="W22" i="23"/>
  <c r="X22" i="23"/>
  <c r="Y22" i="23"/>
  <c r="A23" i="23"/>
  <c r="B23" i="23"/>
  <c r="C23" i="23"/>
  <c r="D23" i="23"/>
  <c r="E23" i="23"/>
  <c r="F23" i="23"/>
  <c r="G23" i="23"/>
  <c r="H23" i="23"/>
  <c r="I23" i="23"/>
  <c r="J23" i="23"/>
  <c r="K23" i="23"/>
  <c r="L23" i="23"/>
  <c r="M23" i="23"/>
  <c r="N23" i="23"/>
  <c r="O23" i="23"/>
  <c r="P23" i="23"/>
  <c r="Q23" i="23"/>
  <c r="R23" i="23"/>
  <c r="S23" i="23"/>
  <c r="T23" i="23"/>
  <c r="U23" i="23"/>
  <c r="V23" i="23"/>
  <c r="W23" i="23"/>
  <c r="X23" i="23"/>
  <c r="Y23" i="23"/>
  <c r="A24" i="23"/>
  <c r="B24" i="23"/>
  <c r="C24" i="23"/>
  <c r="D24" i="23"/>
  <c r="E24" i="23"/>
  <c r="F24" i="23"/>
  <c r="G24" i="23"/>
  <c r="H24" i="23"/>
  <c r="I24" i="23"/>
  <c r="J24" i="23"/>
  <c r="K24" i="23"/>
  <c r="L24" i="23"/>
  <c r="M24" i="23"/>
  <c r="N24" i="23"/>
  <c r="O24" i="23"/>
  <c r="P24" i="23"/>
  <c r="Q24" i="23"/>
  <c r="R24" i="23"/>
  <c r="S24" i="23"/>
  <c r="T24" i="23"/>
  <c r="U24" i="23"/>
  <c r="V24" i="23"/>
  <c r="W24" i="23"/>
  <c r="X24" i="23"/>
  <c r="Y24" i="23"/>
  <c r="A25" i="23"/>
  <c r="B25" i="23"/>
  <c r="C25" i="23"/>
  <c r="D25" i="23"/>
  <c r="E25" i="23"/>
  <c r="F25" i="23"/>
  <c r="G25" i="23"/>
  <c r="H25" i="23"/>
  <c r="I25" i="23"/>
  <c r="J25" i="23"/>
  <c r="K25" i="23"/>
  <c r="L25" i="23"/>
  <c r="M25" i="23"/>
  <c r="N25" i="23"/>
  <c r="O25" i="23"/>
  <c r="P25" i="23"/>
  <c r="Q25" i="23"/>
  <c r="R25" i="23"/>
  <c r="S25" i="23"/>
  <c r="T25" i="23"/>
  <c r="U25" i="23"/>
  <c r="V25" i="23"/>
  <c r="W25" i="23"/>
  <c r="X25" i="23"/>
  <c r="Y25" i="23"/>
  <c r="A26" i="23"/>
  <c r="B26" i="23"/>
  <c r="C26" i="23"/>
  <c r="D26" i="23"/>
  <c r="E26" i="23"/>
  <c r="F26" i="23"/>
  <c r="G26" i="23"/>
  <c r="H26" i="23"/>
  <c r="I26" i="23"/>
  <c r="J26" i="23"/>
  <c r="K26" i="23"/>
  <c r="L26" i="23"/>
  <c r="M26" i="23"/>
  <c r="N26" i="23"/>
  <c r="O26" i="23"/>
  <c r="P26" i="23"/>
  <c r="Q26" i="23"/>
  <c r="R26" i="23"/>
  <c r="S26" i="23"/>
  <c r="T26" i="23"/>
  <c r="U26" i="23"/>
  <c r="V26" i="23"/>
  <c r="W26" i="23"/>
  <c r="X26" i="23"/>
  <c r="Y26" i="23"/>
  <c r="A27" i="23"/>
  <c r="B27" i="23"/>
  <c r="C27" i="23"/>
  <c r="D27" i="23"/>
  <c r="E27" i="23"/>
  <c r="F27" i="23"/>
  <c r="G27" i="23"/>
  <c r="H27" i="23"/>
  <c r="I27" i="23"/>
  <c r="J27" i="23"/>
  <c r="K27" i="23"/>
  <c r="L27" i="23"/>
  <c r="M27" i="23"/>
  <c r="N27" i="23"/>
  <c r="O27" i="23"/>
  <c r="P27" i="23"/>
  <c r="Q27" i="23"/>
  <c r="R27" i="23"/>
  <c r="S27" i="23"/>
  <c r="T27" i="23"/>
  <c r="U27" i="23"/>
  <c r="V27" i="23"/>
  <c r="W27" i="23"/>
  <c r="X27" i="23"/>
  <c r="Y27" i="23"/>
  <c r="A28" i="23"/>
  <c r="B28" i="23"/>
  <c r="C28" i="23"/>
  <c r="D28" i="23"/>
  <c r="E28" i="23"/>
  <c r="F28" i="23"/>
  <c r="G28" i="23"/>
  <c r="H28" i="23"/>
  <c r="I28" i="23"/>
  <c r="J28" i="23"/>
  <c r="K28" i="23"/>
  <c r="L28" i="23"/>
  <c r="M28" i="23"/>
  <c r="N28" i="23"/>
  <c r="O28" i="23"/>
  <c r="P28" i="23"/>
  <c r="Q28" i="23"/>
  <c r="R28" i="23"/>
  <c r="S28" i="23"/>
  <c r="T28" i="23"/>
  <c r="U28" i="23"/>
  <c r="V28" i="23"/>
  <c r="W28" i="23"/>
  <c r="X28" i="23"/>
  <c r="Y28" i="23"/>
  <c r="A29" i="23"/>
  <c r="B29" i="23"/>
  <c r="C29" i="23"/>
  <c r="D29" i="23"/>
  <c r="E29" i="23"/>
  <c r="F29" i="23"/>
  <c r="G29" i="23"/>
  <c r="H29" i="23"/>
  <c r="I29" i="23"/>
  <c r="J29" i="23"/>
  <c r="K29" i="23"/>
  <c r="L29" i="23"/>
  <c r="M29" i="23"/>
  <c r="N29" i="23"/>
  <c r="O29" i="23"/>
  <c r="P29" i="23"/>
  <c r="Q29" i="23"/>
  <c r="R29" i="23"/>
  <c r="S29" i="23"/>
  <c r="T29" i="23"/>
  <c r="U29" i="23"/>
  <c r="V29" i="23"/>
  <c r="W29" i="23"/>
  <c r="X29" i="23"/>
  <c r="Y29" i="23"/>
  <c r="A30" i="23"/>
  <c r="B30" i="23"/>
  <c r="C30" i="23"/>
  <c r="D30" i="23"/>
  <c r="E30" i="23"/>
  <c r="F30" i="23"/>
  <c r="G30" i="23"/>
  <c r="H30" i="23"/>
  <c r="I30" i="23"/>
  <c r="J30" i="23"/>
  <c r="K30" i="23"/>
  <c r="L30" i="23"/>
  <c r="M30" i="23"/>
  <c r="N30" i="23"/>
  <c r="O30" i="23"/>
  <c r="P30" i="23"/>
  <c r="Q30" i="23"/>
  <c r="R30" i="23"/>
  <c r="S30" i="23"/>
  <c r="T30" i="23"/>
  <c r="U30" i="23"/>
  <c r="V30" i="23"/>
  <c r="W30" i="23"/>
  <c r="X30" i="23"/>
  <c r="Y30" i="23"/>
  <c r="A31" i="23"/>
  <c r="B31" i="23"/>
  <c r="C31" i="23"/>
  <c r="D31" i="23"/>
  <c r="E31" i="23"/>
  <c r="F31" i="23"/>
  <c r="G31" i="23"/>
  <c r="H31" i="23"/>
  <c r="I31" i="23"/>
  <c r="J31" i="23"/>
  <c r="K31" i="23"/>
  <c r="L31" i="23"/>
  <c r="M31" i="23"/>
  <c r="N31" i="23"/>
  <c r="O31" i="23"/>
  <c r="P31" i="23"/>
  <c r="Q31" i="23"/>
  <c r="R31" i="23"/>
  <c r="S31" i="23"/>
  <c r="T31" i="23"/>
  <c r="U31" i="23"/>
  <c r="V31" i="23"/>
  <c r="W31" i="23"/>
  <c r="X31" i="23"/>
  <c r="Y31" i="23"/>
  <c r="A32" i="23"/>
  <c r="B32" i="23"/>
  <c r="C32" i="23"/>
  <c r="D32" i="23"/>
  <c r="E32" i="23"/>
  <c r="F32" i="23"/>
  <c r="G32" i="23"/>
  <c r="H32" i="23"/>
  <c r="I32" i="23"/>
  <c r="J32" i="23"/>
  <c r="K32" i="23"/>
  <c r="L32" i="23"/>
  <c r="M32" i="23"/>
  <c r="N32" i="23"/>
  <c r="O32" i="23"/>
  <c r="P32" i="23"/>
  <c r="Q32" i="23"/>
  <c r="R32" i="23"/>
  <c r="S32" i="23"/>
  <c r="T32" i="23"/>
  <c r="U32" i="23"/>
  <c r="V32" i="23"/>
  <c r="W32" i="23"/>
  <c r="X32" i="23"/>
  <c r="Y32" i="23"/>
  <c r="A33" i="23"/>
  <c r="B33" i="23"/>
  <c r="C33" i="23"/>
  <c r="D33" i="23"/>
  <c r="E33" i="23"/>
  <c r="F33" i="23"/>
  <c r="G33" i="23"/>
  <c r="H33" i="23"/>
  <c r="I33" i="23"/>
  <c r="J33" i="23"/>
  <c r="K33" i="23"/>
  <c r="L33" i="23"/>
  <c r="M33" i="23"/>
  <c r="N33" i="23"/>
  <c r="O33" i="23"/>
  <c r="P33" i="23"/>
  <c r="Q33" i="23"/>
  <c r="R33" i="23"/>
  <c r="S33" i="23"/>
  <c r="T33" i="23"/>
  <c r="U33" i="23"/>
  <c r="V33" i="23"/>
  <c r="W33" i="23"/>
  <c r="X33" i="23"/>
  <c r="Y33" i="23"/>
  <c r="A34" i="23"/>
  <c r="B34" i="23"/>
  <c r="C34" i="23"/>
  <c r="D34" i="23"/>
  <c r="E34" i="23"/>
  <c r="F34" i="23"/>
  <c r="G34" i="23"/>
  <c r="H34" i="23"/>
  <c r="I34" i="23"/>
  <c r="J34" i="23"/>
  <c r="K34" i="23"/>
  <c r="L34" i="23"/>
  <c r="M34" i="23"/>
  <c r="N34" i="23"/>
  <c r="O34" i="23"/>
  <c r="P34" i="23"/>
  <c r="Q34" i="23"/>
  <c r="R34" i="23"/>
  <c r="S34" i="23"/>
  <c r="T34" i="23"/>
  <c r="U34" i="23"/>
  <c r="V34" i="23"/>
  <c r="W34" i="23"/>
  <c r="X34" i="23"/>
  <c r="Y34" i="23"/>
  <c r="A35" i="23"/>
  <c r="B35" i="23"/>
  <c r="C35" i="23"/>
  <c r="D35" i="23"/>
  <c r="E35" i="23"/>
  <c r="F35" i="23"/>
  <c r="G35" i="23"/>
  <c r="H35" i="23"/>
  <c r="I35" i="23"/>
  <c r="J35" i="23"/>
  <c r="K35" i="23"/>
  <c r="L35" i="23"/>
  <c r="M35" i="23"/>
  <c r="N35" i="23"/>
  <c r="O35" i="23"/>
  <c r="P35" i="23"/>
  <c r="Q35" i="23"/>
  <c r="R35" i="23"/>
  <c r="S35" i="23"/>
  <c r="T35" i="23"/>
  <c r="U35" i="23"/>
  <c r="V35" i="23"/>
  <c r="W35" i="23"/>
  <c r="X35" i="23"/>
  <c r="Y35" i="23"/>
  <c r="A36" i="23"/>
  <c r="B36" i="23"/>
  <c r="C36" i="23"/>
  <c r="D36" i="23"/>
  <c r="E36" i="23"/>
  <c r="F36" i="23"/>
  <c r="G36" i="23"/>
  <c r="H36" i="23"/>
  <c r="I36" i="23"/>
  <c r="J36" i="23"/>
  <c r="K36" i="23"/>
  <c r="L36" i="23"/>
  <c r="M36" i="23"/>
  <c r="N36" i="23"/>
  <c r="O36" i="23"/>
  <c r="P36" i="23"/>
  <c r="Q36" i="23"/>
  <c r="R36" i="23"/>
  <c r="S36" i="23"/>
  <c r="T36" i="23"/>
  <c r="U36" i="23"/>
  <c r="V36" i="23"/>
  <c r="W36" i="23"/>
  <c r="X36" i="23"/>
  <c r="Y36" i="23"/>
  <c r="A37" i="23"/>
  <c r="B37" i="23"/>
  <c r="C37" i="23"/>
  <c r="D37" i="23"/>
  <c r="E37" i="23"/>
  <c r="F37" i="23"/>
  <c r="G37" i="23"/>
  <c r="H37" i="23"/>
  <c r="I37" i="23"/>
  <c r="J37" i="23"/>
  <c r="K37" i="23"/>
  <c r="L37" i="23"/>
  <c r="M37" i="23"/>
  <c r="N37" i="23"/>
  <c r="O37" i="23"/>
  <c r="P37" i="23"/>
  <c r="Q37" i="23"/>
  <c r="R37" i="23"/>
  <c r="S37" i="23"/>
  <c r="T37" i="23"/>
  <c r="U37" i="23"/>
  <c r="V37" i="23"/>
  <c r="W37" i="23"/>
  <c r="X37" i="23"/>
  <c r="Y37" i="23"/>
  <c r="A38" i="23"/>
  <c r="B38" i="23"/>
  <c r="C38" i="23"/>
  <c r="D38" i="23"/>
  <c r="E38" i="23"/>
  <c r="F38" i="23"/>
  <c r="G38" i="23"/>
  <c r="H38" i="23"/>
  <c r="I38" i="23"/>
  <c r="J38" i="23"/>
  <c r="K38" i="23"/>
  <c r="L38" i="23"/>
  <c r="M38" i="23"/>
  <c r="N38" i="23"/>
  <c r="O38" i="23"/>
  <c r="P38" i="23"/>
  <c r="Q38" i="23"/>
  <c r="R38" i="23"/>
  <c r="S38" i="23"/>
  <c r="T38" i="23"/>
  <c r="U38" i="23"/>
  <c r="V38" i="23"/>
  <c r="W38" i="23"/>
  <c r="X38" i="23"/>
  <c r="Y38" i="23"/>
  <c r="A39" i="23"/>
  <c r="B39" i="23"/>
  <c r="C39" i="23"/>
  <c r="D39" i="23"/>
  <c r="E39" i="23"/>
  <c r="F39" i="23"/>
  <c r="G39" i="23"/>
  <c r="H39" i="23"/>
  <c r="I39" i="23"/>
  <c r="J39" i="23"/>
  <c r="K39" i="23"/>
  <c r="L39" i="23"/>
  <c r="M39" i="23"/>
  <c r="N39" i="23"/>
  <c r="O39" i="23"/>
  <c r="P39" i="23"/>
  <c r="Q39" i="23"/>
  <c r="R39" i="23"/>
  <c r="S39" i="23"/>
  <c r="T39" i="23"/>
  <c r="U39" i="23"/>
  <c r="V39" i="23"/>
  <c r="W39" i="23"/>
  <c r="X39" i="23"/>
  <c r="Y39" i="23"/>
  <c r="E9" i="1"/>
  <c r="E10" i="1" s="1"/>
  <c r="F40" i="1"/>
  <c r="F39" i="1"/>
  <c r="F38" i="1"/>
  <c r="H38" i="1" s="1"/>
  <c r="K38" i="1" s="1"/>
  <c r="F37" i="1"/>
  <c r="H37" i="1" s="1"/>
  <c r="L37" i="1" s="1"/>
  <c r="F35" i="1"/>
  <c r="F32" i="1"/>
  <c r="S1057" i="1" s="1"/>
  <c r="F26" i="1"/>
  <c r="F25" i="1"/>
  <c r="F24" i="1"/>
  <c r="F23" i="1"/>
  <c r="F22" i="1"/>
  <c r="F20" i="1"/>
  <c r="S1045" i="1" s="1"/>
  <c r="F19" i="1"/>
  <c r="F18" i="1"/>
  <c r="F17" i="1"/>
  <c r="F203" i="1"/>
  <c r="K203" i="1" s="1"/>
  <c r="F202" i="1"/>
  <c r="L202" i="1" s="1"/>
  <c r="F201" i="1"/>
  <c r="K201" i="1" s="1"/>
  <c r="F200" i="1"/>
  <c r="K200" i="1" s="1"/>
  <c r="F244" i="1"/>
  <c r="J244" i="1" s="1"/>
  <c r="F243" i="1"/>
  <c r="K243" i="1" s="1"/>
  <c r="F242" i="1"/>
  <c r="L242" i="1" s="1"/>
  <c r="F241" i="1"/>
  <c r="J241" i="1" s="1"/>
  <c r="F240" i="1"/>
  <c r="J240" i="1" s="1"/>
  <c r="K240" i="1"/>
  <c r="F239" i="1"/>
  <c r="L239" i="1" s="1"/>
  <c r="F238" i="1"/>
  <c r="F237" i="1"/>
  <c r="K237" i="1"/>
  <c r="J237" i="1"/>
  <c r="F229" i="1"/>
  <c r="J229" i="1" s="1"/>
  <c r="F228" i="1"/>
  <c r="J228" i="1" s="1"/>
  <c r="L228" i="1"/>
  <c r="F227" i="1"/>
  <c r="L227" i="1" s="1"/>
  <c r="F221" i="1"/>
  <c r="F220" i="1"/>
  <c r="F219" i="1"/>
  <c r="K219" i="1" s="1"/>
  <c r="F218" i="1"/>
  <c r="F217" i="1"/>
  <c r="F214" i="1"/>
  <c r="L214" i="1" s="1"/>
  <c r="F213" i="1"/>
  <c r="J213" i="1" s="1"/>
  <c r="F212" i="1"/>
  <c r="L212" i="1" s="1"/>
  <c r="F211" i="1"/>
  <c r="F210" i="1"/>
  <c r="F209" i="1"/>
  <c r="L209" i="1" s="1"/>
  <c r="F208" i="1"/>
  <c r="F207" i="1"/>
  <c r="F204" i="1"/>
  <c r="K204" i="1" s="1"/>
  <c r="F199" i="1"/>
  <c r="F198" i="1"/>
  <c r="F179" i="1"/>
  <c r="F178" i="1"/>
  <c r="F166" i="1"/>
  <c r="F165" i="1"/>
  <c r="R1028" i="1"/>
  <c r="R1029" i="1" s="1"/>
  <c r="R1030" i="1"/>
  <c r="F158" i="1"/>
  <c r="F157" i="1"/>
  <c r="F145" i="1"/>
  <c r="F144" i="1"/>
  <c r="F136" i="1"/>
  <c r="F135" i="1"/>
  <c r="F129" i="1"/>
  <c r="F128" i="1"/>
  <c r="F84" i="1"/>
  <c r="E19" i="13"/>
  <c r="F105" i="1" s="1"/>
  <c r="E18" i="13"/>
  <c r="F104" i="1" s="1"/>
  <c r="F94" i="1"/>
  <c r="F93" i="1"/>
  <c r="F67" i="1"/>
  <c r="F66" i="1"/>
  <c r="F44" i="1"/>
  <c r="F43" i="1"/>
  <c r="F14" i="1"/>
  <c r="CA5" i="13"/>
  <c r="CB5" i="13"/>
  <c r="CC5" i="13"/>
  <c r="CD5" i="13"/>
  <c r="CE5" i="13"/>
  <c r="CF5" i="13"/>
  <c r="CG5" i="13"/>
  <c r="CH5" i="13"/>
  <c r="CI5" i="13"/>
  <c r="CJ5" i="13"/>
  <c r="CK5" i="13"/>
  <c r="CL5" i="13"/>
  <c r="CM5" i="13"/>
  <c r="CN5" i="13"/>
  <c r="CO5" i="13"/>
  <c r="CP5" i="13"/>
  <c r="CQ5" i="13"/>
  <c r="CR5" i="13"/>
  <c r="CS5" i="13"/>
  <c r="CT5" i="13"/>
  <c r="CU5" i="13"/>
  <c r="CV5" i="13"/>
  <c r="CW5" i="13"/>
  <c r="CX5" i="13"/>
  <c r="CY5" i="13"/>
  <c r="DA5" i="13"/>
  <c r="DB5" i="13"/>
  <c r="DC5" i="13"/>
  <c r="DD5" i="13"/>
  <c r="DE5" i="13"/>
  <c r="DF5" i="13"/>
  <c r="DG5" i="13"/>
  <c r="DH5" i="13"/>
  <c r="DI5" i="13"/>
  <c r="DJ5" i="13"/>
  <c r="DK5" i="13"/>
  <c r="DL5" i="13"/>
  <c r="DM5" i="13"/>
  <c r="DN5" i="13"/>
  <c r="DO5" i="13"/>
  <c r="DP5" i="13"/>
  <c r="DQ5" i="13"/>
  <c r="DR5" i="13"/>
  <c r="DS5" i="13"/>
  <c r="DT5" i="13"/>
  <c r="DU5" i="13"/>
  <c r="DV5" i="13"/>
  <c r="DW5" i="13"/>
  <c r="DX5" i="13"/>
  <c r="DY5" i="13"/>
  <c r="CA6" i="13"/>
  <c r="CB6" i="13"/>
  <c r="CC6" i="13"/>
  <c r="CD6" i="13"/>
  <c r="CE6" i="13"/>
  <c r="CF6" i="13"/>
  <c r="CG6" i="13"/>
  <c r="CH6" i="13"/>
  <c r="CI6" i="13"/>
  <c r="CJ6" i="13"/>
  <c r="CK6" i="13"/>
  <c r="CL6" i="13"/>
  <c r="CM6" i="13"/>
  <c r="CN6" i="13"/>
  <c r="CO6" i="13"/>
  <c r="CP6" i="13"/>
  <c r="CQ6" i="13"/>
  <c r="CR6" i="13"/>
  <c r="CS6" i="13"/>
  <c r="CT6" i="13"/>
  <c r="CU6" i="13"/>
  <c r="CV6" i="13"/>
  <c r="CW6" i="13"/>
  <c r="CX6" i="13"/>
  <c r="CY6" i="13"/>
  <c r="DA6" i="13"/>
  <c r="DB6" i="13"/>
  <c r="DC6" i="13"/>
  <c r="DD6" i="13"/>
  <c r="DE6" i="13"/>
  <c r="DF6" i="13"/>
  <c r="DG6" i="13"/>
  <c r="DH6" i="13"/>
  <c r="DI6" i="13"/>
  <c r="DJ6" i="13"/>
  <c r="DK6" i="13"/>
  <c r="DL6" i="13"/>
  <c r="DM6" i="13"/>
  <c r="DN6" i="13"/>
  <c r="DO6" i="13"/>
  <c r="DP6" i="13"/>
  <c r="DQ6" i="13"/>
  <c r="DR6" i="13"/>
  <c r="DS6" i="13"/>
  <c r="DT6" i="13"/>
  <c r="DU6" i="13"/>
  <c r="DV6" i="13"/>
  <c r="DW6" i="13"/>
  <c r="DX6" i="13"/>
  <c r="DY6" i="13"/>
  <c r="CA7" i="13"/>
  <c r="CB7" i="13"/>
  <c r="CC7" i="13"/>
  <c r="CD7" i="13"/>
  <c r="CE7" i="13"/>
  <c r="CF7" i="13"/>
  <c r="CG7" i="13"/>
  <c r="CH7" i="13"/>
  <c r="CI7" i="13"/>
  <c r="CJ7" i="13"/>
  <c r="CK7" i="13"/>
  <c r="CL7" i="13"/>
  <c r="CM7" i="13"/>
  <c r="CN7" i="13"/>
  <c r="CO7" i="13"/>
  <c r="CP7" i="13"/>
  <c r="CQ7" i="13"/>
  <c r="CR7" i="13"/>
  <c r="CS7" i="13"/>
  <c r="CT7" i="13"/>
  <c r="CU7" i="13"/>
  <c r="CV7" i="13"/>
  <c r="CW7" i="13"/>
  <c r="CX7" i="13"/>
  <c r="CY7" i="13"/>
  <c r="DA7" i="13"/>
  <c r="DB7" i="13"/>
  <c r="DC7" i="13"/>
  <c r="DD7" i="13"/>
  <c r="DE7" i="13"/>
  <c r="DF7" i="13"/>
  <c r="DG7" i="13"/>
  <c r="DH7" i="13"/>
  <c r="DI7" i="13"/>
  <c r="DJ7" i="13"/>
  <c r="DK7" i="13"/>
  <c r="DL7" i="13"/>
  <c r="DM7" i="13"/>
  <c r="DN7" i="13"/>
  <c r="DO7" i="13"/>
  <c r="DP7" i="13"/>
  <c r="DQ7" i="13"/>
  <c r="DR7" i="13"/>
  <c r="DS7" i="13"/>
  <c r="DT7" i="13"/>
  <c r="DU7" i="13"/>
  <c r="DV7" i="13"/>
  <c r="DW7" i="13"/>
  <c r="DX7" i="13"/>
  <c r="DY7" i="13"/>
  <c r="CA8" i="13"/>
  <c r="CB8" i="13"/>
  <c r="CC8" i="13"/>
  <c r="CD8" i="13"/>
  <c r="CE8" i="13"/>
  <c r="CF8" i="13"/>
  <c r="CG8" i="13"/>
  <c r="CH8" i="13"/>
  <c r="CI8" i="13"/>
  <c r="CJ8" i="13"/>
  <c r="CK8" i="13"/>
  <c r="CL8" i="13"/>
  <c r="CM8" i="13"/>
  <c r="CN8" i="13"/>
  <c r="CO8" i="13"/>
  <c r="CP8" i="13"/>
  <c r="CQ8" i="13"/>
  <c r="CR8" i="13"/>
  <c r="CS8" i="13"/>
  <c r="CT8" i="13"/>
  <c r="CU8" i="13"/>
  <c r="CV8" i="13"/>
  <c r="CW8" i="13"/>
  <c r="CX8" i="13"/>
  <c r="CY8" i="13"/>
  <c r="DA8" i="13"/>
  <c r="DB8" i="13"/>
  <c r="DC8" i="13"/>
  <c r="DD8" i="13"/>
  <c r="DE8" i="13"/>
  <c r="DF8" i="13"/>
  <c r="DG8" i="13"/>
  <c r="DH8" i="13"/>
  <c r="DI8" i="13"/>
  <c r="DJ8" i="13"/>
  <c r="DK8" i="13"/>
  <c r="DL8" i="13"/>
  <c r="DM8" i="13"/>
  <c r="DN8" i="13"/>
  <c r="DO8" i="13"/>
  <c r="DP8" i="13"/>
  <c r="DQ8" i="13"/>
  <c r="DR8" i="13"/>
  <c r="DS8" i="13"/>
  <c r="DT8" i="13"/>
  <c r="DU8" i="13"/>
  <c r="DV8" i="13"/>
  <c r="DW8" i="13"/>
  <c r="DX8" i="13"/>
  <c r="DY8" i="13"/>
  <c r="CA9" i="13"/>
  <c r="CB9" i="13"/>
  <c r="CC9" i="13"/>
  <c r="CD9" i="13"/>
  <c r="CE9" i="13"/>
  <c r="CF9" i="13"/>
  <c r="CG9" i="13"/>
  <c r="CH9" i="13"/>
  <c r="CI9" i="13"/>
  <c r="CJ9" i="13"/>
  <c r="CK9" i="13"/>
  <c r="CL9" i="13"/>
  <c r="CM9" i="13"/>
  <c r="CN9" i="13"/>
  <c r="CO9" i="13"/>
  <c r="CP9" i="13"/>
  <c r="CQ9" i="13"/>
  <c r="CR9" i="13"/>
  <c r="CS9" i="13"/>
  <c r="CT9" i="13"/>
  <c r="CU9" i="13"/>
  <c r="CV9" i="13"/>
  <c r="CW9" i="13"/>
  <c r="CX9" i="13"/>
  <c r="CY9" i="13"/>
  <c r="DA9" i="13"/>
  <c r="DB9" i="13"/>
  <c r="DC9" i="13"/>
  <c r="DD9" i="13"/>
  <c r="DE9" i="13"/>
  <c r="DF9" i="13"/>
  <c r="DG9" i="13"/>
  <c r="DH9" i="13"/>
  <c r="DI9" i="13"/>
  <c r="DJ9" i="13"/>
  <c r="DK9" i="13"/>
  <c r="DL9" i="13"/>
  <c r="DM9" i="13"/>
  <c r="DN9" i="13"/>
  <c r="DO9" i="13"/>
  <c r="DP9" i="13"/>
  <c r="DQ9" i="13"/>
  <c r="DR9" i="13"/>
  <c r="DS9" i="13"/>
  <c r="DT9" i="13"/>
  <c r="DU9" i="13"/>
  <c r="DV9" i="13"/>
  <c r="DW9" i="13"/>
  <c r="DX9" i="13"/>
  <c r="DY9" i="13"/>
  <c r="CA10" i="13"/>
  <c r="CB10" i="13"/>
  <c r="CC10" i="13"/>
  <c r="CD10" i="13"/>
  <c r="CE10" i="13"/>
  <c r="CF10" i="13"/>
  <c r="CG10" i="13"/>
  <c r="CH10" i="13"/>
  <c r="CI10" i="13"/>
  <c r="CJ10" i="13"/>
  <c r="CK10" i="13"/>
  <c r="CL10" i="13"/>
  <c r="CM10" i="13"/>
  <c r="CN10" i="13"/>
  <c r="CO10" i="13"/>
  <c r="CP10" i="13"/>
  <c r="CQ10" i="13"/>
  <c r="CR10" i="13"/>
  <c r="CS10" i="13"/>
  <c r="CT10" i="13"/>
  <c r="CU10" i="13"/>
  <c r="CV10" i="13"/>
  <c r="CW10" i="13"/>
  <c r="CX10" i="13"/>
  <c r="CY10" i="13"/>
  <c r="DA10" i="13"/>
  <c r="DB10" i="13"/>
  <c r="DC10" i="13"/>
  <c r="DD10" i="13"/>
  <c r="DE10" i="13"/>
  <c r="DF10" i="13"/>
  <c r="DG10" i="13"/>
  <c r="DH10" i="13"/>
  <c r="DI10" i="13"/>
  <c r="DJ10" i="13"/>
  <c r="DK10" i="13"/>
  <c r="DL10" i="13"/>
  <c r="DM10" i="13"/>
  <c r="DN10" i="13"/>
  <c r="DO10" i="13"/>
  <c r="DP10" i="13"/>
  <c r="DQ10" i="13"/>
  <c r="DR10" i="13"/>
  <c r="DS10" i="13"/>
  <c r="DT10" i="13"/>
  <c r="DU10" i="13"/>
  <c r="DV10" i="13"/>
  <c r="DW10" i="13"/>
  <c r="DX10" i="13"/>
  <c r="DY10" i="13"/>
  <c r="CA11" i="13"/>
  <c r="CB11" i="13"/>
  <c r="CC11" i="13"/>
  <c r="CD11" i="13"/>
  <c r="CE11" i="13"/>
  <c r="CF11" i="13"/>
  <c r="CG11" i="13"/>
  <c r="CH11" i="13"/>
  <c r="CI11" i="13"/>
  <c r="CJ11" i="13"/>
  <c r="CK11" i="13"/>
  <c r="CL11" i="13"/>
  <c r="CM11" i="13"/>
  <c r="CN11" i="13"/>
  <c r="CO11" i="13"/>
  <c r="CP11" i="13"/>
  <c r="CQ11" i="13"/>
  <c r="CR11" i="13"/>
  <c r="CS11" i="13"/>
  <c r="CT11" i="13"/>
  <c r="CU11" i="13"/>
  <c r="CV11" i="13"/>
  <c r="CW11" i="13"/>
  <c r="CX11" i="13"/>
  <c r="CY11" i="13"/>
  <c r="DA11" i="13"/>
  <c r="DB11" i="13"/>
  <c r="DC11" i="13"/>
  <c r="DD11" i="13"/>
  <c r="DE11" i="13"/>
  <c r="DF11" i="13"/>
  <c r="DG11" i="13"/>
  <c r="DH11" i="13"/>
  <c r="DI11" i="13"/>
  <c r="DJ11" i="13"/>
  <c r="DK11" i="13"/>
  <c r="DL11" i="13"/>
  <c r="DM11" i="13"/>
  <c r="DN11" i="13"/>
  <c r="DO11" i="13"/>
  <c r="DP11" i="13"/>
  <c r="DQ11" i="13"/>
  <c r="DR11" i="13"/>
  <c r="DS11" i="13"/>
  <c r="DT11" i="13"/>
  <c r="DU11" i="13"/>
  <c r="DV11" i="13"/>
  <c r="DW11" i="13"/>
  <c r="DX11" i="13"/>
  <c r="DY11" i="13"/>
  <c r="CA12" i="13"/>
  <c r="CB12" i="13"/>
  <c r="CC12" i="13"/>
  <c r="CD12" i="13"/>
  <c r="CE12" i="13"/>
  <c r="CF12" i="13"/>
  <c r="CG12" i="13"/>
  <c r="CH12" i="13"/>
  <c r="CI12" i="13"/>
  <c r="CJ12" i="13"/>
  <c r="CK12" i="13"/>
  <c r="CL12" i="13"/>
  <c r="CM12" i="13"/>
  <c r="CN12" i="13"/>
  <c r="CO12" i="13"/>
  <c r="CP12" i="13"/>
  <c r="CQ12" i="13"/>
  <c r="CR12" i="13"/>
  <c r="CS12" i="13"/>
  <c r="CT12" i="13"/>
  <c r="CU12" i="13"/>
  <c r="CV12" i="13"/>
  <c r="CW12" i="13"/>
  <c r="CX12" i="13"/>
  <c r="CY12" i="13"/>
  <c r="DA12" i="13"/>
  <c r="DB12" i="13"/>
  <c r="DC12" i="13"/>
  <c r="DD12" i="13"/>
  <c r="DE12" i="13"/>
  <c r="DF12" i="13"/>
  <c r="DG12" i="13"/>
  <c r="DH12" i="13"/>
  <c r="DI12" i="13"/>
  <c r="DJ12" i="13"/>
  <c r="DK12" i="13"/>
  <c r="DL12" i="13"/>
  <c r="DM12" i="13"/>
  <c r="DN12" i="13"/>
  <c r="DO12" i="13"/>
  <c r="DP12" i="13"/>
  <c r="DQ12" i="13"/>
  <c r="DR12" i="13"/>
  <c r="DS12" i="13"/>
  <c r="DT12" i="13"/>
  <c r="DU12" i="13"/>
  <c r="DV12" i="13"/>
  <c r="DW12" i="13"/>
  <c r="DX12" i="13"/>
  <c r="DY12" i="13"/>
  <c r="CA13" i="13"/>
  <c r="CB13" i="13"/>
  <c r="CC13" i="13"/>
  <c r="CD13" i="13"/>
  <c r="CE13" i="13"/>
  <c r="CF13" i="13"/>
  <c r="CG13" i="13"/>
  <c r="CH13" i="13"/>
  <c r="CI13" i="13"/>
  <c r="CJ13" i="13"/>
  <c r="CK13" i="13"/>
  <c r="CL13" i="13"/>
  <c r="CM13" i="13"/>
  <c r="CN13" i="13"/>
  <c r="CO13" i="13"/>
  <c r="CP13" i="13"/>
  <c r="CQ13" i="13"/>
  <c r="CR13" i="13"/>
  <c r="CS13" i="13"/>
  <c r="CT13" i="13"/>
  <c r="CU13" i="13"/>
  <c r="CV13" i="13"/>
  <c r="CW13" i="13"/>
  <c r="CX13" i="13"/>
  <c r="CY13" i="13"/>
  <c r="DA13" i="13"/>
  <c r="DB13" i="13"/>
  <c r="DC13" i="13"/>
  <c r="DD13" i="13"/>
  <c r="DE13" i="13"/>
  <c r="DF13" i="13"/>
  <c r="DG13" i="13"/>
  <c r="DH13" i="13"/>
  <c r="DI13" i="13"/>
  <c r="DJ13" i="13"/>
  <c r="DK13" i="13"/>
  <c r="DL13" i="13"/>
  <c r="DM13" i="13"/>
  <c r="DN13" i="13"/>
  <c r="DO13" i="13"/>
  <c r="DP13" i="13"/>
  <c r="DQ13" i="13"/>
  <c r="DR13" i="13"/>
  <c r="DS13" i="13"/>
  <c r="DT13" i="13"/>
  <c r="DU13" i="13"/>
  <c r="DV13" i="13"/>
  <c r="DW13" i="13"/>
  <c r="DX13" i="13"/>
  <c r="DY13" i="13"/>
  <c r="CA14" i="13"/>
  <c r="CB14" i="13"/>
  <c r="CC14" i="13"/>
  <c r="CD14" i="13"/>
  <c r="CE14" i="13"/>
  <c r="CF14" i="13"/>
  <c r="CG14" i="13"/>
  <c r="CH14" i="13"/>
  <c r="CI14" i="13"/>
  <c r="CJ14" i="13"/>
  <c r="CK14" i="13"/>
  <c r="CL14" i="13"/>
  <c r="CM14" i="13"/>
  <c r="CN14" i="13"/>
  <c r="CO14" i="13"/>
  <c r="CP14" i="13"/>
  <c r="CQ14" i="13"/>
  <c r="CR14" i="13"/>
  <c r="CS14" i="13"/>
  <c r="CT14" i="13"/>
  <c r="CU14" i="13"/>
  <c r="CV14" i="13"/>
  <c r="CW14" i="13"/>
  <c r="CX14" i="13"/>
  <c r="CY14" i="13"/>
  <c r="DA14" i="13"/>
  <c r="DB14" i="13"/>
  <c r="DC14" i="13"/>
  <c r="DD14" i="13"/>
  <c r="DE14" i="13"/>
  <c r="DF14" i="13"/>
  <c r="DG14" i="13"/>
  <c r="DH14" i="13"/>
  <c r="DI14" i="13"/>
  <c r="DJ14" i="13"/>
  <c r="DK14" i="13"/>
  <c r="DL14" i="13"/>
  <c r="DM14" i="13"/>
  <c r="DN14" i="13"/>
  <c r="DO14" i="13"/>
  <c r="DP14" i="13"/>
  <c r="DQ14" i="13"/>
  <c r="DR14" i="13"/>
  <c r="DS14" i="13"/>
  <c r="DT14" i="13"/>
  <c r="DU14" i="13"/>
  <c r="DV14" i="13"/>
  <c r="DW14" i="13"/>
  <c r="DX14" i="13"/>
  <c r="DY14" i="13"/>
  <c r="CA15" i="13"/>
  <c r="CB15" i="13"/>
  <c r="CC15" i="13"/>
  <c r="CD15" i="13"/>
  <c r="CE15" i="13"/>
  <c r="CF15" i="13"/>
  <c r="CG15" i="13"/>
  <c r="CH15" i="13"/>
  <c r="CI15" i="13"/>
  <c r="CJ15" i="13"/>
  <c r="CK15" i="13"/>
  <c r="CL15" i="13"/>
  <c r="CM15" i="13"/>
  <c r="CN15" i="13"/>
  <c r="CO15" i="13"/>
  <c r="CP15" i="13"/>
  <c r="CQ15" i="13"/>
  <c r="CR15" i="13"/>
  <c r="CS15" i="13"/>
  <c r="CT15" i="13"/>
  <c r="CU15" i="13"/>
  <c r="CV15" i="13"/>
  <c r="CW15" i="13"/>
  <c r="CX15" i="13"/>
  <c r="CY15" i="13"/>
  <c r="DA15" i="13"/>
  <c r="DB15" i="13"/>
  <c r="DC15" i="13"/>
  <c r="DD15" i="13"/>
  <c r="DE15" i="13"/>
  <c r="DF15" i="13"/>
  <c r="DG15" i="13"/>
  <c r="DH15" i="13"/>
  <c r="DI15" i="13"/>
  <c r="DJ15" i="13"/>
  <c r="DK15" i="13"/>
  <c r="DL15" i="13"/>
  <c r="DM15" i="13"/>
  <c r="DN15" i="13"/>
  <c r="DO15" i="13"/>
  <c r="DP15" i="13"/>
  <c r="DQ15" i="13"/>
  <c r="DR15" i="13"/>
  <c r="DS15" i="13"/>
  <c r="DT15" i="13"/>
  <c r="DU15" i="13"/>
  <c r="DV15" i="13"/>
  <c r="DW15" i="13"/>
  <c r="DX15" i="13"/>
  <c r="DY15" i="13"/>
  <c r="CA16" i="13"/>
  <c r="CB16" i="13"/>
  <c r="CC16" i="13"/>
  <c r="CD16" i="13"/>
  <c r="CE16" i="13"/>
  <c r="CF16" i="13"/>
  <c r="CG16" i="13"/>
  <c r="CH16" i="13"/>
  <c r="CI16" i="13"/>
  <c r="CJ16" i="13"/>
  <c r="CK16" i="13"/>
  <c r="CL16" i="13"/>
  <c r="CM16" i="13"/>
  <c r="CN16" i="13"/>
  <c r="CO16" i="13"/>
  <c r="CP16" i="13"/>
  <c r="CQ16" i="13"/>
  <c r="CR16" i="13"/>
  <c r="CS16" i="13"/>
  <c r="CT16" i="13"/>
  <c r="CU16" i="13"/>
  <c r="CV16" i="13"/>
  <c r="CW16" i="13"/>
  <c r="CX16" i="13"/>
  <c r="CY16" i="13"/>
  <c r="DA16" i="13"/>
  <c r="DB16" i="13"/>
  <c r="DC16" i="13"/>
  <c r="DD16" i="13"/>
  <c r="DE16" i="13"/>
  <c r="DF16" i="13"/>
  <c r="DG16" i="13"/>
  <c r="DH16" i="13"/>
  <c r="DI16" i="13"/>
  <c r="DJ16" i="13"/>
  <c r="DK16" i="13"/>
  <c r="DL16" i="13"/>
  <c r="DM16" i="13"/>
  <c r="DN16" i="13"/>
  <c r="DO16" i="13"/>
  <c r="DP16" i="13"/>
  <c r="DQ16" i="13"/>
  <c r="DR16" i="13"/>
  <c r="DS16" i="13"/>
  <c r="DT16" i="13"/>
  <c r="DU16" i="13"/>
  <c r="DV16" i="13"/>
  <c r="DW16" i="13"/>
  <c r="DX16" i="13"/>
  <c r="DY16" i="13"/>
  <c r="CA17" i="13"/>
  <c r="CB17" i="13"/>
  <c r="CC17" i="13"/>
  <c r="CD17" i="13"/>
  <c r="CE17" i="13"/>
  <c r="CF17" i="13"/>
  <c r="CG17" i="13"/>
  <c r="CH17" i="13"/>
  <c r="CI17" i="13"/>
  <c r="CJ17" i="13"/>
  <c r="CK17" i="13"/>
  <c r="CL17" i="13"/>
  <c r="CM17" i="13"/>
  <c r="CN17" i="13"/>
  <c r="CO17" i="13"/>
  <c r="CP17" i="13"/>
  <c r="CQ17" i="13"/>
  <c r="CR17" i="13"/>
  <c r="CS17" i="13"/>
  <c r="CT17" i="13"/>
  <c r="CU17" i="13"/>
  <c r="CV17" i="13"/>
  <c r="CW17" i="13"/>
  <c r="CX17" i="13"/>
  <c r="CY17" i="13"/>
  <c r="DA17" i="13"/>
  <c r="DB17" i="13"/>
  <c r="DC17" i="13"/>
  <c r="DD17" i="13"/>
  <c r="DE17" i="13"/>
  <c r="DF17" i="13"/>
  <c r="DG17" i="13"/>
  <c r="DH17" i="13"/>
  <c r="DI17" i="13"/>
  <c r="DJ17" i="13"/>
  <c r="DK17" i="13"/>
  <c r="DL17" i="13"/>
  <c r="DM17" i="13"/>
  <c r="DN17" i="13"/>
  <c r="DO17" i="13"/>
  <c r="DP17" i="13"/>
  <c r="DQ17" i="13"/>
  <c r="DR17" i="13"/>
  <c r="DS17" i="13"/>
  <c r="DT17" i="13"/>
  <c r="DU17" i="13"/>
  <c r="DV17" i="13"/>
  <c r="DW17" i="13"/>
  <c r="DX17" i="13"/>
  <c r="DY17" i="13"/>
  <c r="CA18" i="13"/>
  <c r="CB18" i="13"/>
  <c r="CC18" i="13"/>
  <c r="CD18" i="13"/>
  <c r="CE18" i="13"/>
  <c r="CF18" i="13"/>
  <c r="CG18" i="13"/>
  <c r="CH18" i="13"/>
  <c r="CI18" i="13"/>
  <c r="CJ18" i="13"/>
  <c r="CK18" i="13"/>
  <c r="CL18" i="13"/>
  <c r="CM18" i="13"/>
  <c r="CN18" i="13"/>
  <c r="CO18" i="13"/>
  <c r="CP18" i="13"/>
  <c r="CQ18" i="13"/>
  <c r="CR18" i="13"/>
  <c r="CS18" i="13"/>
  <c r="CT18" i="13"/>
  <c r="CU18" i="13"/>
  <c r="CV18" i="13"/>
  <c r="CW18" i="13"/>
  <c r="CX18" i="13"/>
  <c r="CY18" i="13"/>
  <c r="DA18" i="13"/>
  <c r="DB18" i="13"/>
  <c r="DC18" i="13"/>
  <c r="DD18" i="13"/>
  <c r="DE18" i="13"/>
  <c r="DF18" i="13"/>
  <c r="DG18" i="13"/>
  <c r="DH18" i="13"/>
  <c r="DI18" i="13"/>
  <c r="DJ18" i="13"/>
  <c r="DK18" i="13"/>
  <c r="DL18" i="13"/>
  <c r="DM18" i="13"/>
  <c r="DN18" i="13"/>
  <c r="DO18" i="13"/>
  <c r="DP18" i="13"/>
  <c r="DQ18" i="13"/>
  <c r="DR18" i="13"/>
  <c r="DS18" i="13"/>
  <c r="DT18" i="13"/>
  <c r="DU18" i="13"/>
  <c r="DV18" i="13"/>
  <c r="DW18" i="13"/>
  <c r="DX18" i="13"/>
  <c r="DY18" i="13"/>
  <c r="CA19" i="13"/>
  <c r="CB19" i="13"/>
  <c r="CC19" i="13"/>
  <c r="CD19" i="13"/>
  <c r="CE19" i="13"/>
  <c r="CF19" i="13"/>
  <c r="CG19" i="13"/>
  <c r="CH19" i="13"/>
  <c r="CI19" i="13"/>
  <c r="CJ19" i="13"/>
  <c r="CK19" i="13"/>
  <c r="CL19" i="13"/>
  <c r="CM19" i="13"/>
  <c r="CN19" i="13"/>
  <c r="CO19" i="13"/>
  <c r="CP19" i="13"/>
  <c r="CQ19" i="13"/>
  <c r="CR19" i="13"/>
  <c r="CS19" i="13"/>
  <c r="CT19" i="13"/>
  <c r="CU19" i="13"/>
  <c r="CV19" i="13"/>
  <c r="CW19" i="13"/>
  <c r="CX19" i="13"/>
  <c r="CY19" i="13"/>
  <c r="DA19" i="13"/>
  <c r="DB19" i="13"/>
  <c r="DC19" i="13"/>
  <c r="DD19" i="13"/>
  <c r="DE19" i="13"/>
  <c r="DF19" i="13"/>
  <c r="DG19" i="13"/>
  <c r="DH19" i="13"/>
  <c r="DI19" i="13"/>
  <c r="DJ19" i="13"/>
  <c r="DK19" i="13"/>
  <c r="DL19" i="13"/>
  <c r="DM19" i="13"/>
  <c r="DN19" i="13"/>
  <c r="DO19" i="13"/>
  <c r="DP19" i="13"/>
  <c r="DQ19" i="13"/>
  <c r="DR19" i="13"/>
  <c r="DS19" i="13"/>
  <c r="DT19" i="13"/>
  <c r="DU19" i="13"/>
  <c r="DV19" i="13"/>
  <c r="DW19" i="13"/>
  <c r="DX19" i="13"/>
  <c r="DY19" i="13"/>
  <c r="CA20" i="13"/>
  <c r="CB20" i="13"/>
  <c r="CC20" i="13"/>
  <c r="CD20" i="13"/>
  <c r="CE20" i="13"/>
  <c r="CF20" i="13"/>
  <c r="CG20" i="13"/>
  <c r="CH20" i="13"/>
  <c r="CI20" i="13"/>
  <c r="CJ20" i="13"/>
  <c r="CK20" i="13"/>
  <c r="CL20" i="13"/>
  <c r="CM20" i="13"/>
  <c r="CN20" i="13"/>
  <c r="CO20" i="13"/>
  <c r="CP20" i="13"/>
  <c r="CQ20" i="13"/>
  <c r="CR20" i="13"/>
  <c r="CS20" i="13"/>
  <c r="CT20" i="13"/>
  <c r="CU20" i="13"/>
  <c r="CV20" i="13"/>
  <c r="CW20" i="13"/>
  <c r="CX20" i="13"/>
  <c r="CY20" i="13"/>
  <c r="DA20" i="13"/>
  <c r="DB20" i="13"/>
  <c r="DC20" i="13"/>
  <c r="DD20" i="13"/>
  <c r="DE20" i="13"/>
  <c r="DF20" i="13"/>
  <c r="DG20" i="13"/>
  <c r="DH20" i="13"/>
  <c r="DI20" i="13"/>
  <c r="DJ20" i="13"/>
  <c r="DK20" i="13"/>
  <c r="DL20" i="13"/>
  <c r="DM20" i="13"/>
  <c r="DN20" i="13"/>
  <c r="DO20" i="13"/>
  <c r="DP20" i="13"/>
  <c r="DQ20" i="13"/>
  <c r="DR20" i="13"/>
  <c r="DS20" i="13"/>
  <c r="DT20" i="13"/>
  <c r="DU20" i="13"/>
  <c r="DV20" i="13"/>
  <c r="DW20" i="13"/>
  <c r="DX20" i="13"/>
  <c r="DY20" i="13"/>
  <c r="CA21" i="13"/>
  <c r="CB21" i="13"/>
  <c r="CC21" i="13"/>
  <c r="CD21" i="13"/>
  <c r="CE21" i="13"/>
  <c r="CF21" i="13"/>
  <c r="CG21" i="13"/>
  <c r="CH21" i="13"/>
  <c r="CI21" i="13"/>
  <c r="CJ21" i="13"/>
  <c r="CK21" i="13"/>
  <c r="CL21" i="13"/>
  <c r="CM21" i="13"/>
  <c r="CN21" i="13"/>
  <c r="CO21" i="13"/>
  <c r="CP21" i="13"/>
  <c r="CQ21" i="13"/>
  <c r="CR21" i="13"/>
  <c r="CS21" i="13"/>
  <c r="CT21" i="13"/>
  <c r="CU21" i="13"/>
  <c r="CV21" i="13"/>
  <c r="CW21" i="13"/>
  <c r="CX21" i="13"/>
  <c r="CY21" i="13"/>
  <c r="DA21" i="13"/>
  <c r="DB21" i="13"/>
  <c r="DC21" i="13"/>
  <c r="DD21" i="13"/>
  <c r="DE21" i="13"/>
  <c r="DF21" i="13"/>
  <c r="DG21" i="13"/>
  <c r="DH21" i="13"/>
  <c r="DI21" i="13"/>
  <c r="DJ21" i="13"/>
  <c r="DK21" i="13"/>
  <c r="DL21" i="13"/>
  <c r="DM21" i="13"/>
  <c r="DN21" i="13"/>
  <c r="DO21" i="13"/>
  <c r="DP21" i="13"/>
  <c r="DQ21" i="13"/>
  <c r="DR21" i="13"/>
  <c r="DS21" i="13"/>
  <c r="DT21" i="13"/>
  <c r="DU21" i="13"/>
  <c r="DV21" i="13"/>
  <c r="DW21" i="13"/>
  <c r="DX21" i="13"/>
  <c r="DY21" i="13"/>
  <c r="CA22" i="13"/>
  <c r="CB22" i="13"/>
  <c r="CC22" i="13"/>
  <c r="CD22" i="13"/>
  <c r="CE22" i="13"/>
  <c r="CF22" i="13"/>
  <c r="CG22" i="13"/>
  <c r="CH22" i="13"/>
  <c r="CI22" i="13"/>
  <c r="CJ22" i="13"/>
  <c r="CK22" i="13"/>
  <c r="CL22" i="13"/>
  <c r="CM22" i="13"/>
  <c r="CN22" i="13"/>
  <c r="CO22" i="13"/>
  <c r="CP22" i="13"/>
  <c r="CQ22" i="13"/>
  <c r="CR22" i="13"/>
  <c r="CS22" i="13"/>
  <c r="CT22" i="13"/>
  <c r="CU22" i="13"/>
  <c r="CV22" i="13"/>
  <c r="CW22" i="13"/>
  <c r="CX22" i="13"/>
  <c r="CY22" i="13"/>
  <c r="DA22" i="13"/>
  <c r="DB22" i="13"/>
  <c r="DC22" i="13"/>
  <c r="DD22" i="13"/>
  <c r="DE22" i="13"/>
  <c r="DF22" i="13"/>
  <c r="DG22" i="13"/>
  <c r="DH22" i="13"/>
  <c r="DI22" i="13"/>
  <c r="DJ22" i="13"/>
  <c r="DK22" i="13"/>
  <c r="DL22" i="13"/>
  <c r="DM22" i="13"/>
  <c r="DN22" i="13"/>
  <c r="DO22" i="13"/>
  <c r="DP22" i="13"/>
  <c r="DQ22" i="13"/>
  <c r="DR22" i="13"/>
  <c r="DS22" i="13"/>
  <c r="DT22" i="13"/>
  <c r="DU22" i="13"/>
  <c r="DV22" i="13"/>
  <c r="DW22" i="13"/>
  <c r="DX22" i="13"/>
  <c r="DY22" i="13"/>
  <c r="CA23" i="13"/>
  <c r="CB23" i="13"/>
  <c r="CC23" i="13"/>
  <c r="CD23" i="13"/>
  <c r="CE23" i="13"/>
  <c r="CF23" i="13"/>
  <c r="CG23" i="13"/>
  <c r="CH23" i="13"/>
  <c r="CI23" i="13"/>
  <c r="CJ23" i="13"/>
  <c r="CK23" i="13"/>
  <c r="CL23" i="13"/>
  <c r="CM23" i="13"/>
  <c r="CN23" i="13"/>
  <c r="CO23" i="13"/>
  <c r="CP23" i="13"/>
  <c r="CQ23" i="13"/>
  <c r="CR23" i="13"/>
  <c r="CS23" i="13"/>
  <c r="CT23" i="13"/>
  <c r="CU23" i="13"/>
  <c r="CV23" i="13"/>
  <c r="CW23" i="13"/>
  <c r="CX23" i="13"/>
  <c r="CY23" i="13"/>
  <c r="DA23" i="13"/>
  <c r="DB23" i="13"/>
  <c r="DC23" i="13"/>
  <c r="DD23" i="13"/>
  <c r="DE23" i="13"/>
  <c r="DF23" i="13"/>
  <c r="DG23" i="13"/>
  <c r="DH23" i="13"/>
  <c r="DI23" i="13"/>
  <c r="DJ23" i="13"/>
  <c r="DK23" i="13"/>
  <c r="DL23" i="13"/>
  <c r="DM23" i="13"/>
  <c r="DN23" i="13"/>
  <c r="DO23" i="13"/>
  <c r="DP23" i="13"/>
  <c r="DQ23" i="13"/>
  <c r="DR23" i="13"/>
  <c r="DS23" i="13"/>
  <c r="DT23" i="13"/>
  <c r="DU23" i="13"/>
  <c r="DV23" i="13"/>
  <c r="DW23" i="13"/>
  <c r="DX23" i="13"/>
  <c r="DY23" i="13"/>
  <c r="CA24" i="13"/>
  <c r="CB24" i="13"/>
  <c r="CC24" i="13"/>
  <c r="CD24" i="13"/>
  <c r="CE24" i="13"/>
  <c r="CF24" i="13"/>
  <c r="CG24" i="13"/>
  <c r="CH24" i="13"/>
  <c r="CI24" i="13"/>
  <c r="CJ24" i="13"/>
  <c r="CK24" i="13"/>
  <c r="CL24" i="13"/>
  <c r="CM24" i="13"/>
  <c r="CN24" i="13"/>
  <c r="CO24" i="13"/>
  <c r="CP24" i="13"/>
  <c r="CQ24" i="13"/>
  <c r="CR24" i="13"/>
  <c r="CS24" i="13"/>
  <c r="CT24" i="13"/>
  <c r="CU24" i="13"/>
  <c r="CV24" i="13"/>
  <c r="CW24" i="13"/>
  <c r="CX24" i="13"/>
  <c r="CY24" i="13"/>
  <c r="DA24" i="13"/>
  <c r="DB24" i="13"/>
  <c r="DC24" i="13"/>
  <c r="DD24" i="13"/>
  <c r="DE24" i="13"/>
  <c r="DF24" i="13"/>
  <c r="DG24" i="13"/>
  <c r="DH24" i="13"/>
  <c r="DI24" i="13"/>
  <c r="DJ24" i="13"/>
  <c r="DK24" i="13"/>
  <c r="DL24" i="13"/>
  <c r="DM24" i="13"/>
  <c r="DN24" i="13"/>
  <c r="DO24" i="13"/>
  <c r="DP24" i="13"/>
  <c r="DQ24" i="13"/>
  <c r="DR24" i="13"/>
  <c r="DS24" i="13"/>
  <c r="DT24" i="13"/>
  <c r="DU24" i="13"/>
  <c r="DV24" i="13"/>
  <c r="DW24" i="13"/>
  <c r="DX24" i="13"/>
  <c r="DY24" i="13"/>
  <c r="CA25" i="13"/>
  <c r="CB25" i="13"/>
  <c r="CC25" i="13"/>
  <c r="CD25" i="13"/>
  <c r="CE25" i="13"/>
  <c r="CF25" i="13"/>
  <c r="CG25" i="13"/>
  <c r="CH25" i="13"/>
  <c r="CI25" i="13"/>
  <c r="CJ25" i="13"/>
  <c r="CK25" i="13"/>
  <c r="CL25" i="13"/>
  <c r="CM25" i="13"/>
  <c r="CN25" i="13"/>
  <c r="CO25" i="13"/>
  <c r="CP25" i="13"/>
  <c r="CQ25" i="13"/>
  <c r="CR25" i="13"/>
  <c r="CS25" i="13"/>
  <c r="CT25" i="13"/>
  <c r="CU25" i="13"/>
  <c r="CV25" i="13"/>
  <c r="CW25" i="13"/>
  <c r="CX25" i="13"/>
  <c r="CY25" i="13"/>
  <c r="DA25" i="13"/>
  <c r="DB25" i="13"/>
  <c r="DC25" i="13"/>
  <c r="DD25" i="13"/>
  <c r="DE25" i="13"/>
  <c r="DF25" i="13"/>
  <c r="DG25" i="13"/>
  <c r="DH25" i="13"/>
  <c r="DI25" i="13"/>
  <c r="DJ25" i="13"/>
  <c r="DK25" i="13"/>
  <c r="DL25" i="13"/>
  <c r="DM25" i="13"/>
  <c r="DN25" i="13"/>
  <c r="DO25" i="13"/>
  <c r="DP25" i="13"/>
  <c r="DQ25" i="13"/>
  <c r="DR25" i="13"/>
  <c r="DS25" i="13"/>
  <c r="DT25" i="13"/>
  <c r="DU25" i="13"/>
  <c r="DV25" i="13"/>
  <c r="DW25" i="13"/>
  <c r="DX25" i="13"/>
  <c r="DY25" i="13"/>
  <c r="CA26" i="13"/>
  <c r="CB26" i="13"/>
  <c r="CC26" i="13"/>
  <c r="CD26" i="13"/>
  <c r="CE26" i="13"/>
  <c r="CF26" i="13"/>
  <c r="CG26" i="13"/>
  <c r="CH26" i="13"/>
  <c r="CI26" i="13"/>
  <c r="CJ26" i="13"/>
  <c r="CK26" i="13"/>
  <c r="CL26" i="13"/>
  <c r="CM26" i="13"/>
  <c r="CN26" i="13"/>
  <c r="CO26" i="13"/>
  <c r="CP26" i="13"/>
  <c r="CQ26" i="13"/>
  <c r="CR26" i="13"/>
  <c r="CS26" i="13"/>
  <c r="CT26" i="13"/>
  <c r="CU26" i="13"/>
  <c r="CV26" i="13"/>
  <c r="CW26" i="13"/>
  <c r="CX26" i="13"/>
  <c r="CY26" i="13"/>
  <c r="DA26" i="13"/>
  <c r="DB26" i="13"/>
  <c r="DC26" i="13"/>
  <c r="DD26" i="13"/>
  <c r="DE26" i="13"/>
  <c r="DF26" i="13"/>
  <c r="DG26" i="13"/>
  <c r="DH26" i="13"/>
  <c r="DI26" i="13"/>
  <c r="DJ26" i="13"/>
  <c r="DK26" i="13"/>
  <c r="DL26" i="13"/>
  <c r="DM26" i="13"/>
  <c r="DN26" i="13"/>
  <c r="DO26" i="13"/>
  <c r="DP26" i="13"/>
  <c r="DQ26" i="13"/>
  <c r="DR26" i="13"/>
  <c r="DS26" i="13"/>
  <c r="DT26" i="13"/>
  <c r="DU26" i="13"/>
  <c r="DV26" i="13"/>
  <c r="DW26" i="13"/>
  <c r="DX26" i="13"/>
  <c r="DY26" i="13"/>
  <c r="CA27" i="13"/>
  <c r="CB27" i="13"/>
  <c r="CC27" i="13"/>
  <c r="CD27" i="13"/>
  <c r="CE27" i="13"/>
  <c r="CF27" i="13"/>
  <c r="CG27" i="13"/>
  <c r="CH27" i="13"/>
  <c r="CI27" i="13"/>
  <c r="CJ27" i="13"/>
  <c r="CK27" i="13"/>
  <c r="CL27" i="13"/>
  <c r="CM27" i="13"/>
  <c r="CN27" i="13"/>
  <c r="CO27" i="13"/>
  <c r="CP27" i="13"/>
  <c r="CQ27" i="13"/>
  <c r="CR27" i="13"/>
  <c r="CS27" i="13"/>
  <c r="CT27" i="13"/>
  <c r="CU27" i="13"/>
  <c r="CV27" i="13"/>
  <c r="CW27" i="13"/>
  <c r="CX27" i="13"/>
  <c r="CY27" i="13"/>
  <c r="DA27" i="13"/>
  <c r="DB27" i="13"/>
  <c r="DC27" i="13"/>
  <c r="DD27" i="13"/>
  <c r="DE27" i="13"/>
  <c r="DF27" i="13"/>
  <c r="DG27" i="13"/>
  <c r="DH27" i="13"/>
  <c r="DI27" i="13"/>
  <c r="DJ27" i="13"/>
  <c r="DK27" i="13"/>
  <c r="DL27" i="13"/>
  <c r="DM27" i="13"/>
  <c r="DN27" i="13"/>
  <c r="DO27" i="13"/>
  <c r="DP27" i="13"/>
  <c r="DQ27" i="13"/>
  <c r="DR27" i="13"/>
  <c r="DS27" i="13"/>
  <c r="DT27" i="13"/>
  <c r="DU27" i="13"/>
  <c r="DV27" i="13"/>
  <c r="DW27" i="13"/>
  <c r="DX27" i="13"/>
  <c r="DY27" i="13"/>
  <c r="CA28" i="13"/>
  <c r="CB28" i="13"/>
  <c r="CC28" i="13"/>
  <c r="CD28" i="13"/>
  <c r="CE28" i="13"/>
  <c r="CF28" i="13"/>
  <c r="CG28" i="13"/>
  <c r="CH28" i="13"/>
  <c r="CI28" i="13"/>
  <c r="CJ28" i="13"/>
  <c r="CK28" i="13"/>
  <c r="CL28" i="13"/>
  <c r="CM28" i="13"/>
  <c r="CN28" i="13"/>
  <c r="CO28" i="13"/>
  <c r="CP28" i="13"/>
  <c r="CQ28" i="13"/>
  <c r="CR28" i="13"/>
  <c r="CS28" i="13"/>
  <c r="CT28" i="13"/>
  <c r="CU28" i="13"/>
  <c r="CV28" i="13"/>
  <c r="CW28" i="13"/>
  <c r="CX28" i="13"/>
  <c r="CY28" i="13"/>
  <c r="DA28" i="13"/>
  <c r="DB28" i="13"/>
  <c r="DC28" i="13"/>
  <c r="DD28" i="13"/>
  <c r="DE28" i="13"/>
  <c r="DF28" i="13"/>
  <c r="DG28" i="13"/>
  <c r="DH28" i="13"/>
  <c r="DI28" i="13"/>
  <c r="DJ28" i="13"/>
  <c r="DK28" i="13"/>
  <c r="DL28" i="13"/>
  <c r="DM28" i="13"/>
  <c r="DN28" i="13"/>
  <c r="DO28" i="13"/>
  <c r="DP28" i="13"/>
  <c r="DQ28" i="13"/>
  <c r="DR28" i="13"/>
  <c r="DS28" i="13"/>
  <c r="DT28" i="13"/>
  <c r="DU28" i="13"/>
  <c r="DV28" i="13"/>
  <c r="DW28" i="13"/>
  <c r="DX28" i="13"/>
  <c r="DY28" i="13"/>
  <c r="CA29" i="13"/>
  <c r="CB29" i="13"/>
  <c r="CC29" i="13"/>
  <c r="CD29" i="13"/>
  <c r="CE29" i="13"/>
  <c r="CF29" i="13"/>
  <c r="CG29" i="13"/>
  <c r="CH29" i="13"/>
  <c r="CI29" i="13"/>
  <c r="CJ29" i="13"/>
  <c r="CK29" i="13"/>
  <c r="CL29" i="13"/>
  <c r="CM29" i="13"/>
  <c r="CN29" i="13"/>
  <c r="CO29" i="13"/>
  <c r="CP29" i="13"/>
  <c r="CQ29" i="13"/>
  <c r="CR29" i="13"/>
  <c r="CS29" i="13"/>
  <c r="CT29" i="13"/>
  <c r="CU29" i="13"/>
  <c r="CV29" i="13"/>
  <c r="CW29" i="13"/>
  <c r="CX29" i="13"/>
  <c r="CY29" i="13"/>
  <c r="DA29" i="13"/>
  <c r="DB29" i="13"/>
  <c r="DC29" i="13"/>
  <c r="DD29" i="13"/>
  <c r="DE29" i="13"/>
  <c r="DF29" i="13"/>
  <c r="DG29" i="13"/>
  <c r="DH29" i="13"/>
  <c r="DI29" i="13"/>
  <c r="DJ29" i="13"/>
  <c r="DK29" i="13"/>
  <c r="DL29" i="13"/>
  <c r="DM29" i="13"/>
  <c r="DN29" i="13"/>
  <c r="DO29" i="13"/>
  <c r="DP29" i="13"/>
  <c r="DQ29" i="13"/>
  <c r="DR29" i="13"/>
  <c r="DS29" i="13"/>
  <c r="DT29" i="13"/>
  <c r="DU29" i="13"/>
  <c r="DV29" i="13"/>
  <c r="DW29" i="13"/>
  <c r="DX29" i="13"/>
  <c r="DY29" i="13"/>
  <c r="CA30" i="13"/>
  <c r="CB30" i="13"/>
  <c r="CC30" i="13"/>
  <c r="CD30" i="13"/>
  <c r="CE30" i="13"/>
  <c r="CF30" i="13"/>
  <c r="CG30" i="13"/>
  <c r="CH30" i="13"/>
  <c r="CI30" i="13"/>
  <c r="CJ30" i="13"/>
  <c r="CK30" i="13"/>
  <c r="CL30" i="13"/>
  <c r="CM30" i="13"/>
  <c r="CN30" i="13"/>
  <c r="CO30" i="13"/>
  <c r="CP30" i="13"/>
  <c r="CQ30" i="13"/>
  <c r="CR30" i="13"/>
  <c r="CS30" i="13"/>
  <c r="CT30" i="13"/>
  <c r="CU30" i="13"/>
  <c r="CV30" i="13"/>
  <c r="CW30" i="13"/>
  <c r="CX30" i="13"/>
  <c r="CY30" i="13"/>
  <c r="DA30" i="13"/>
  <c r="DB30" i="13"/>
  <c r="DC30" i="13"/>
  <c r="DD30" i="13"/>
  <c r="DE30" i="13"/>
  <c r="DF30" i="13"/>
  <c r="DG30" i="13"/>
  <c r="DH30" i="13"/>
  <c r="DI30" i="13"/>
  <c r="DJ30" i="13"/>
  <c r="DK30" i="13"/>
  <c r="DL30" i="13"/>
  <c r="DM30" i="13"/>
  <c r="DN30" i="13"/>
  <c r="DO30" i="13"/>
  <c r="DP30" i="13"/>
  <c r="DQ30" i="13"/>
  <c r="DR30" i="13"/>
  <c r="DS30" i="13"/>
  <c r="DT30" i="13"/>
  <c r="DU30" i="13"/>
  <c r="DV30" i="13"/>
  <c r="DW30" i="13"/>
  <c r="DX30" i="13"/>
  <c r="DY30" i="13"/>
  <c r="CA31" i="13"/>
  <c r="CB31" i="13"/>
  <c r="CC31" i="13"/>
  <c r="CD31" i="13"/>
  <c r="CE31" i="13"/>
  <c r="CF31" i="13"/>
  <c r="CG31" i="13"/>
  <c r="CH31" i="13"/>
  <c r="CI31" i="13"/>
  <c r="CJ31" i="13"/>
  <c r="CK31" i="13"/>
  <c r="CL31" i="13"/>
  <c r="CM31" i="13"/>
  <c r="CN31" i="13"/>
  <c r="CO31" i="13"/>
  <c r="CP31" i="13"/>
  <c r="CQ31" i="13"/>
  <c r="CR31" i="13"/>
  <c r="CS31" i="13"/>
  <c r="CT31" i="13"/>
  <c r="CU31" i="13"/>
  <c r="CV31" i="13"/>
  <c r="CW31" i="13"/>
  <c r="CX31" i="13"/>
  <c r="CY31" i="13"/>
  <c r="DA31" i="13"/>
  <c r="DB31" i="13"/>
  <c r="DC31" i="13"/>
  <c r="DD31" i="13"/>
  <c r="DE31" i="13"/>
  <c r="DF31" i="13"/>
  <c r="DG31" i="13"/>
  <c r="DH31" i="13"/>
  <c r="DI31" i="13"/>
  <c r="DJ31" i="13"/>
  <c r="DK31" i="13"/>
  <c r="DL31" i="13"/>
  <c r="DM31" i="13"/>
  <c r="DN31" i="13"/>
  <c r="DO31" i="13"/>
  <c r="DP31" i="13"/>
  <c r="DQ31" i="13"/>
  <c r="DR31" i="13"/>
  <c r="DS31" i="13"/>
  <c r="DT31" i="13"/>
  <c r="DU31" i="13"/>
  <c r="DV31" i="13"/>
  <c r="DW31" i="13"/>
  <c r="DX31" i="13"/>
  <c r="DY31" i="13"/>
  <c r="CA32" i="13"/>
  <c r="CB32" i="13"/>
  <c r="CC32" i="13"/>
  <c r="CD32" i="13"/>
  <c r="CE32" i="13"/>
  <c r="CF32" i="13"/>
  <c r="CG32" i="13"/>
  <c r="CH32" i="13"/>
  <c r="CI32" i="13"/>
  <c r="CJ32" i="13"/>
  <c r="CK32" i="13"/>
  <c r="CL32" i="13"/>
  <c r="CM32" i="13"/>
  <c r="CN32" i="13"/>
  <c r="CO32" i="13"/>
  <c r="CP32" i="13"/>
  <c r="CQ32" i="13"/>
  <c r="CR32" i="13"/>
  <c r="CS32" i="13"/>
  <c r="CT32" i="13"/>
  <c r="CU32" i="13"/>
  <c r="CV32" i="13"/>
  <c r="CW32" i="13"/>
  <c r="CX32" i="13"/>
  <c r="CY32" i="13"/>
  <c r="DA32" i="13"/>
  <c r="DB32" i="13"/>
  <c r="DC32" i="13"/>
  <c r="DD32" i="13"/>
  <c r="DE32" i="13"/>
  <c r="DF32" i="13"/>
  <c r="DG32" i="13"/>
  <c r="DH32" i="13"/>
  <c r="DI32" i="13"/>
  <c r="DJ32" i="13"/>
  <c r="DK32" i="13"/>
  <c r="DL32" i="13"/>
  <c r="DM32" i="13"/>
  <c r="DN32" i="13"/>
  <c r="DO32" i="13"/>
  <c r="DP32" i="13"/>
  <c r="DQ32" i="13"/>
  <c r="DR32" i="13"/>
  <c r="DS32" i="13"/>
  <c r="DT32" i="13"/>
  <c r="DU32" i="13"/>
  <c r="DV32" i="13"/>
  <c r="DW32" i="13"/>
  <c r="DX32" i="13"/>
  <c r="DY32" i="13"/>
  <c r="CA33" i="13"/>
  <c r="CB33" i="13"/>
  <c r="CC33" i="13"/>
  <c r="CD33" i="13"/>
  <c r="CE33" i="13"/>
  <c r="CF33" i="13"/>
  <c r="CG33" i="13"/>
  <c r="CH33" i="13"/>
  <c r="CI33" i="13"/>
  <c r="CJ33" i="13"/>
  <c r="CK33" i="13"/>
  <c r="CL33" i="13"/>
  <c r="CM33" i="13"/>
  <c r="CN33" i="13"/>
  <c r="CO33" i="13"/>
  <c r="CP33" i="13"/>
  <c r="CQ33" i="13"/>
  <c r="CR33" i="13"/>
  <c r="CS33" i="13"/>
  <c r="CT33" i="13"/>
  <c r="CU33" i="13"/>
  <c r="CV33" i="13"/>
  <c r="CW33" i="13"/>
  <c r="CX33" i="13"/>
  <c r="CY33" i="13"/>
  <c r="DA33" i="13"/>
  <c r="DB33" i="13"/>
  <c r="DC33" i="13"/>
  <c r="DD33" i="13"/>
  <c r="DE33" i="13"/>
  <c r="DF33" i="13"/>
  <c r="DG33" i="13"/>
  <c r="DH33" i="13"/>
  <c r="DI33" i="13"/>
  <c r="DJ33" i="13"/>
  <c r="DK33" i="13"/>
  <c r="DL33" i="13"/>
  <c r="DM33" i="13"/>
  <c r="DN33" i="13"/>
  <c r="DO33" i="13"/>
  <c r="DP33" i="13"/>
  <c r="DQ33" i="13"/>
  <c r="DR33" i="13"/>
  <c r="DS33" i="13"/>
  <c r="DT33" i="13"/>
  <c r="DU33" i="13"/>
  <c r="DV33" i="13"/>
  <c r="DW33" i="13"/>
  <c r="DX33" i="13"/>
  <c r="DY33" i="13"/>
  <c r="CA34" i="13"/>
  <c r="CB34" i="13"/>
  <c r="CC34" i="13"/>
  <c r="CD34" i="13"/>
  <c r="CE34" i="13"/>
  <c r="CF34" i="13"/>
  <c r="CG34" i="13"/>
  <c r="CH34" i="13"/>
  <c r="CI34" i="13"/>
  <c r="CJ34" i="13"/>
  <c r="CK34" i="13"/>
  <c r="CL34" i="13"/>
  <c r="CM34" i="13"/>
  <c r="CN34" i="13"/>
  <c r="CO34" i="13"/>
  <c r="CP34" i="13"/>
  <c r="CQ34" i="13"/>
  <c r="CR34" i="13"/>
  <c r="CS34" i="13"/>
  <c r="CT34" i="13"/>
  <c r="CU34" i="13"/>
  <c r="CV34" i="13"/>
  <c r="CW34" i="13"/>
  <c r="CX34" i="13"/>
  <c r="CY34" i="13"/>
  <c r="DA34" i="13"/>
  <c r="DB34" i="13"/>
  <c r="DC34" i="13"/>
  <c r="DD34" i="13"/>
  <c r="DE34" i="13"/>
  <c r="DF34" i="13"/>
  <c r="DG34" i="13"/>
  <c r="DH34" i="13"/>
  <c r="DI34" i="13"/>
  <c r="DJ34" i="13"/>
  <c r="DK34" i="13"/>
  <c r="DL34" i="13"/>
  <c r="DM34" i="13"/>
  <c r="DN34" i="13"/>
  <c r="DO34" i="13"/>
  <c r="DP34" i="13"/>
  <c r="DQ34" i="13"/>
  <c r="DR34" i="13"/>
  <c r="DS34" i="13"/>
  <c r="DT34" i="13"/>
  <c r="DU34" i="13"/>
  <c r="DV34" i="13"/>
  <c r="DW34" i="13"/>
  <c r="DX34" i="13"/>
  <c r="DY34" i="13"/>
  <c r="CA35" i="13"/>
  <c r="CB35" i="13"/>
  <c r="CC35" i="13"/>
  <c r="CD35" i="13"/>
  <c r="CE35" i="13"/>
  <c r="CF35" i="13"/>
  <c r="CG35" i="13"/>
  <c r="CH35" i="13"/>
  <c r="CI35" i="13"/>
  <c r="CJ35" i="13"/>
  <c r="CK35" i="13"/>
  <c r="CL35" i="13"/>
  <c r="CM35" i="13"/>
  <c r="CN35" i="13"/>
  <c r="CO35" i="13"/>
  <c r="CP35" i="13"/>
  <c r="CQ35" i="13"/>
  <c r="CR35" i="13"/>
  <c r="CS35" i="13"/>
  <c r="CT35" i="13"/>
  <c r="CU35" i="13"/>
  <c r="CV35" i="13"/>
  <c r="CW35" i="13"/>
  <c r="CX35" i="13"/>
  <c r="CY35" i="13"/>
  <c r="DA35" i="13"/>
  <c r="DB35" i="13"/>
  <c r="DC35" i="13"/>
  <c r="DD35" i="13"/>
  <c r="DE35" i="13"/>
  <c r="DF35" i="13"/>
  <c r="DG35" i="13"/>
  <c r="DH35" i="13"/>
  <c r="DI35" i="13"/>
  <c r="DJ35" i="13"/>
  <c r="DK35" i="13"/>
  <c r="DL35" i="13"/>
  <c r="DM35" i="13"/>
  <c r="DN35" i="13"/>
  <c r="DO35" i="13"/>
  <c r="DP35" i="13"/>
  <c r="DQ35" i="13"/>
  <c r="DR35" i="13"/>
  <c r="DS35" i="13"/>
  <c r="DT35" i="13"/>
  <c r="DU35" i="13"/>
  <c r="DV35" i="13"/>
  <c r="DW35" i="13"/>
  <c r="DX35" i="13"/>
  <c r="DY35" i="13"/>
  <c r="CA36" i="13"/>
  <c r="CB36" i="13"/>
  <c r="CC36" i="13"/>
  <c r="CD36" i="13"/>
  <c r="CE36" i="13"/>
  <c r="CF36" i="13"/>
  <c r="CG36" i="13"/>
  <c r="CH36" i="13"/>
  <c r="CI36" i="13"/>
  <c r="CJ36" i="13"/>
  <c r="CK36" i="13"/>
  <c r="CL36" i="13"/>
  <c r="CM36" i="13"/>
  <c r="CN36" i="13"/>
  <c r="CO36" i="13"/>
  <c r="CP36" i="13"/>
  <c r="CQ36" i="13"/>
  <c r="CR36" i="13"/>
  <c r="CS36" i="13"/>
  <c r="CT36" i="13"/>
  <c r="CU36" i="13"/>
  <c r="CV36" i="13"/>
  <c r="CW36" i="13"/>
  <c r="CX36" i="13"/>
  <c r="CY36" i="13"/>
  <c r="DA36" i="13"/>
  <c r="DB36" i="13"/>
  <c r="DC36" i="13"/>
  <c r="DD36" i="13"/>
  <c r="DE36" i="13"/>
  <c r="DF36" i="13"/>
  <c r="DG36" i="13"/>
  <c r="DH36" i="13"/>
  <c r="DI36" i="13"/>
  <c r="DJ36" i="13"/>
  <c r="DK36" i="13"/>
  <c r="DL36" i="13"/>
  <c r="DM36" i="13"/>
  <c r="DN36" i="13"/>
  <c r="DO36" i="13"/>
  <c r="DP36" i="13"/>
  <c r="DQ36" i="13"/>
  <c r="DR36" i="13"/>
  <c r="DS36" i="13"/>
  <c r="DT36" i="13"/>
  <c r="DU36" i="13"/>
  <c r="DV36" i="13"/>
  <c r="DW36" i="13"/>
  <c r="DX36" i="13"/>
  <c r="DY36" i="13"/>
  <c r="CA37" i="13"/>
  <c r="CB37" i="13"/>
  <c r="CC37" i="13"/>
  <c r="CD37" i="13"/>
  <c r="CE37" i="13"/>
  <c r="CF37" i="13"/>
  <c r="CG37" i="13"/>
  <c r="CH37" i="13"/>
  <c r="CI37" i="13"/>
  <c r="CJ37" i="13"/>
  <c r="CK37" i="13"/>
  <c r="CL37" i="13"/>
  <c r="CM37" i="13"/>
  <c r="CN37" i="13"/>
  <c r="CO37" i="13"/>
  <c r="CP37" i="13"/>
  <c r="CQ37" i="13"/>
  <c r="CR37" i="13"/>
  <c r="CS37" i="13"/>
  <c r="CT37" i="13"/>
  <c r="CU37" i="13"/>
  <c r="CV37" i="13"/>
  <c r="CW37" i="13"/>
  <c r="CX37" i="13"/>
  <c r="CY37" i="13"/>
  <c r="DA37" i="13"/>
  <c r="DB37" i="13"/>
  <c r="DC37" i="13"/>
  <c r="DD37" i="13"/>
  <c r="DE37" i="13"/>
  <c r="DF37" i="13"/>
  <c r="DG37" i="13"/>
  <c r="DH37" i="13"/>
  <c r="DI37" i="13"/>
  <c r="DJ37" i="13"/>
  <c r="DK37" i="13"/>
  <c r="DL37" i="13"/>
  <c r="DM37" i="13"/>
  <c r="DN37" i="13"/>
  <c r="DO37" i="13"/>
  <c r="DP37" i="13"/>
  <c r="DQ37" i="13"/>
  <c r="DR37" i="13"/>
  <c r="DS37" i="13"/>
  <c r="DT37" i="13"/>
  <c r="DU37" i="13"/>
  <c r="DV37" i="13"/>
  <c r="DW37" i="13"/>
  <c r="DX37" i="13"/>
  <c r="DY37" i="13"/>
  <c r="CA38" i="13"/>
  <c r="CB38" i="13"/>
  <c r="CC38" i="13"/>
  <c r="CD38" i="13"/>
  <c r="CE38" i="13"/>
  <c r="CF38" i="13"/>
  <c r="CG38" i="13"/>
  <c r="CH38" i="13"/>
  <c r="CI38" i="13"/>
  <c r="CJ38" i="13"/>
  <c r="CK38" i="13"/>
  <c r="CL38" i="13"/>
  <c r="CM38" i="13"/>
  <c r="CN38" i="13"/>
  <c r="CO38" i="13"/>
  <c r="CP38" i="13"/>
  <c r="CQ38" i="13"/>
  <c r="CR38" i="13"/>
  <c r="CS38" i="13"/>
  <c r="CT38" i="13"/>
  <c r="CU38" i="13"/>
  <c r="CV38" i="13"/>
  <c r="CW38" i="13"/>
  <c r="CX38" i="13"/>
  <c r="CY38" i="13"/>
  <c r="DA38" i="13"/>
  <c r="DB38" i="13"/>
  <c r="DC38" i="13"/>
  <c r="DD38" i="13"/>
  <c r="DE38" i="13"/>
  <c r="DF38" i="13"/>
  <c r="DG38" i="13"/>
  <c r="DH38" i="13"/>
  <c r="DI38" i="13"/>
  <c r="DJ38" i="13"/>
  <c r="DK38" i="13"/>
  <c r="DL38" i="13"/>
  <c r="DM38" i="13"/>
  <c r="DN38" i="13"/>
  <c r="DO38" i="13"/>
  <c r="DP38" i="13"/>
  <c r="DQ38" i="13"/>
  <c r="DR38" i="13"/>
  <c r="DS38" i="13"/>
  <c r="DT38" i="13"/>
  <c r="DU38" i="13"/>
  <c r="DV38" i="13"/>
  <c r="DW38" i="13"/>
  <c r="DX38" i="13"/>
  <c r="DY38" i="13"/>
  <c r="CA39" i="13"/>
  <c r="CB39" i="13"/>
  <c r="CC39" i="13"/>
  <c r="CD39" i="13"/>
  <c r="CE39" i="13"/>
  <c r="CF39" i="13"/>
  <c r="CG39" i="13"/>
  <c r="CH39" i="13"/>
  <c r="CI39" i="13"/>
  <c r="CJ39" i="13"/>
  <c r="CK39" i="13"/>
  <c r="CL39" i="13"/>
  <c r="CM39" i="13"/>
  <c r="CN39" i="13"/>
  <c r="CO39" i="13"/>
  <c r="CP39" i="13"/>
  <c r="CQ39" i="13"/>
  <c r="CR39" i="13"/>
  <c r="CS39" i="13"/>
  <c r="CT39" i="13"/>
  <c r="CU39" i="13"/>
  <c r="CV39" i="13"/>
  <c r="CW39" i="13"/>
  <c r="CX39" i="13"/>
  <c r="CY39" i="13"/>
  <c r="DA39" i="13"/>
  <c r="DB39" i="13"/>
  <c r="DC39" i="13"/>
  <c r="DD39" i="13"/>
  <c r="DE39" i="13"/>
  <c r="DF39" i="13"/>
  <c r="DG39" i="13"/>
  <c r="DH39" i="13"/>
  <c r="DI39" i="13"/>
  <c r="DJ39" i="13"/>
  <c r="DK39" i="13"/>
  <c r="DL39" i="13"/>
  <c r="DM39" i="13"/>
  <c r="DN39" i="13"/>
  <c r="DO39" i="13"/>
  <c r="DP39" i="13"/>
  <c r="DQ39" i="13"/>
  <c r="DR39" i="13"/>
  <c r="DS39" i="13"/>
  <c r="DT39" i="13"/>
  <c r="DU39" i="13"/>
  <c r="DV39" i="13"/>
  <c r="DW39" i="13"/>
  <c r="DX39" i="13"/>
  <c r="DY39" i="13"/>
  <c r="CA40" i="13"/>
  <c r="CB40" i="13"/>
  <c r="CC40" i="13"/>
  <c r="CD40" i="13"/>
  <c r="CE40" i="13"/>
  <c r="CF40" i="13"/>
  <c r="CG40" i="13"/>
  <c r="CH40" i="13"/>
  <c r="CI40" i="13"/>
  <c r="CJ40" i="13"/>
  <c r="CK40" i="13"/>
  <c r="CL40" i="13"/>
  <c r="CM40" i="13"/>
  <c r="CN40" i="13"/>
  <c r="CO40" i="13"/>
  <c r="CP40" i="13"/>
  <c r="CQ40" i="13"/>
  <c r="CR40" i="13"/>
  <c r="CS40" i="13"/>
  <c r="CT40" i="13"/>
  <c r="CU40" i="13"/>
  <c r="CV40" i="13"/>
  <c r="CW40" i="13"/>
  <c r="CX40" i="13"/>
  <c r="CY40" i="13"/>
  <c r="DA40" i="13"/>
  <c r="DB40" i="13"/>
  <c r="DC40" i="13"/>
  <c r="DD40" i="13"/>
  <c r="DE40" i="13"/>
  <c r="DF40" i="13"/>
  <c r="DG40" i="13"/>
  <c r="DH40" i="13"/>
  <c r="DI40" i="13"/>
  <c r="DJ40" i="13"/>
  <c r="DK40" i="13"/>
  <c r="DL40" i="13"/>
  <c r="DM40" i="13"/>
  <c r="DN40" i="13"/>
  <c r="DO40" i="13"/>
  <c r="DP40" i="13"/>
  <c r="DQ40" i="13"/>
  <c r="DR40" i="13"/>
  <c r="DS40" i="13"/>
  <c r="DT40" i="13"/>
  <c r="DU40" i="13"/>
  <c r="DV40" i="13"/>
  <c r="DW40" i="13"/>
  <c r="DX40" i="13"/>
  <c r="DY40" i="13"/>
  <c r="CA41" i="13"/>
  <c r="CB41" i="13"/>
  <c r="CC41" i="13"/>
  <c r="CD41" i="13"/>
  <c r="CE41" i="13"/>
  <c r="CF41" i="13"/>
  <c r="CG41" i="13"/>
  <c r="CH41" i="13"/>
  <c r="CI41" i="13"/>
  <c r="CJ41" i="13"/>
  <c r="CK41" i="13"/>
  <c r="CL41" i="13"/>
  <c r="CM41" i="13"/>
  <c r="CN41" i="13"/>
  <c r="CO41" i="13"/>
  <c r="CP41" i="13"/>
  <c r="CQ41" i="13"/>
  <c r="CR41" i="13"/>
  <c r="CS41" i="13"/>
  <c r="CT41" i="13"/>
  <c r="CU41" i="13"/>
  <c r="CV41" i="13"/>
  <c r="CW41" i="13"/>
  <c r="CX41" i="13"/>
  <c r="CY41" i="13"/>
  <c r="DA41" i="13"/>
  <c r="DB41" i="13"/>
  <c r="DC41" i="13"/>
  <c r="DD41" i="13"/>
  <c r="DE41" i="13"/>
  <c r="DF41" i="13"/>
  <c r="DG41" i="13"/>
  <c r="DH41" i="13"/>
  <c r="DI41" i="13"/>
  <c r="DJ41" i="13"/>
  <c r="DK41" i="13"/>
  <c r="DL41" i="13"/>
  <c r="DM41" i="13"/>
  <c r="DN41" i="13"/>
  <c r="DO41" i="13"/>
  <c r="DP41" i="13"/>
  <c r="DQ41" i="13"/>
  <c r="DR41" i="13"/>
  <c r="DS41" i="13"/>
  <c r="DT41" i="13"/>
  <c r="DU41" i="13"/>
  <c r="DV41" i="13"/>
  <c r="DW41" i="13"/>
  <c r="DX41" i="13"/>
  <c r="DY41" i="13"/>
  <c r="CA42" i="13"/>
  <c r="CB42" i="13"/>
  <c r="CC42" i="13"/>
  <c r="CD42" i="13"/>
  <c r="CE42" i="13"/>
  <c r="CF42" i="13"/>
  <c r="CG42" i="13"/>
  <c r="CH42" i="13"/>
  <c r="CI42" i="13"/>
  <c r="CJ42" i="13"/>
  <c r="CK42" i="13"/>
  <c r="CL42" i="13"/>
  <c r="CM42" i="13"/>
  <c r="CN42" i="13"/>
  <c r="CO42" i="13"/>
  <c r="CP42" i="13"/>
  <c r="CQ42" i="13"/>
  <c r="CR42" i="13"/>
  <c r="CS42" i="13"/>
  <c r="CT42" i="13"/>
  <c r="CU42" i="13"/>
  <c r="CV42" i="13"/>
  <c r="CW42" i="13"/>
  <c r="CX42" i="13"/>
  <c r="CY42" i="13"/>
  <c r="DA42" i="13"/>
  <c r="DB42" i="13"/>
  <c r="DC42" i="13"/>
  <c r="DD42" i="13"/>
  <c r="DE42" i="13"/>
  <c r="DF42" i="13"/>
  <c r="DG42" i="13"/>
  <c r="DH42" i="13"/>
  <c r="DI42" i="13"/>
  <c r="DJ42" i="13"/>
  <c r="DK42" i="13"/>
  <c r="DL42" i="13"/>
  <c r="DM42" i="13"/>
  <c r="DN42" i="13"/>
  <c r="DO42" i="13"/>
  <c r="DP42" i="13"/>
  <c r="DQ42" i="13"/>
  <c r="DR42" i="13"/>
  <c r="DS42" i="13"/>
  <c r="DT42" i="13"/>
  <c r="DU42" i="13"/>
  <c r="DV42" i="13"/>
  <c r="DW42" i="13"/>
  <c r="DX42" i="13"/>
  <c r="DY42" i="13"/>
  <c r="CA43" i="13"/>
  <c r="CB43" i="13"/>
  <c r="CC43" i="13"/>
  <c r="CD43" i="13"/>
  <c r="CE43" i="13"/>
  <c r="CF43" i="13"/>
  <c r="CG43" i="13"/>
  <c r="CH43" i="13"/>
  <c r="CI43" i="13"/>
  <c r="CJ43" i="13"/>
  <c r="CK43" i="13"/>
  <c r="CL43" i="13"/>
  <c r="CM43" i="13"/>
  <c r="CN43" i="13"/>
  <c r="CO43" i="13"/>
  <c r="CP43" i="13"/>
  <c r="CQ43" i="13"/>
  <c r="CR43" i="13"/>
  <c r="CS43" i="13"/>
  <c r="CT43" i="13"/>
  <c r="CU43" i="13"/>
  <c r="CV43" i="13"/>
  <c r="CW43" i="13"/>
  <c r="CX43" i="13"/>
  <c r="CY43" i="13"/>
  <c r="DA43" i="13"/>
  <c r="DB43" i="13"/>
  <c r="DC43" i="13"/>
  <c r="DD43" i="13"/>
  <c r="DE43" i="13"/>
  <c r="DF43" i="13"/>
  <c r="DG43" i="13"/>
  <c r="DH43" i="13"/>
  <c r="DI43" i="13"/>
  <c r="DJ43" i="13"/>
  <c r="DK43" i="13"/>
  <c r="DL43" i="13"/>
  <c r="DM43" i="13"/>
  <c r="DN43" i="13"/>
  <c r="DO43" i="13"/>
  <c r="DP43" i="13"/>
  <c r="DQ43" i="13"/>
  <c r="DR43" i="13"/>
  <c r="DS43" i="13"/>
  <c r="DT43" i="13"/>
  <c r="DU43" i="13"/>
  <c r="DV43" i="13"/>
  <c r="DW43" i="13"/>
  <c r="DX43" i="13"/>
  <c r="DY43" i="13"/>
  <c r="F36" i="1"/>
  <c r="F15" i="1"/>
  <c r="F16" i="1"/>
  <c r="F29" i="1"/>
  <c r="F30" i="1"/>
  <c r="F31" i="1"/>
  <c r="S1056" i="1" s="1"/>
  <c r="F27" i="1"/>
  <c r="F28" i="1"/>
  <c r="F21" i="1"/>
  <c r="R1032" i="1"/>
  <c r="AG1033" i="1"/>
  <c r="AY1033" i="1"/>
  <c r="BK1033" i="1"/>
  <c r="AG1034" i="1"/>
  <c r="AY1034" i="1"/>
  <c r="BK1034" i="1"/>
  <c r="AG1035" i="1"/>
  <c r="AY1035" i="1"/>
  <c r="BK1035" i="1"/>
  <c r="AG1036" i="1"/>
  <c r="AY1036" i="1"/>
  <c r="BK1036" i="1"/>
  <c r="AG1037" i="1"/>
  <c r="AY1037" i="1"/>
  <c r="BK1037" i="1"/>
  <c r="AG1038" i="1"/>
  <c r="AY1038" i="1"/>
  <c r="BK1038" i="1"/>
  <c r="AG1039" i="1"/>
  <c r="AY1039" i="1"/>
  <c r="BK1039" i="1"/>
  <c r="AG1040" i="1"/>
  <c r="AY1040" i="1"/>
  <c r="BK1040" i="1"/>
  <c r="AG1041" i="1"/>
  <c r="BK1041" i="1"/>
  <c r="AG1042" i="1"/>
  <c r="BK1042" i="1"/>
  <c r="AG1043" i="1"/>
  <c r="BK1043" i="1"/>
  <c r="AG1044" i="1"/>
  <c r="BK1044" i="1"/>
  <c r="AG1045" i="1"/>
  <c r="BK1045" i="1"/>
  <c r="AG1046" i="1"/>
  <c r="BK1046" i="1"/>
  <c r="AG1047" i="1"/>
  <c r="BK1047" i="1"/>
  <c r="AG1048" i="1"/>
  <c r="AY1048" i="1"/>
  <c r="BK1048" i="1"/>
  <c r="AG1049" i="1"/>
  <c r="AY1049" i="1"/>
  <c r="BK1049" i="1"/>
  <c r="AG1050" i="1"/>
  <c r="AY1050" i="1"/>
  <c r="BK1050" i="1"/>
  <c r="AG1051" i="1"/>
  <c r="AY1051" i="1"/>
  <c r="BK1051" i="1"/>
  <c r="AG1052" i="1"/>
  <c r="AY1052" i="1"/>
  <c r="BK1052" i="1"/>
  <c r="AG1053" i="1"/>
  <c r="AY1053" i="1"/>
  <c r="BK1053" i="1"/>
  <c r="AG1054" i="1"/>
  <c r="BK1054" i="1"/>
  <c r="AG1055" i="1"/>
  <c r="BK1055" i="1"/>
  <c r="AG1056" i="1"/>
  <c r="BK1056" i="1"/>
  <c r="AG1057" i="1"/>
  <c r="BK1057" i="1"/>
  <c r="AG1058" i="1"/>
  <c r="BK1058" i="1"/>
  <c r="AG1059" i="1"/>
  <c r="BK1059" i="1"/>
  <c r="AG1060" i="1"/>
  <c r="BK1060" i="1"/>
  <c r="AG1061" i="1"/>
  <c r="AY1061" i="1"/>
  <c r="BK1061" i="1"/>
  <c r="AG1062" i="1"/>
  <c r="AY1062" i="1"/>
  <c r="BK1062" i="1"/>
  <c r="AG1063" i="1"/>
  <c r="AY1063" i="1"/>
  <c r="BK1063" i="1"/>
  <c r="AG1064" i="1"/>
  <c r="AY1064" i="1"/>
  <c r="BK1064" i="1"/>
  <c r="AG1065" i="1"/>
  <c r="AY1065" i="1"/>
  <c r="BK1065" i="1"/>
  <c r="AG1066" i="1"/>
  <c r="AY1066" i="1"/>
  <c r="BK1066" i="1"/>
  <c r="AG1067" i="1"/>
  <c r="AY1067" i="1"/>
  <c r="BK1067" i="1"/>
  <c r="AG1068" i="1"/>
  <c r="AY1068" i="1"/>
  <c r="BK1068" i="1"/>
  <c r="AG1069" i="1"/>
  <c r="AY1069" i="1"/>
  <c r="BK1069" i="1"/>
  <c r="AG1070" i="1"/>
  <c r="AY1070" i="1"/>
  <c r="BK1070" i="1"/>
  <c r="AG1071" i="1"/>
  <c r="AY1071" i="1"/>
  <c r="BK1071" i="1"/>
  <c r="AG1072" i="1"/>
  <c r="BK1072" i="1"/>
  <c r="AG1073" i="1"/>
  <c r="BK1073" i="1"/>
  <c r="AG1074" i="1"/>
  <c r="BK1074" i="1"/>
  <c r="AG1075" i="1"/>
  <c r="BK1075" i="1"/>
  <c r="AG1076" i="1"/>
  <c r="BK1076" i="1"/>
  <c r="AG1077" i="1"/>
  <c r="BK1077" i="1"/>
  <c r="BK1078" i="1"/>
  <c r="AY1079" i="1"/>
  <c r="BK1079" i="1"/>
  <c r="AY1080" i="1"/>
  <c r="AY1081" i="1"/>
  <c r="AY1082" i="1"/>
  <c r="AY1083" i="1"/>
  <c r="DA1083" i="1"/>
  <c r="AY1084" i="1"/>
  <c r="DA1084" i="1"/>
  <c r="AG1085" i="1"/>
  <c r="AY1085" i="1"/>
  <c r="DA1085" i="1"/>
  <c r="AG1086" i="1"/>
  <c r="AY1086" i="1"/>
  <c r="DA1086" i="1"/>
  <c r="AG1087" i="1"/>
  <c r="AY1087" i="1"/>
  <c r="DA1087" i="1"/>
  <c r="AG1088" i="1"/>
  <c r="AY1088" i="1"/>
  <c r="DA1088" i="1"/>
  <c r="AG1089" i="1"/>
  <c r="AY1089" i="1"/>
  <c r="DA1089" i="1"/>
  <c r="AG1090" i="1"/>
  <c r="AY1090" i="1"/>
  <c r="DA1090" i="1"/>
  <c r="AG1091" i="1"/>
  <c r="AY1091" i="1"/>
  <c r="DA1091" i="1"/>
  <c r="AG1092" i="1"/>
  <c r="AY1092" i="1"/>
  <c r="DA1092" i="1"/>
  <c r="AG1093" i="1"/>
  <c r="AY1093" i="1"/>
  <c r="DA1093" i="1"/>
  <c r="AG1094" i="1"/>
  <c r="AY1094" i="1"/>
  <c r="DA1094" i="1"/>
  <c r="AG1095" i="1"/>
  <c r="AY1095" i="1"/>
  <c r="DA1095" i="1"/>
  <c r="AG1096" i="1"/>
  <c r="AY1096" i="1"/>
  <c r="DA1096" i="1"/>
  <c r="AG1097" i="1"/>
  <c r="AY1097" i="1"/>
  <c r="DA1097" i="1"/>
  <c r="AG1098" i="1"/>
  <c r="AY1098" i="1"/>
  <c r="DA1098" i="1"/>
  <c r="AG1099" i="1"/>
  <c r="AY1099" i="1"/>
  <c r="DA1099" i="1"/>
  <c r="AG1100" i="1"/>
  <c r="AY1100" i="1"/>
  <c r="DA1100" i="1"/>
  <c r="AG1101" i="1"/>
  <c r="AS1101" i="1"/>
  <c r="AY1101" i="1"/>
  <c r="DA1101" i="1"/>
  <c r="AG1102" i="1"/>
  <c r="AS1102" i="1"/>
  <c r="AY1102" i="1"/>
  <c r="DA1102" i="1"/>
  <c r="AG1103" i="1"/>
  <c r="AM1103" i="1"/>
  <c r="AS1103" i="1"/>
  <c r="AY1103" i="1"/>
  <c r="DA1103" i="1"/>
  <c r="AG1104" i="1"/>
  <c r="AM1104" i="1"/>
  <c r="AS1104" i="1"/>
  <c r="AY1104" i="1"/>
  <c r="DA1104" i="1"/>
  <c r="AG1105" i="1"/>
  <c r="AM1105" i="1"/>
  <c r="AS1105" i="1"/>
  <c r="AY1105" i="1"/>
  <c r="DA1105" i="1"/>
  <c r="AG1106" i="1"/>
  <c r="AM1106" i="1"/>
  <c r="AS1106" i="1"/>
  <c r="AY1106" i="1"/>
  <c r="DA1106" i="1"/>
  <c r="AG1107" i="1"/>
  <c r="AM1107" i="1"/>
  <c r="AS1107" i="1"/>
  <c r="AY1107" i="1"/>
  <c r="DA1107" i="1"/>
  <c r="AG1108" i="1"/>
  <c r="AM1108" i="1"/>
  <c r="AS1108" i="1"/>
  <c r="AY1108" i="1"/>
  <c r="DA1108" i="1"/>
  <c r="AG1109" i="1"/>
  <c r="AM1109" i="1"/>
  <c r="AS1109" i="1"/>
  <c r="AY1109" i="1"/>
  <c r="DA1109" i="1"/>
  <c r="AG1110" i="1"/>
  <c r="AM1110" i="1"/>
  <c r="AS1110" i="1"/>
  <c r="AY1110" i="1"/>
  <c r="DA1110" i="1"/>
  <c r="AG1111" i="1"/>
  <c r="AM1111" i="1"/>
  <c r="AS1111" i="1"/>
  <c r="AY1111" i="1"/>
  <c r="DA1111" i="1"/>
  <c r="AG1112" i="1"/>
  <c r="AM1112" i="1"/>
  <c r="AS1112" i="1"/>
  <c r="AY1112" i="1"/>
  <c r="DA1112" i="1"/>
  <c r="AG1113" i="1"/>
  <c r="AM1113" i="1"/>
  <c r="AS1113" i="1"/>
  <c r="DA1113" i="1"/>
  <c r="AG1114" i="1"/>
  <c r="AM1114" i="1"/>
  <c r="AS1114" i="1"/>
  <c r="DA1114" i="1"/>
  <c r="AG1115" i="1"/>
  <c r="AM1115" i="1"/>
  <c r="AS1115" i="1"/>
  <c r="DA1115" i="1"/>
  <c r="AG1116" i="1"/>
  <c r="AM1116" i="1"/>
  <c r="AS1116" i="1"/>
  <c r="DA1116" i="1"/>
  <c r="AG1117" i="1"/>
  <c r="AM1117" i="1"/>
  <c r="AS1117" i="1"/>
  <c r="DA1117" i="1"/>
  <c r="AG1118" i="1"/>
  <c r="AM1118" i="1"/>
  <c r="AS1118" i="1"/>
  <c r="DA1118" i="1"/>
  <c r="AG1119" i="1"/>
  <c r="AM1119" i="1"/>
  <c r="AS1119" i="1"/>
  <c r="DA1119" i="1"/>
  <c r="AG1120" i="1"/>
  <c r="AM1120" i="1"/>
  <c r="AS1120" i="1"/>
  <c r="AY1120" i="1"/>
  <c r="DA1120" i="1"/>
  <c r="AG1121" i="1"/>
  <c r="AM1121" i="1"/>
  <c r="AS1121" i="1"/>
  <c r="AY1121" i="1"/>
  <c r="DA1121" i="1"/>
  <c r="AG1122" i="1"/>
  <c r="AM1122" i="1"/>
  <c r="AS1122" i="1"/>
  <c r="AY1122" i="1"/>
  <c r="DA1122" i="1"/>
  <c r="AG1123" i="1"/>
  <c r="AM1123" i="1"/>
  <c r="AS1123" i="1"/>
  <c r="AY1123" i="1"/>
  <c r="DA1123" i="1"/>
  <c r="AG1124" i="1"/>
  <c r="AM1124" i="1"/>
  <c r="AS1124" i="1"/>
  <c r="AY1124" i="1"/>
  <c r="DA1124" i="1"/>
  <c r="AG1125" i="1"/>
  <c r="AM1125" i="1"/>
  <c r="AS1125" i="1"/>
  <c r="AY1125" i="1"/>
  <c r="DA1125" i="1"/>
  <c r="AG1126" i="1"/>
  <c r="AM1126" i="1"/>
  <c r="AS1126" i="1"/>
  <c r="AY1126" i="1"/>
  <c r="DA1126" i="1"/>
  <c r="AG1127" i="1"/>
  <c r="AM1127" i="1"/>
  <c r="AS1127" i="1"/>
  <c r="AY1127" i="1"/>
  <c r="BK1127" i="1"/>
  <c r="DA1127" i="1"/>
  <c r="AG1128" i="1"/>
  <c r="AM1128" i="1"/>
  <c r="AS1128" i="1"/>
  <c r="AY1128" i="1"/>
  <c r="BK1128" i="1"/>
  <c r="DA1128" i="1"/>
  <c r="AG1129" i="1"/>
  <c r="AM1129" i="1"/>
  <c r="AY1129" i="1"/>
  <c r="BK1129" i="1"/>
  <c r="DA1129" i="1"/>
  <c r="AG1130" i="1"/>
  <c r="AY1130" i="1"/>
  <c r="BK1130" i="1"/>
  <c r="DA1130" i="1"/>
  <c r="AG1131" i="1"/>
  <c r="AY1131" i="1"/>
  <c r="BK1131" i="1"/>
  <c r="AY1132" i="1"/>
  <c r="BK1132" i="1"/>
  <c r="BK1133" i="1"/>
  <c r="BK1134" i="1"/>
  <c r="BK1135" i="1"/>
  <c r="AS1136" i="1"/>
  <c r="BK1136" i="1"/>
  <c r="AM1137" i="1"/>
  <c r="AS1137" i="1"/>
  <c r="BK1137" i="1"/>
  <c r="AM1138" i="1"/>
  <c r="AS1138" i="1"/>
  <c r="BK1138" i="1"/>
  <c r="AG1139" i="1"/>
  <c r="AM1139" i="1"/>
  <c r="AS1139" i="1"/>
  <c r="BK1139" i="1"/>
  <c r="AG1140" i="1"/>
  <c r="AM1140" i="1"/>
  <c r="AS1140" i="1"/>
  <c r="AY1140" i="1"/>
  <c r="BK1140" i="1"/>
  <c r="AG1141" i="1"/>
  <c r="AM1141" i="1"/>
  <c r="AS1141" i="1"/>
  <c r="AY1141" i="1"/>
  <c r="BK1141" i="1"/>
  <c r="AG1142" i="1"/>
  <c r="AM1142" i="1"/>
  <c r="AS1142" i="1"/>
  <c r="AY1142" i="1"/>
  <c r="BK1142" i="1"/>
  <c r="AG1143" i="1"/>
  <c r="AM1143" i="1"/>
  <c r="AS1143" i="1"/>
  <c r="AY1143" i="1"/>
  <c r="BK1143" i="1"/>
  <c r="AG1144" i="1"/>
  <c r="AM1144" i="1"/>
  <c r="AS1144" i="1"/>
  <c r="AY1144" i="1"/>
  <c r="BK1144" i="1"/>
  <c r="AG1145" i="1"/>
  <c r="AM1145" i="1"/>
  <c r="AS1145" i="1"/>
  <c r="AY1145" i="1"/>
  <c r="BK1145" i="1"/>
  <c r="AG1146" i="1"/>
  <c r="AM1146" i="1"/>
  <c r="AS1146" i="1"/>
  <c r="AY1146" i="1"/>
  <c r="BK1146" i="1"/>
  <c r="AG1147" i="1"/>
  <c r="AM1147" i="1"/>
  <c r="AS1147" i="1"/>
  <c r="AY1147" i="1"/>
  <c r="BK1147" i="1"/>
  <c r="AG1148" i="1"/>
  <c r="AM1148" i="1"/>
  <c r="AS1148" i="1"/>
  <c r="AY1148" i="1"/>
  <c r="BK1148" i="1"/>
  <c r="AG1149" i="1"/>
  <c r="AM1149" i="1"/>
  <c r="AS1149" i="1"/>
  <c r="AY1149" i="1"/>
  <c r="BK1149" i="1"/>
  <c r="AG1150" i="1"/>
  <c r="AM1150" i="1"/>
  <c r="AS1150" i="1"/>
  <c r="AY1150" i="1"/>
  <c r="BK1150" i="1"/>
  <c r="AG1151" i="1"/>
  <c r="AM1151" i="1"/>
  <c r="AS1151" i="1"/>
  <c r="AY1151" i="1"/>
  <c r="BK1151" i="1"/>
  <c r="AG1152" i="1"/>
  <c r="AM1152" i="1"/>
  <c r="AS1152" i="1"/>
  <c r="AY1152" i="1"/>
  <c r="BK1152" i="1"/>
  <c r="AG1153" i="1"/>
  <c r="AM1153" i="1"/>
  <c r="AS1153" i="1"/>
  <c r="AY1153" i="1"/>
  <c r="BK1153" i="1"/>
  <c r="AG1154" i="1"/>
  <c r="AM1154" i="1"/>
  <c r="AS1154" i="1"/>
  <c r="AY1154" i="1"/>
  <c r="BK1154" i="1"/>
  <c r="AG1155" i="1"/>
  <c r="AM1155" i="1"/>
  <c r="AS1155" i="1"/>
  <c r="BK1155" i="1"/>
  <c r="AG1156" i="1"/>
  <c r="AM1156" i="1"/>
  <c r="AS1156" i="1"/>
  <c r="BK1156" i="1"/>
  <c r="AG1157" i="1"/>
  <c r="AM1157" i="1"/>
  <c r="AS1157" i="1"/>
  <c r="BK1157" i="1"/>
  <c r="AG1158" i="1"/>
  <c r="AM1158" i="1"/>
  <c r="AS1158" i="1"/>
  <c r="BK1158" i="1"/>
  <c r="AG1159" i="1"/>
  <c r="AM1159" i="1"/>
  <c r="AS1159" i="1"/>
  <c r="BK1159" i="1"/>
  <c r="AG1160" i="1"/>
  <c r="AM1160" i="1"/>
  <c r="AS1160" i="1"/>
  <c r="BK1160" i="1"/>
  <c r="AG1161" i="1"/>
  <c r="AM1161" i="1"/>
  <c r="AS1161" i="1"/>
  <c r="BK1161" i="1"/>
  <c r="AG1162" i="1"/>
  <c r="AM1162" i="1"/>
  <c r="AS1162" i="1"/>
  <c r="BK1162" i="1"/>
  <c r="AG1163" i="1"/>
  <c r="AS1163" i="1"/>
  <c r="BK1163" i="1"/>
  <c r="AG1164" i="1"/>
  <c r="AS1164" i="1"/>
  <c r="BK1164" i="1"/>
  <c r="AG1165" i="1"/>
  <c r="AS1165" i="1"/>
  <c r="BK1165" i="1"/>
  <c r="AG1166" i="1"/>
  <c r="BK1166" i="1"/>
  <c r="AG1167" i="1"/>
  <c r="BK1167" i="1"/>
  <c r="AG1168" i="1"/>
  <c r="BK1168" i="1"/>
  <c r="AG1169" i="1"/>
  <c r="BK1169" i="1"/>
  <c r="AG1170" i="1"/>
  <c r="AM1170" i="1"/>
  <c r="BK1170" i="1"/>
  <c r="AG1171" i="1"/>
  <c r="AM1171" i="1"/>
  <c r="BK1171" i="1"/>
  <c r="AG1172" i="1"/>
  <c r="AM1172" i="1"/>
  <c r="BK1172" i="1"/>
  <c r="AG1173" i="1"/>
  <c r="AM1173" i="1"/>
  <c r="AS1173" i="1"/>
  <c r="BK1173" i="1"/>
  <c r="AG1174" i="1"/>
  <c r="AM1174" i="1"/>
  <c r="AS1174" i="1"/>
  <c r="BK1174" i="1"/>
  <c r="AG1175" i="1"/>
  <c r="AM1175" i="1"/>
  <c r="AS1175" i="1"/>
  <c r="BK1175" i="1"/>
  <c r="AG1176" i="1"/>
  <c r="AM1176" i="1"/>
  <c r="AS1176" i="1"/>
  <c r="BK1176" i="1"/>
  <c r="AG1177" i="1"/>
  <c r="AM1177" i="1"/>
  <c r="AS1177" i="1"/>
  <c r="BK1177" i="1"/>
  <c r="AG1178" i="1"/>
  <c r="AM1178" i="1"/>
  <c r="AS1178" i="1"/>
  <c r="BK1178" i="1"/>
  <c r="AG1179" i="1"/>
  <c r="AM1179" i="1"/>
  <c r="AS1179" i="1"/>
  <c r="BK1179" i="1"/>
  <c r="AG1180" i="1"/>
  <c r="AM1180" i="1"/>
  <c r="AS1180" i="1"/>
  <c r="BK1180" i="1"/>
  <c r="AG1181" i="1"/>
  <c r="AM1181" i="1"/>
  <c r="AS1181" i="1"/>
  <c r="BK1181" i="1"/>
  <c r="AM1182" i="1"/>
  <c r="AS1182" i="1"/>
  <c r="BK1182" i="1"/>
  <c r="AM1183" i="1"/>
  <c r="AS1183" i="1"/>
  <c r="BK1183" i="1"/>
  <c r="AM1184" i="1"/>
  <c r="AS1184" i="1"/>
  <c r="BK1184" i="1"/>
  <c r="AM1185" i="1"/>
  <c r="AS1185" i="1"/>
  <c r="BK1185" i="1"/>
  <c r="AM1186" i="1"/>
  <c r="AS1186" i="1"/>
  <c r="BK1186" i="1"/>
  <c r="AM1187" i="1"/>
  <c r="AS1187" i="1"/>
  <c r="BK1187" i="1"/>
  <c r="AM1188" i="1"/>
  <c r="AS1188" i="1"/>
  <c r="BK1188" i="1"/>
  <c r="AG1189" i="1"/>
  <c r="AM1189" i="1"/>
  <c r="AS1189" i="1"/>
  <c r="BK1189" i="1"/>
  <c r="AG1190" i="1"/>
  <c r="AM1190" i="1"/>
  <c r="AS1190" i="1"/>
  <c r="BK1190" i="1"/>
  <c r="AG1191" i="1"/>
  <c r="AM1191" i="1"/>
  <c r="AS1191" i="1"/>
  <c r="BK1191" i="1"/>
  <c r="AG1192" i="1"/>
  <c r="AM1192" i="1"/>
  <c r="AS1192" i="1"/>
  <c r="BK1192" i="1"/>
  <c r="AG1193" i="1"/>
  <c r="AM1193" i="1"/>
  <c r="AS1193" i="1"/>
  <c r="BK1193" i="1"/>
  <c r="AG1194" i="1"/>
  <c r="AM1194" i="1"/>
  <c r="AS1194" i="1"/>
  <c r="BK1194" i="1"/>
  <c r="AG1195" i="1"/>
  <c r="AM1195" i="1"/>
  <c r="AS1195" i="1"/>
  <c r="BK1195" i="1"/>
  <c r="AG1196" i="1"/>
  <c r="AM1196" i="1"/>
  <c r="AS1196" i="1"/>
  <c r="BK1196" i="1"/>
  <c r="AG1197" i="1"/>
  <c r="AM1197" i="1"/>
  <c r="AS1197" i="1"/>
  <c r="BK1197" i="1"/>
  <c r="AG1198" i="1"/>
  <c r="AS1198" i="1"/>
  <c r="BK1198" i="1"/>
  <c r="AG1199" i="1"/>
  <c r="AS1199" i="1"/>
  <c r="BK1199" i="1"/>
  <c r="AG1200" i="1"/>
  <c r="AS1200" i="1"/>
  <c r="BK1200" i="1"/>
  <c r="AG1201" i="1"/>
  <c r="BK1201" i="1"/>
  <c r="AG1202" i="1"/>
  <c r="BK1202" i="1"/>
  <c r="DA1202" i="1"/>
  <c r="AG1203" i="1"/>
  <c r="BK1203" i="1"/>
  <c r="DA1203" i="1"/>
  <c r="AG1204" i="1"/>
  <c r="BK1204" i="1"/>
  <c r="DA1204" i="1"/>
  <c r="T1205" i="1"/>
  <c r="AG1205" i="1"/>
  <c r="BK1205" i="1"/>
  <c r="DA1205" i="1"/>
  <c r="T1206" i="1"/>
  <c r="AG1206" i="1"/>
  <c r="BK1206" i="1"/>
  <c r="DA1206" i="1"/>
  <c r="T1207" i="1"/>
  <c r="AG1207" i="1"/>
  <c r="BK1207" i="1"/>
  <c r="DA1207" i="1"/>
  <c r="T1208" i="1"/>
  <c r="AG1208" i="1"/>
  <c r="AS1208" i="1"/>
  <c r="BK1208" i="1"/>
  <c r="DA1208" i="1"/>
  <c r="T1209" i="1"/>
  <c r="AG1209" i="1"/>
  <c r="AS1209" i="1"/>
  <c r="BK1209" i="1"/>
  <c r="DA1209" i="1"/>
  <c r="T1210" i="1"/>
  <c r="AG1210" i="1"/>
  <c r="AS1210" i="1"/>
  <c r="BK1210" i="1"/>
  <c r="DA1210" i="1"/>
  <c r="T1211" i="1"/>
  <c r="AG1211" i="1"/>
  <c r="AS1211" i="1"/>
  <c r="BK1211" i="1"/>
  <c r="T1212" i="1"/>
  <c r="AG1212" i="1"/>
  <c r="AS1212" i="1"/>
  <c r="BK1212" i="1"/>
  <c r="T1213" i="1"/>
  <c r="AG1213" i="1"/>
  <c r="AS1213" i="1"/>
  <c r="T1214" i="1"/>
  <c r="AG1214" i="1"/>
  <c r="AS1214" i="1"/>
  <c r="T1215" i="1"/>
  <c r="AG1215" i="1"/>
  <c r="AS1215" i="1"/>
  <c r="T1216" i="1"/>
  <c r="AG1216" i="1"/>
  <c r="AS1216" i="1"/>
  <c r="T1217" i="1"/>
  <c r="AG1217" i="1"/>
  <c r="AS1217" i="1"/>
  <c r="T1218" i="1"/>
  <c r="AG1218" i="1"/>
  <c r="AS1218" i="1"/>
  <c r="DA1218" i="1"/>
  <c r="T1219" i="1"/>
  <c r="AG1219" i="1"/>
  <c r="AS1219" i="1"/>
  <c r="DA1219" i="1"/>
  <c r="T1220" i="1"/>
  <c r="AG1220" i="1"/>
  <c r="AS1220" i="1"/>
  <c r="BK1220" i="1"/>
  <c r="DA1220" i="1"/>
  <c r="T1221" i="1"/>
  <c r="AG1221" i="1"/>
  <c r="AS1221" i="1"/>
  <c r="BK1221" i="1"/>
  <c r="DA1221" i="1"/>
  <c r="T1222" i="1"/>
  <c r="AG1222" i="1"/>
  <c r="AS1222" i="1"/>
  <c r="BK1222" i="1"/>
  <c r="DA1222" i="1"/>
  <c r="T1223" i="1"/>
  <c r="AG1223" i="1"/>
  <c r="AS1223" i="1"/>
  <c r="BK1223" i="1"/>
  <c r="DA1223" i="1"/>
  <c r="T1224" i="1"/>
  <c r="AG1224" i="1"/>
  <c r="AS1224" i="1"/>
  <c r="BK1224" i="1"/>
  <c r="DA1224" i="1"/>
  <c r="T1225" i="1"/>
  <c r="AG1225" i="1"/>
  <c r="AS1225" i="1"/>
  <c r="BK1225" i="1"/>
  <c r="T1226" i="1"/>
  <c r="AG1226" i="1"/>
  <c r="AS1226" i="1"/>
  <c r="BK1226" i="1"/>
  <c r="T1227" i="1"/>
  <c r="AG1227" i="1"/>
  <c r="AS1227" i="1"/>
  <c r="BK1227" i="1"/>
  <c r="T1228" i="1"/>
  <c r="AG1228" i="1"/>
  <c r="AS1228" i="1"/>
  <c r="BK1228" i="1"/>
  <c r="T1229" i="1"/>
  <c r="AG1229" i="1"/>
  <c r="AS1229" i="1"/>
  <c r="BK1229" i="1"/>
  <c r="T1230" i="1"/>
  <c r="AG1230" i="1"/>
  <c r="AS1230" i="1"/>
  <c r="BK1230" i="1"/>
  <c r="T1231" i="1"/>
  <c r="AG1231" i="1"/>
  <c r="AS1231" i="1"/>
  <c r="BK1231" i="1"/>
  <c r="T1232" i="1"/>
  <c r="AG1232" i="1"/>
  <c r="AS1232" i="1"/>
  <c r="BK1232" i="1"/>
  <c r="T1233" i="1"/>
  <c r="AG1233" i="1"/>
  <c r="AS1233" i="1"/>
  <c r="BK1233" i="1"/>
  <c r="T1234" i="1"/>
  <c r="AG1234" i="1"/>
  <c r="AS1234" i="1"/>
  <c r="BK1234" i="1"/>
  <c r="T1235" i="1"/>
  <c r="AG1235" i="1"/>
  <c r="AS1235" i="1"/>
  <c r="BK1235" i="1"/>
  <c r="T1236" i="1"/>
  <c r="AS1236" i="1"/>
  <c r="BK1236" i="1"/>
  <c r="T1237" i="1"/>
  <c r="AS1237" i="1"/>
  <c r="BK1237" i="1"/>
  <c r="T1238" i="1"/>
  <c r="AS1238" i="1"/>
  <c r="BK1238" i="1"/>
  <c r="T1239" i="1"/>
  <c r="T1240" i="1"/>
  <c r="T1241" i="1"/>
  <c r="T1242" i="1"/>
  <c r="T1243" i="1"/>
  <c r="T1244" i="1"/>
  <c r="AM1244" i="1"/>
  <c r="T1245" i="1"/>
  <c r="AM1245" i="1"/>
  <c r="T1246" i="1"/>
  <c r="AM1246" i="1"/>
  <c r="AS1246" i="1"/>
  <c r="BK1246" i="1"/>
  <c r="T1247" i="1"/>
  <c r="AM1247" i="1"/>
  <c r="AS1247" i="1"/>
  <c r="BK1247" i="1"/>
  <c r="T1248" i="1"/>
  <c r="AM1248" i="1"/>
  <c r="AS1248" i="1"/>
  <c r="BK1248" i="1"/>
  <c r="T1249" i="1"/>
  <c r="AM1249" i="1"/>
  <c r="AS1249" i="1"/>
  <c r="BK1249" i="1"/>
  <c r="T1250" i="1"/>
  <c r="AM1250" i="1"/>
  <c r="AS1250" i="1"/>
  <c r="BK1250" i="1"/>
  <c r="T1251" i="1"/>
  <c r="AM1251" i="1"/>
  <c r="AS1251" i="1"/>
  <c r="BK1251" i="1"/>
  <c r="T1252" i="1"/>
  <c r="AM1252" i="1"/>
  <c r="AS1252" i="1"/>
  <c r="BK1252" i="1"/>
  <c r="T1253" i="1"/>
  <c r="AM1253" i="1"/>
  <c r="AS1253" i="1"/>
  <c r="BK1253" i="1"/>
  <c r="T1254" i="1"/>
  <c r="AM1254" i="1"/>
  <c r="AS1254" i="1"/>
  <c r="BK1254" i="1"/>
  <c r="T1255" i="1"/>
  <c r="AM1255" i="1"/>
  <c r="AS1255" i="1"/>
  <c r="BK1255" i="1"/>
  <c r="T1256" i="1"/>
  <c r="AM1256" i="1"/>
  <c r="AS1256" i="1"/>
  <c r="BK1256" i="1"/>
  <c r="T1257" i="1"/>
  <c r="AM1257" i="1"/>
  <c r="AS1257" i="1"/>
  <c r="BK1257" i="1"/>
  <c r="T1258" i="1"/>
  <c r="AM1258" i="1"/>
  <c r="AS1258" i="1"/>
  <c r="BK1258" i="1"/>
  <c r="T1259" i="1"/>
  <c r="AM1259" i="1"/>
  <c r="AS1259" i="1"/>
  <c r="BK1259" i="1"/>
  <c r="T1260" i="1"/>
  <c r="AM1260" i="1"/>
  <c r="AS1260" i="1"/>
  <c r="BK1260" i="1"/>
  <c r="T1261" i="1"/>
  <c r="AM1261" i="1"/>
  <c r="AS1261" i="1"/>
  <c r="BK1261" i="1"/>
  <c r="T1262" i="1"/>
  <c r="AM1262" i="1"/>
  <c r="AS1262" i="1"/>
  <c r="BK1262" i="1"/>
  <c r="T1263" i="1"/>
  <c r="AM1263" i="1"/>
  <c r="AS1263" i="1"/>
  <c r="BK1263" i="1"/>
  <c r="T1264" i="1"/>
  <c r="AM1264" i="1"/>
  <c r="AS1264" i="1"/>
  <c r="BK1264" i="1"/>
  <c r="T1265" i="1"/>
  <c r="AM1265" i="1"/>
  <c r="AS1265" i="1"/>
  <c r="BK1265" i="1"/>
  <c r="T1266" i="1"/>
  <c r="AM1266" i="1"/>
  <c r="AS1266" i="1"/>
  <c r="BK1266" i="1"/>
  <c r="T1267" i="1"/>
  <c r="AM1267" i="1"/>
  <c r="AS1267" i="1"/>
  <c r="BK1267" i="1"/>
  <c r="AM1268" i="1"/>
  <c r="AS1268" i="1"/>
  <c r="BK1268" i="1"/>
  <c r="AM1269" i="1"/>
  <c r="AS1269" i="1"/>
  <c r="BK1269" i="1"/>
  <c r="AM1270" i="1"/>
  <c r="AS1270" i="1"/>
  <c r="BK1270" i="1"/>
  <c r="AS1271" i="1"/>
  <c r="BK1271" i="1"/>
  <c r="AS1272" i="1"/>
  <c r="BK1272" i="1"/>
  <c r="BK1273" i="1"/>
  <c r="BK1274" i="1"/>
  <c r="BK1275" i="1"/>
  <c r="BK1276" i="1"/>
  <c r="BK1277" i="1"/>
  <c r="AM1278" i="1"/>
  <c r="BK1278" i="1"/>
  <c r="AM1279" i="1"/>
  <c r="BK1279" i="1"/>
  <c r="AM1280" i="1"/>
  <c r="AS1280" i="1"/>
  <c r="BK1280" i="1"/>
  <c r="AM1281" i="1"/>
  <c r="AS1281" i="1"/>
  <c r="BK1281" i="1"/>
  <c r="AM1282" i="1"/>
  <c r="AS1282" i="1"/>
  <c r="BK1282" i="1"/>
  <c r="AM1283" i="1"/>
  <c r="AS1283" i="1"/>
  <c r="BK1283" i="1"/>
  <c r="AM1284" i="1"/>
  <c r="AS1284" i="1"/>
  <c r="BK1284" i="1"/>
  <c r="AM1285" i="1"/>
  <c r="AS1285" i="1"/>
  <c r="BK1285" i="1"/>
  <c r="AM1286" i="1"/>
  <c r="AS1286" i="1"/>
  <c r="BK1286" i="1"/>
  <c r="AM1287" i="1"/>
  <c r="AS1287" i="1"/>
  <c r="BK1287" i="1"/>
  <c r="AM1288" i="1"/>
  <c r="AS1288" i="1"/>
  <c r="BK1288" i="1"/>
  <c r="AM1289" i="1"/>
  <c r="AS1289" i="1"/>
  <c r="BK1289" i="1"/>
  <c r="AM1290" i="1"/>
  <c r="AS1290" i="1"/>
  <c r="BK1290" i="1"/>
  <c r="AM1291" i="1"/>
  <c r="AS1291" i="1"/>
  <c r="BK1291" i="1"/>
  <c r="AM1292" i="1"/>
  <c r="AS1292" i="1"/>
  <c r="BK1292" i="1"/>
  <c r="AM1293" i="1"/>
  <c r="AS1293" i="1"/>
  <c r="BK1293" i="1"/>
  <c r="AM1294" i="1"/>
  <c r="AS1294" i="1"/>
  <c r="BK1294" i="1"/>
  <c r="AM1295" i="1"/>
  <c r="AS1295" i="1"/>
  <c r="BK1295" i="1"/>
  <c r="AM1296" i="1"/>
  <c r="AS1296" i="1"/>
  <c r="BK1296" i="1"/>
  <c r="AM1297" i="1"/>
  <c r="AS1297" i="1"/>
  <c r="BK1297" i="1"/>
  <c r="AM1298" i="1"/>
  <c r="AS1298" i="1"/>
  <c r="BK1298" i="1"/>
  <c r="AM1299" i="1"/>
  <c r="AS1299" i="1"/>
  <c r="BK1299" i="1"/>
  <c r="AM1300" i="1"/>
  <c r="AS1300" i="1"/>
  <c r="BK1300" i="1"/>
  <c r="AM1301" i="1"/>
  <c r="AS1301" i="1"/>
  <c r="BK1301" i="1"/>
  <c r="AM1302" i="1"/>
  <c r="AS1302" i="1"/>
  <c r="BK1302" i="1"/>
  <c r="AM1303" i="1"/>
  <c r="AS1303" i="1"/>
  <c r="BK1303" i="1"/>
  <c r="AS1304" i="1"/>
  <c r="BK1304" i="1"/>
  <c r="AS1305" i="1"/>
  <c r="BK1305" i="1"/>
  <c r="AS1306" i="1"/>
  <c r="BK1306" i="1"/>
  <c r="AS1307" i="1"/>
  <c r="BK1307" i="1"/>
  <c r="AS1308" i="1"/>
  <c r="BK1308" i="1"/>
  <c r="AS1309" i="1"/>
  <c r="BK1309" i="1"/>
  <c r="BK1310" i="1"/>
  <c r="AM1311" i="1"/>
  <c r="BK1311" i="1"/>
  <c r="AM1312" i="1"/>
  <c r="BK1312" i="1"/>
  <c r="AM1313" i="1"/>
  <c r="BK1313" i="1"/>
  <c r="AM1314" i="1"/>
  <c r="BK1314" i="1"/>
  <c r="AM1315" i="1"/>
  <c r="BK1315" i="1"/>
  <c r="AM1316" i="1"/>
  <c r="BK1316" i="1"/>
  <c r="AM1317" i="1"/>
  <c r="AS1317" i="1"/>
  <c r="BK1317" i="1"/>
  <c r="AM1318" i="1"/>
  <c r="AS1318" i="1"/>
  <c r="BK1318" i="1"/>
  <c r="AM1319" i="1"/>
  <c r="AS1319" i="1"/>
  <c r="BK1319" i="1"/>
  <c r="AM1320" i="1"/>
  <c r="AS1320" i="1"/>
  <c r="BK1320" i="1"/>
  <c r="AM1321" i="1"/>
  <c r="AS1321" i="1"/>
  <c r="BK1321" i="1"/>
  <c r="AM1322" i="1"/>
  <c r="AS1322" i="1"/>
  <c r="BK1322" i="1"/>
  <c r="AM1323" i="1"/>
  <c r="AS1323" i="1"/>
  <c r="BK1323" i="1"/>
  <c r="AM1324" i="1"/>
  <c r="AS1324" i="1"/>
  <c r="BK1324" i="1"/>
  <c r="AM1325" i="1"/>
  <c r="AS1325" i="1"/>
  <c r="BK1325" i="1"/>
  <c r="AM1326" i="1"/>
  <c r="AS1326" i="1"/>
  <c r="BK1326" i="1"/>
  <c r="AM1327" i="1"/>
  <c r="AS1327" i="1"/>
  <c r="BK1327" i="1"/>
  <c r="AS1328" i="1"/>
  <c r="BK1328" i="1"/>
  <c r="AS1329" i="1"/>
  <c r="BK1329" i="1"/>
  <c r="AS1330" i="1"/>
  <c r="BK1330" i="1"/>
  <c r="AS1331" i="1"/>
  <c r="BK1331" i="1"/>
  <c r="AS1332" i="1"/>
  <c r="AS1333" i="1"/>
  <c r="AS1334" i="1"/>
  <c r="AM1335" i="1"/>
  <c r="AS1335" i="1"/>
  <c r="AM1336" i="1"/>
  <c r="AS1336" i="1"/>
  <c r="AM1337" i="1"/>
  <c r="AS1337" i="1"/>
  <c r="AM1338" i="1"/>
  <c r="AS1338" i="1"/>
  <c r="AM1339" i="1"/>
  <c r="AS1339" i="1"/>
  <c r="AM1340" i="1"/>
  <c r="AS1340" i="1"/>
  <c r="AM1341" i="1"/>
  <c r="AS1341" i="1"/>
  <c r="AM1342" i="1"/>
  <c r="AS1342" i="1"/>
  <c r="AM1343" i="1"/>
  <c r="AS1343" i="1"/>
  <c r="AM1344" i="1"/>
  <c r="AS1344" i="1"/>
  <c r="AM1345" i="1"/>
  <c r="AS1345" i="1"/>
  <c r="AM1346" i="1"/>
  <c r="AS1346" i="1"/>
  <c r="AM1347" i="1"/>
  <c r="AS1347" i="1"/>
  <c r="AM1348" i="1"/>
  <c r="AM1349" i="1"/>
  <c r="AM1350" i="1"/>
  <c r="AM1351" i="1"/>
  <c r="AM1352" i="1"/>
  <c r="AM1353" i="1"/>
  <c r="AM1354" i="1"/>
  <c r="AM1355" i="1"/>
  <c r="AS1444" i="1"/>
  <c r="AS1445" i="1"/>
  <c r="AS1446" i="1"/>
  <c r="AS1447" i="1"/>
  <c r="AS1448" i="1"/>
  <c r="AS1449" i="1"/>
  <c r="AS1450" i="1"/>
  <c r="AS1451" i="1"/>
  <c r="AS1452" i="1"/>
  <c r="AS1453" i="1"/>
  <c r="AS1454" i="1"/>
  <c r="AS1455" i="1"/>
  <c r="AS1456" i="1"/>
  <c r="AS1457" i="1"/>
  <c r="AS1458" i="1"/>
  <c r="AS1459" i="1"/>
  <c r="AS1460" i="1"/>
  <c r="AS1461" i="1"/>
  <c r="AS1462" i="1"/>
  <c r="AS1463" i="1"/>
  <c r="AS1464" i="1"/>
  <c r="AS1465" i="1"/>
  <c r="AS1466" i="1"/>
  <c r="AS1467" i="1"/>
  <c r="AS1468" i="1"/>
  <c r="AS1469" i="1"/>
  <c r="AS1470" i="1"/>
  <c r="AS1471" i="1"/>
  <c r="AS1486" i="1"/>
  <c r="AS1487" i="1"/>
  <c r="AS1488" i="1"/>
  <c r="AS1489" i="1"/>
  <c r="AS1490" i="1"/>
  <c r="AS1491" i="1"/>
  <c r="AS1492" i="1"/>
  <c r="AS1493" i="1"/>
  <c r="AS1494" i="1"/>
  <c r="AS1495" i="1"/>
  <c r="AS1496" i="1"/>
  <c r="AS1497" i="1"/>
  <c r="AS1498" i="1"/>
  <c r="AS1499" i="1"/>
  <c r="AS1500" i="1"/>
  <c r="AS1501" i="1"/>
  <c r="AS1502" i="1"/>
  <c r="AS1503" i="1"/>
  <c r="AS1504" i="1"/>
  <c r="AS1505" i="1"/>
  <c r="AS1506" i="1"/>
  <c r="AS1507" i="1"/>
  <c r="AS1508" i="1"/>
  <c r="AS1509" i="1"/>
  <c r="AS1510" i="1"/>
  <c r="AS1511" i="1"/>
  <c r="AS1512" i="1"/>
  <c r="AS1513" i="1"/>
  <c r="AS1514" i="1"/>
  <c r="AS1515" i="1"/>
  <c r="AS1516" i="1"/>
  <c r="AS1517" i="1"/>
  <c r="AS1518" i="1"/>
  <c r="AS1528" i="1"/>
  <c r="AS1529" i="1"/>
  <c r="AS1530" i="1"/>
  <c r="AS1531" i="1"/>
  <c r="AS1532" i="1"/>
  <c r="AS1533" i="1"/>
  <c r="AS1534" i="1"/>
  <c r="AS1535" i="1"/>
  <c r="AS1536" i="1"/>
  <c r="AS1537" i="1"/>
  <c r="AS1538" i="1"/>
  <c r="AS1539" i="1"/>
  <c r="AS1540" i="1"/>
  <c r="AS1541" i="1"/>
  <c r="AS1542" i="1"/>
  <c r="AS1543" i="1"/>
  <c r="AS1544" i="1"/>
  <c r="AS1545" i="1"/>
  <c r="AS1546" i="1"/>
  <c r="AS1547" i="1"/>
  <c r="AS1548" i="1"/>
  <c r="AS1549" i="1"/>
  <c r="AS1550" i="1"/>
  <c r="AS1551" i="1"/>
  <c r="AS1552" i="1"/>
  <c r="AS1553" i="1"/>
  <c r="AS1554" i="1"/>
  <c r="AS1555" i="1"/>
  <c r="AS1556" i="1"/>
  <c r="AS1557" i="1"/>
  <c r="AS1558" i="1"/>
  <c r="AS1559" i="1"/>
  <c r="AS1560" i="1"/>
  <c r="AM1637" i="1"/>
  <c r="AM1638" i="1"/>
  <c r="AM1639" i="1"/>
  <c r="AM1640" i="1"/>
  <c r="AM1641" i="1"/>
  <c r="AM1642" i="1"/>
  <c r="AM1643" i="1"/>
  <c r="AM1644" i="1"/>
  <c r="AM1645" i="1"/>
  <c r="AM1646" i="1"/>
  <c r="AM1647" i="1"/>
  <c r="AM1648" i="1"/>
  <c r="AM1649" i="1"/>
  <c r="AM1650" i="1"/>
  <c r="AM1651" i="1"/>
  <c r="AM1652" i="1"/>
  <c r="AM1653" i="1"/>
  <c r="AM1654" i="1"/>
  <c r="AM1655" i="1"/>
  <c r="AM1656" i="1"/>
  <c r="AM1657" i="1"/>
  <c r="AM1658" i="1"/>
  <c r="AM1659" i="1"/>
  <c r="AM1660" i="1"/>
  <c r="AM1661" i="1"/>
  <c r="AM1662" i="1"/>
  <c r="AM1663" i="1"/>
  <c r="AM1664" i="1"/>
  <c r="AM1665" i="1"/>
  <c r="AM1666" i="1"/>
  <c r="AM1667" i="1"/>
  <c r="AM1675" i="1"/>
  <c r="AM1676" i="1"/>
  <c r="AM1677" i="1"/>
  <c r="AM1678" i="1"/>
  <c r="AM1679" i="1"/>
  <c r="AM1680" i="1"/>
  <c r="AM1681" i="1"/>
  <c r="AM1682" i="1"/>
  <c r="AM1683" i="1"/>
  <c r="AM1684" i="1"/>
  <c r="AM1685" i="1"/>
  <c r="AM1686" i="1"/>
  <c r="AM1687" i="1"/>
  <c r="AM1688" i="1"/>
  <c r="AM1689" i="1"/>
  <c r="AM1690" i="1"/>
  <c r="AM1691" i="1"/>
  <c r="AM1692" i="1"/>
  <c r="AM1693" i="1"/>
  <c r="AM1694" i="1"/>
  <c r="AM1695" i="1"/>
  <c r="AM1696" i="1"/>
  <c r="AM1697" i="1"/>
  <c r="AM1698" i="1"/>
  <c r="AM1699" i="1"/>
  <c r="AM1700" i="1"/>
  <c r="AM1701" i="1"/>
  <c r="AM1702" i="1"/>
  <c r="AM1703" i="1"/>
  <c r="AM1704" i="1"/>
  <c r="AM1705" i="1"/>
  <c r="AM1713" i="1"/>
  <c r="AM1714" i="1"/>
  <c r="AM1715" i="1"/>
  <c r="AM1716" i="1"/>
  <c r="AM1717" i="1"/>
  <c r="AM1718" i="1"/>
  <c r="AM1719" i="1"/>
  <c r="AM1720" i="1"/>
  <c r="AM1721" i="1"/>
  <c r="AM1722" i="1"/>
  <c r="AM1723" i="1"/>
  <c r="AM1724" i="1"/>
  <c r="AM1725" i="1"/>
  <c r="AM1726" i="1"/>
  <c r="AM1727" i="1"/>
  <c r="AM1728" i="1"/>
  <c r="AM1729" i="1"/>
  <c r="AM1730" i="1"/>
  <c r="AM1731" i="1"/>
  <c r="AM1732" i="1"/>
  <c r="AM1733" i="1"/>
  <c r="AM1734" i="1"/>
  <c r="AM1735" i="1"/>
  <c r="AM1736" i="1"/>
  <c r="AM1737" i="1"/>
  <c r="AM1738" i="1"/>
  <c r="AM1739" i="1"/>
  <c r="AM1740" i="1"/>
  <c r="AM1741" i="1"/>
  <c r="AM1742" i="1"/>
  <c r="AM1743" i="1"/>
  <c r="K238" i="1"/>
  <c r="L211" i="1"/>
  <c r="L229" i="1"/>
  <c r="K229" i="1"/>
  <c r="L244" i="1"/>
  <c r="J202" i="1"/>
  <c r="J220" i="1"/>
  <c r="L237" i="1"/>
  <c r="J243" i="1"/>
  <c r="L243" i="1"/>
  <c r="L204" i="1"/>
  <c r="H39" i="1"/>
  <c r="L39" i="1" s="1"/>
  <c r="E21" i="13"/>
  <c r="K244" i="1"/>
  <c r="K214" i="1"/>
  <c r="J214" i="1"/>
  <c r="L238" i="1"/>
  <c r="J238" i="1"/>
  <c r="K221" i="1"/>
  <c r="L221" i="1"/>
  <c r="J221" i="1"/>
  <c r="K220" i="1"/>
  <c r="L220" i="1"/>
  <c r="K241" i="1"/>
  <c r="L210" i="1"/>
  <c r="K210" i="1"/>
  <c r="J210" i="1"/>
  <c r="K211" i="1"/>
  <c r="J211" i="1"/>
  <c r="J203" i="1"/>
  <c r="E7" i="1"/>
  <c r="CZ13" i="13"/>
  <c r="CZ7" i="13"/>
  <c r="DZ6" i="13"/>
  <c r="DZ11" i="13"/>
  <c r="CZ6" i="13"/>
  <c r="DZ7" i="13"/>
  <c r="DZ8" i="13"/>
  <c r="CZ8" i="13"/>
  <c r="DZ9" i="13"/>
  <c r="DZ13" i="13"/>
  <c r="DZ10" i="13"/>
  <c r="CZ10" i="13"/>
  <c r="DZ5" i="13"/>
  <c r="CZ5" i="13"/>
  <c r="DZ14" i="13"/>
  <c r="CZ14" i="13"/>
  <c r="CZ12" i="13"/>
  <c r="J5" i="13"/>
  <c r="CZ11" i="13"/>
  <c r="DZ12" i="13"/>
  <c r="CZ9" i="13"/>
  <c r="J201" i="1" l="1"/>
  <c r="J227" i="1"/>
  <c r="J204" i="1"/>
  <c r="L203" i="1"/>
  <c r="F187" i="1"/>
  <c r="K227" i="1"/>
  <c r="J239" i="1"/>
  <c r="J212" i="1"/>
  <c r="K212" i="1"/>
  <c r="F83" i="1"/>
  <c r="L240" i="1"/>
  <c r="K213" i="1"/>
  <c r="K228" i="1"/>
  <c r="F181" i="1"/>
  <c r="K239" i="1"/>
  <c r="L241" i="1"/>
  <c r="K202" i="1"/>
  <c r="J200" i="1"/>
  <c r="L201" i="1"/>
  <c r="F123" i="1"/>
  <c r="H14" i="13"/>
  <c r="H13" i="13"/>
  <c r="H12" i="13"/>
  <c r="H11" i="13"/>
  <c r="H10" i="13"/>
  <c r="H9" i="13"/>
  <c r="H8" i="13"/>
  <c r="H7" i="13"/>
  <c r="H6" i="13"/>
  <c r="H5" i="13"/>
  <c r="N5" i="13" s="1"/>
  <c r="H20" i="1"/>
  <c r="L20" i="1" s="1"/>
  <c r="H32" i="1"/>
  <c r="L32" i="1" s="1"/>
  <c r="H31" i="1"/>
  <c r="L31" i="1" s="1"/>
  <c r="R1031" i="1"/>
  <c r="Q1064" i="1" s="1"/>
  <c r="F125" i="1"/>
  <c r="F124" i="1"/>
  <c r="F87" i="1"/>
  <c r="T1108" i="1" s="1"/>
  <c r="S1108" i="1" s="1"/>
  <c r="H87" i="1" s="1"/>
  <c r="I87" i="1" s="1"/>
  <c r="F86" i="1"/>
  <c r="T1107" i="1" s="1"/>
  <c r="S1107" i="1" s="1"/>
  <c r="H86" i="1" s="1"/>
  <c r="F60" i="1"/>
  <c r="F75" i="1"/>
  <c r="S1097" i="1" s="1"/>
  <c r="F185" i="1"/>
  <c r="H185" i="1" s="1"/>
  <c r="L185" i="1" s="1"/>
  <c r="F146" i="1"/>
  <c r="F48" i="1"/>
  <c r="F172" i="1"/>
  <c r="T1179" i="1" s="1"/>
  <c r="S1179" i="1" s="1"/>
  <c r="H172" i="1" s="1"/>
  <c r="J172" i="1" s="1"/>
  <c r="F138" i="1"/>
  <c r="T1149" i="1" s="1"/>
  <c r="S1149" i="1" s="1"/>
  <c r="H138" i="1" s="1"/>
  <c r="F53" i="1"/>
  <c r="T1076" i="1" s="1"/>
  <c r="S1076" i="1" s="1"/>
  <c r="H53" i="1" s="1"/>
  <c r="T1052" i="1"/>
  <c r="S1052" i="1" s="1"/>
  <c r="H27" i="1" s="1"/>
  <c r="L27" i="1" s="1"/>
  <c r="F147" i="1"/>
  <c r="T1156" i="1" s="1"/>
  <c r="S1156" i="1" s="1"/>
  <c r="H147" i="1" s="1"/>
  <c r="F96" i="1"/>
  <c r="F85" i="1"/>
  <c r="F162" i="1"/>
  <c r="T1170" i="1" s="1"/>
  <c r="S1170" i="1" s="1"/>
  <c r="H162" i="1" s="1"/>
  <c r="F70" i="1"/>
  <c r="F61" i="1"/>
  <c r="H61" i="1" s="1"/>
  <c r="I61" i="1" s="1"/>
  <c r="F80" i="1"/>
  <c r="T1102" i="1" s="1"/>
  <c r="S1102" i="1" s="1"/>
  <c r="H80" i="1" s="1"/>
  <c r="F63" i="1"/>
  <c r="H63" i="1" s="1"/>
  <c r="K63" i="1" s="1"/>
  <c r="F130" i="1"/>
  <c r="T1142" i="1" s="1"/>
  <c r="S1142" i="1" s="1"/>
  <c r="H130" i="1" s="1"/>
  <c r="L130" i="1" s="1"/>
  <c r="F131" i="1"/>
  <c r="S1143" i="1" s="1"/>
  <c r="F45" i="1"/>
  <c r="H45" i="1" s="1"/>
  <c r="J45" i="1" s="1"/>
  <c r="F186" i="1"/>
  <c r="F122" i="1"/>
  <c r="F58" i="1"/>
  <c r="F54" i="1"/>
  <c r="T1077" i="1" s="1"/>
  <c r="S1077" i="1" s="1"/>
  <c r="H54" i="1" s="1"/>
  <c r="F191" i="1"/>
  <c r="T1197" i="1" s="1"/>
  <c r="S1197" i="1" s="1"/>
  <c r="H191" i="1" s="1"/>
  <c r="F169" i="1"/>
  <c r="F139" i="1"/>
  <c r="O1150" i="1" s="1"/>
  <c r="F99" i="1"/>
  <c r="F59" i="1"/>
  <c r="K39" i="1"/>
  <c r="F77" i="1"/>
  <c r="T1099" i="1" s="1"/>
  <c r="S1099" i="1" s="1"/>
  <c r="H77" i="1" s="1"/>
  <c r="K77" i="1" s="1"/>
  <c r="T1055" i="1"/>
  <c r="S1055" i="1" s="1"/>
  <c r="H30" i="1" s="1"/>
  <c r="L30" i="1" s="1"/>
  <c r="I39" i="1"/>
  <c r="L38" i="1"/>
  <c r="J38" i="1"/>
  <c r="J39" i="1"/>
  <c r="F171" i="1"/>
  <c r="F152" i="1"/>
  <c r="T1161" i="1" s="1"/>
  <c r="S1161" i="1" s="1"/>
  <c r="H152" i="1" s="1"/>
  <c r="L213" i="1"/>
  <c r="T1042" i="1"/>
  <c r="S1042" i="1" s="1"/>
  <c r="H17" i="1" s="1"/>
  <c r="L17" i="1" s="1"/>
  <c r="L219" i="1"/>
  <c r="J37" i="1"/>
  <c r="H40" i="1"/>
  <c r="L200" i="1"/>
  <c r="K209" i="1"/>
  <c r="F182" i="1"/>
  <c r="J209" i="1"/>
  <c r="K242" i="1"/>
  <c r="J242" i="1"/>
  <c r="F188" i="1"/>
  <c r="T1047" i="1"/>
  <c r="S1047" i="1" s="1"/>
  <c r="H22" i="1" s="1"/>
  <c r="I22" i="1" s="1"/>
  <c r="T1048" i="1"/>
  <c r="S1048" i="1" s="1"/>
  <c r="H23" i="1" s="1"/>
  <c r="K23" i="1" s="1"/>
  <c r="J219" i="1"/>
  <c r="K37" i="1"/>
  <c r="I37" i="1"/>
  <c r="F121" i="1"/>
  <c r="T1053" i="1"/>
  <c r="S1053" i="1" s="1"/>
  <c r="H28" i="1" s="1"/>
  <c r="L28" i="1" s="1"/>
  <c r="T1054" i="1"/>
  <c r="S1054" i="1" s="1"/>
  <c r="H29" i="1" s="1"/>
  <c r="J29" i="1" s="1"/>
  <c r="F62" i="1"/>
  <c r="F71" i="1"/>
  <c r="T1093" i="1" s="1"/>
  <c r="S1093" i="1" s="1"/>
  <c r="H71" i="1" s="1"/>
  <c r="F73" i="1"/>
  <c r="F74" i="1"/>
  <c r="F167" i="1"/>
  <c r="F132" i="1"/>
  <c r="F174" i="1"/>
  <c r="F69" i="1"/>
  <c r="F47" i="1"/>
  <c r="T1070" i="1" s="1"/>
  <c r="S1070" i="1" s="1"/>
  <c r="H47" i="1" s="1"/>
  <c r="F148" i="1"/>
  <c r="F170" i="1"/>
  <c r="F151" i="1"/>
  <c r="F190" i="1"/>
  <c r="T1196" i="1" s="1"/>
  <c r="S1196" i="1" s="1"/>
  <c r="H190" i="1" s="1"/>
  <c r="F189" i="1"/>
  <c r="Q1061" i="1"/>
  <c r="R1063" i="1"/>
  <c r="T1044" i="1"/>
  <c r="S1044" i="1" s="1"/>
  <c r="H19" i="1" s="1"/>
  <c r="F68" i="1"/>
  <c r="F50" i="1"/>
  <c r="F46" i="1"/>
  <c r="T1069" i="1" s="1"/>
  <c r="S1069" i="1" s="1"/>
  <c r="H46" i="1" s="1"/>
  <c r="F55" i="1"/>
  <c r="T1078" i="1" s="1"/>
  <c r="S1078" i="1" s="1"/>
  <c r="H55" i="1" s="1"/>
  <c r="F110" i="1"/>
  <c r="T1125" i="1" s="1"/>
  <c r="S1125" i="1" s="1"/>
  <c r="H110" i="1" s="1"/>
  <c r="F52" i="1"/>
  <c r="T1075" i="1" s="1"/>
  <c r="S1075" i="1" s="1"/>
  <c r="H52" i="1" s="1"/>
  <c r="F76" i="1"/>
  <c r="F154" i="1"/>
  <c r="F78" i="1"/>
  <c r="T1100" i="1" s="1"/>
  <c r="S1100" i="1" s="1"/>
  <c r="H78" i="1" s="1"/>
  <c r="F95" i="1"/>
  <c r="F153" i="1"/>
  <c r="F51" i="1"/>
  <c r="T1074" i="1" s="1"/>
  <c r="S1074" i="1" s="1"/>
  <c r="H51" i="1" s="1"/>
  <c r="F168" i="1"/>
  <c r="F149" i="1"/>
  <c r="F98" i="1"/>
  <c r="T1115" i="1" s="1"/>
  <c r="S1115" i="1" s="1"/>
  <c r="H98" i="1" s="1"/>
  <c r="F159" i="1"/>
  <c r="T1167" i="1" s="1"/>
  <c r="S1167" i="1" s="1"/>
  <c r="H159" i="1" s="1"/>
  <c r="F79" i="1"/>
  <c r="F173" i="1"/>
  <c r="T1180" i="1" s="1"/>
  <c r="S1180" i="1" s="1"/>
  <c r="H173" i="1" s="1"/>
  <c r="F137" i="1"/>
  <c r="F160" i="1"/>
  <c r="F56" i="1"/>
  <c r="T1079" i="1" s="1"/>
  <c r="S1079" i="1" s="1"/>
  <c r="H56" i="1" s="1"/>
  <c r="F161" i="1"/>
  <c r="F175" i="1"/>
  <c r="T1182" i="1" s="1"/>
  <c r="S1182" i="1" s="1"/>
  <c r="H175" i="1" s="1"/>
  <c r="F49" i="1"/>
  <c r="F72" i="1"/>
  <c r="F57" i="1"/>
  <c r="T1080" i="1" s="1"/>
  <c r="S1080" i="1" s="1"/>
  <c r="H57" i="1" s="1"/>
  <c r="F183" i="1"/>
  <c r="F180" i="1"/>
  <c r="F184" i="1"/>
  <c r="I38" i="1"/>
  <c r="J6" i="13"/>
  <c r="I32" i="1" l="1"/>
  <c r="J185" i="1"/>
  <c r="M185" i="1"/>
  <c r="P1155" i="1"/>
  <c r="T1138" i="1"/>
  <c r="S1138" i="1" s="1"/>
  <c r="H125" i="1" s="1"/>
  <c r="I125" i="1" s="1"/>
  <c r="J20" i="1"/>
  <c r="K32" i="1"/>
  <c r="J31" i="1"/>
  <c r="K31" i="1"/>
  <c r="I31" i="1"/>
  <c r="M31" i="1"/>
  <c r="T1072" i="1"/>
  <c r="S1072" i="1" s="1"/>
  <c r="H49" i="1" s="1"/>
  <c r="I49" i="1" s="1"/>
  <c r="T1046" i="1"/>
  <c r="S1046" i="1" s="1"/>
  <c r="H21" i="1" s="1"/>
  <c r="I21" i="1" s="1"/>
  <c r="Q1062" i="1"/>
  <c r="R1064" i="1"/>
  <c r="T1043" i="1"/>
  <c r="S1043" i="1" s="1"/>
  <c r="H18" i="1" s="1"/>
  <c r="L18" i="1" s="1"/>
  <c r="K185" i="1"/>
  <c r="T1081" i="1"/>
  <c r="S1081" i="1" s="1"/>
  <c r="H58" i="1" s="1"/>
  <c r="L58" i="1" s="1"/>
  <c r="P1041" i="1"/>
  <c r="T1041" i="1" s="1"/>
  <c r="S1041" i="1" s="1"/>
  <c r="H16" i="1" s="1"/>
  <c r="J16" i="1" s="1"/>
  <c r="T1113" i="1"/>
  <c r="S1113" i="1" s="1"/>
  <c r="H95" i="1" s="1"/>
  <c r="I95" i="1" s="1"/>
  <c r="T1073" i="1"/>
  <c r="S1073" i="1" s="1"/>
  <c r="H50" i="1" s="1"/>
  <c r="J50" i="1" s="1"/>
  <c r="T1050" i="1"/>
  <c r="S1050" i="1" s="1"/>
  <c r="H25" i="1" s="1"/>
  <c r="L25" i="1" s="1"/>
  <c r="T1193" i="1"/>
  <c r="S1193" i="1" s="1"/>
  <c r="H187" i="1" s="1"/>
  <c r="K187" i="1" s="1"/>
  <c r="T1194" i="1"/>
  <c r="S1194" i="1" s="1"/>
  <c r="H188" i="1" s="1"/>
  <c r="J188" i="1" s="1"/>
  <c r="Q1063" i="1"/>
  <c r="I63" i="1"/>
  <c r="T1082" i="1"/>
  <c r="S1082" i="1" s="1"/>
  <c r="H59" i="1" s="1"/>
  <c r="L59" i="1" s="1"/>
  <c r="T1051" i="1"/>
  <c r="S1051" i="1" s="1"/>
  <c r="H26" i="1" s="1"/>
  <c r="L26" i="1" s="1"/>
  <c r="R1062" i="1"/>
  <c r="T1083" i="1"/>
  <c r="S1083" i="1" s="1"/>
  <c r="H60" i="1" s="1"/>
  <c r="K60" i="1" s="1"/>
  <c r="T1195" i="1"/>
  <c r="S1195" i="1" s="1"/>
  <c r="H189" i="1" s="1"/>
  <c r="J189" i="1" s="1"/>
  <c r="O1041" i="1"/>
  <c r="T1092" i="1"/>
  <c r="S1092" i="1" s="1"/>
  <c r="H70" i="1" s="1"/>
  <c r="I70" i="1" s="1"/>
  <c r="T1192" i="1"/>
  <c r="S1192" i="1" s="1"/>
  <c r="H186" i="1" s="1"/>
  <c r="L186" i="1" s="1"/>
  <c r="T1160" i="1"/>
  <c r="S1160" i="1" s="1"/>
  <c r="H151" i="1" s="1"/>
  <c r="J151" i="1" s="1"/>
  <c r="T1187" i="1"/>
  <c r="S1187" i="1" s="1"/>
  <c r="H181" i="1" s="1"/>
  <c r="K181" i="1" s="1"/>
  <c r="T1049" i="1"/>
  <c r="S1049" i="1" s="1"/>
  <c r="H24" i="1" s="1"/>
  <c r="I24" i="1" s="1"/>
  <c r="T1148" i="1"/>
  <c r="S1148" i="1" s="1"/>
  <c r="H137" i="1" s="1"/>
  <c r="L137" i="1" s="1"/>
  <c r="R1061" i="1"/>
  <c r="T1188" i="1"/>
  <c r="S1188" i="1" s="1"/>
  <c r="H182" i="1" s="1"/>
  <c r="K182" i="1" s="1"/>
  <c r="T1071" i="1"/>
  <c r="S1071" i="1" s="1"/>
  <c r="H48" i="1" s="1"/>
  <c r="J48" i="1" s="1"/>
  <c r="T1136" i="1"/>
  <c r="S1136" i="1" s="1"/>
  <c r="H123" i="1" s="1"/>
  <c r="L123" i="1" s="1"/>
  <c r="L172" i="1"/>
  <c r="J32" i="1"/>
  <c r="K20" i="1"/>
  <c r="I20" i="1"/>
  <c r="M20" i="1" s="1"/>
  <c r="I185" i="1"/>
  <c r="N6" i="13"/>
  <c r="N7" i="13" s="1"/>
  <c r="N8" i="13" s="1"/>
  <c r="N9" i="13" s="1"/>
  <c r="N10" i="13" s="1"/>
  <c r="N11" i="13" s="1"/>
  <c r="N12" i="13" s="1"/>
  <c r="N13" i="13" s="1"/>
  <c r="N14" i="13" s="1"/>
  <c r="E26" i="13" s="1"/>
  <c r="F112" i="1" s="1"/>
  <c r="T1127" i="1" s="1"/>
  <c r="S1127" i="1" s="1"/>
  <c r="H112" i="1" s="1"/>
  <c r="K112" i="1" s="1"/>
  <c r="E6" i="13"/>
  <c r="G6" i="13" s="1"/>
  <c r="E5" i="13"/>
  <c r="K5" i="13" s="1"/>
  <c r="H96" i="1"/>
  <c r="J96" i="1" s="1"/>
  <c r="K172" i="1"/>
  <c r="J130" i="1"/>
  <c r="I130" i="1"/>
  <c r="M32" i="1"/>
  <c r="L63" i="1"/>
  <c r="T1063" i="1"/>
  <c r="S1063" i="1" s="1"/>
  <c r="T1062" i="1"/>
  <c r="S1062" i="1" s="1"/>
  <c r="K61" i="1"/>
  <c r="S1086" i="1"/>
  <c r="M63" i="1"/>
  <c r="T1064" i="1"/>
  <c r="S1064" i="1" s="1"/>
  <c r="L61" i="1"/>
  <c r="T1061" i="1"/>
  <c r="S1061" i="1" s="1"/>
  <c r="J63" i="1"/>
  <c r="M61" i="1"/>
  <c r="P1150" i="1"/>
  <c r="T1150" i="1" s="1"/>
  <c r="S1150" i="1" s="1"/>
  <c r="H139" i="1" s="1"/>
  <c r="J139" i="1" s="1"/>
  <c r="K130" i="1"/>
  <c r="I172" i="1"/>
  <c r="J61" i="1"/>
  <c r="S1084" i="1"/>
  <c r="I27" i="1"/>
  <c r="K27" i="1"/>
  <c r="J22" i="1"/>
  <c r="O1155" i="1"/>
  <c r="T1155" i="1" s="1"/>
  <c r="S1155" i="1" s="1"/>
  <c r="H75" i="1"/>
  <c r="K75" i="1" s="1"/>
  <c r="J27" i="1"/>
  <c r="I29" i="1"/>
  <c r="Q1106" i="1"/>
  <c r="R1106" i="1"/>
  <c r="L125" i="1"/>
  <c r="S1191" i="1"/>
  <c r="K186" i="1"/>
  <c r="H146" i="1"/>
  <c r="I146" i="1" s="1"/>
  <c r="S1114" i="1"/>
  <c r="H131" i="1"/>
  <c r="L22" i="1"/>
  <c r="O1176" i="1"/>
  <c r="J77" i="1"/>
  <c r="I45" i="1"/>
  <c r="P1176" i="1"/>
  <c r="T1176" i="1" s="1"/>
  <c r="S1176" i="1" s="1"/>
  <c r="H169" i="1" s="1"/>
  <c r="Q1068" i="1"/>
  <c r="I30" i="1"/>
  <c r="K22" i="1"/>
  <c r="L45" i="1"/>
  <c r="S1137" i="1"/>
  <c r="H124" i="1" s="1"/>
  <c r="K45" i="1"/>
  <c r="R1068" i="1"/>
  <c r="L23" i="1"/>
  <c r="L77" i="1"/>
  <c r="S1116" i="1"/>
  <c r="H99" i="1" s="1"/>
  <c r="J30" i="1"/>
  <c r="K17" i="1"/>
  <c r="K87" i="1"/>
  <c r="I77" i="1"/>
  <c r="K30" i="1"/>
  <c r="J28" i="1"/>
  <c r="I28" i="1"/>
  <c r="J23" i="1"/>
  <c r="J17" i="1"/>
  <c r="K28" i="1"/>
  <c r="I17" i="1"/>
  <c r="I23" i="1"/>
  <c r="J87" i="1"/>
  <c r="L87" i="1"/>
  <c r="S1178" i="1"/>
  <c r="H171" i="1" s="1"/>
  <c r="K138" i="1"/>
  <c r="I138" i="1"/>
  <c r="J138" i="1"/>
  <c r="L138" i="1"/>
  <c r="K54" i="1"/>
  <c r="J54" i="1"/>
  <c r="L54" i="1"/>
  <c r="I54" i="1"/>
  <c r="L80" i="1"/>
  <c r="K80" i="1"/>
  <c r="J80" i="1"/>
  <c r="I80" i="1"/>
  <c r="L53" i="1"/>
  <c r="K53" i="1"/>
  <c r="I53" i="1"/>
  <c r="J53" i="1"/>
  <c r="K147" i="1"/>
  <c r="I147" i="1"/>
  <c r="J147" i="1"/>
  <c r="L147" i="1"/>
  <c r="I40" i="1"/>
  <c r="J40" i="1"/>
  <c r="K40" i="1"/>
  <c r="L40" i="1"/>
  <c r="J191" i="1"/>
  <c r="K191" i="1"/>
  <c r="I191" i="1"/>
  <c r="L191" i="1"/>
  <c r="L29" i="1"/>
  <c r="K29" i="1"/>
  <c r="L162" i="1"/>
  <c r="J162" i="1"/>
  <c r="I162" i="1"/>
  <c r="K162" i="1"/>
  <c r="I152" i="1"/>
  <c r="L152" i="1"/>
  <c r="J152" i="1"/>
  <c r="K152" i="1"/>
  <c r="J57" i="1"/>
  <c r="K57" i="1"/>
  <c r="L57" i="1"/>
  <c r="I57" i="1"/>
  <c r="J175" i="1"/>
  <c r="L175" i="1"/>
  <c r="I175" i="1"/>
  <c r="K175" i="1"/>
  <c r="P1101" i="1"/>
  <c r="O1101" i="1"/>
  <c r="S1175" i="1"/>
  <c r="H168" i="1" s="1"/>
  <c r="J52" i="1"/>
  <c r="K52" i="1"/>
  <c r="I52" i="1"/>
  <c r="L52" i="1"/>
  <c r="L50" i="1"/>
  <c r="K50" i="1"/>
  <c r="I50" i="1"/>
  <c r="J25" i="1"/>
  <c r="K190" i="1"/>
  <c r="I190" i="1"/>
  <c r="L190" i="1"/>
  <c r="J190" i="1"/>
  <c r="I47" i="1"/>
  <c r="J47" i="1"/>
  <c r="L47" i="1"/>
  <c r="K47" i="1"/>
  <c r="I86" i="1"/>
  <c r="L86" i="1"/>
  <c r="J86" i="1"/>
  <c r="K86" i="1"/>
  <c r="J71" i="1"/>
  <c r="I71" i="1"/>
  <c r="L71" i="1"/>
  <c r="K71" i="1"/>
  <c r="S1190" i="1"/>
  <c r="H184" i="1"/>
  <c r="S1169" i="1"/>
  <c r="H161" i="1"/>
  <c r="K173" i="1"/>
  <c r="L173" i="1"/>
  <c r="I173" i="1"/>
  <c r="J173" i="1"/>
  <c r="J159" i="1"/>
  <c r="K159" i="1"/>
  <c r="I159" i="1"/>
  <c r="L159" i="1"/>
  <c r="I51" i="1"/>
  <c r="K51" i="1"/>
  <c r="L51" i="1"/>
  <c r="J51" i="1"/>
  <c r="K78" i="1"/>
  <c r="I78" i="1"/>
  <c r="L78" i="1"/>
  <c r="J78" i="1"/>
  <c r="J110" i="1"/>
  <c r="I110" i="1"/>
  <c r="K110" i="1"/>
  <c r="L110" i="1"/>
  <c r="R1090" i="1"/>
  <c r="P1090" i="1"/>
  <c r="Q1090" i="1"/>
  <c r="O1090" i="1"/>
  <c r="R1091" i="1"/>
  <c r="Q1091" i="1"/>
  <c r="O1174" i="1"/>
  <c r="P1174" i="1"/>
  <c r="S1085" i="1"/>
  <c r="H62" i="1"/>
  <c r="L56" i="1"/>
  <c r="K56" i="1"/>
  <c r="J56" i="1"/>
  <c r="I56" i="1"/>
  <c r="L98" i="1"/>
  <c r="K98" i="1"/>
  <c r="I98" i="1"/>
  <c r="J98" i="1"/>
  <c r="S1163" i="1"/>
  <c r="H154" i="1" s="1"/>
  <c r="L55" i="1"/>
  <c r="J55" i="1"/>
  <c r="K55" i="1"/>
  <c r="I55" i="1"/>
  <c r="L19" i="1"/>
  <c r="J19" i="1"/>
  <c r="K19" i="1"/>
  <c r="I19" i="1"/>
  <c r="S1177" i="1"/>
  <c r="H170" i="1" s="1"/>
  <c r="S1181" i="1"/>
  <c r="H174" i="1"/>
  <c r="S1096" i="1"/>
  <c r="H74" i="1" s="1"/>
  <c r="T1094" i="1"/>
  <c r="S1094" i="1" s="1"/>
  <c r="H72" i="1" s="1"/>
  <c r="H180" i="1"/>
  <c r="O1186" i="1"/>
  <c r="P1186" i="1"/>
  <c r="L49" i="1"/>
  <c r="H183" i="1"/>
  <c r="S1189" i="1"/>
  <c r="S1168" i="1"/>
  <c r="H160" i="1" s="1"/>
  <c r="S1158" i="1"/>
  <c r="H149" i="1" s="1"/>
  <c r="S1162" i="1"/>
  <c r="H153" i="1" s="1"/>
  <c r="S1098" i="1"/>
  <c r="H76" i="1" s="1"/>
  <c r="K46" i="1"/>
  <c r="L46" i="1"/>
  <c r="J46" i="1"/>
  <c r="I46" i="1"/>
  <c r="K24" i="1"/>
  <c r="J24" i="1"/>
  <c r="S1157" i="1"/>
  <c r="H148" i="1" s="1"/>
  <c r="S1144" i="1"/>
  <c r="H132" i="1" s="1"/>
  <c r="H73" i="1"/>
  <c r="S1095" i="1"/>
  <c r="J7" i="13"/>
  <c r="J187" i="1" l="1"/>
  <c r="I18" i="1"/>
  <c r="I60" i="1"/>
  <c r="I188" i="1"/>
  <c r="J125" i="1"/>
  <c r="K137" i="1"/>
  <c r="K188" i="1"/>
  <c r="K125" i="1"/>
  <c r="L60" i="1"/>
  <c r="L189" i="1"/>
  <c r="L188" i="1"/>
  <c r="J182" i="1"/>
  <c r="J70" i="1"/>
  <c r="I48" i="1"/>
  <c r="L70" i="1"/>
  <c r="L48" i="1"/>
  <c r="K48" i="1"/>
  <c r="L21" i="1"/>
  <c r="J21" i="1"/>
  <c r="K21" i="1"/>
  <c r="I26" i="1"/>
  <c r="K25" i="1"/>
  <c r="L24" i="1"/>
  <c r="J137" i="1"/>
  <c r="L95" i="1"/>
  <c r="K189" i="1"/>
  <c r="I25" i="1"/>
  <c r="I137" i="1"/>
  <c r="K70" i="1"/>
  <c r="J60" i="1"/>
  <c r="K49" i="1"/>
  <c r="I189" i="1"/>
  <c r="J49" i="1"/>
  <c r="L187" i="1"/>
  <c r="L181" i="1"/>
  <c r="J186" i="1"/>
  <c r="I181" i="1"/>
  <c r="L151" i="1"/>
  <c r="K95" i="1"/>
  <c r="I182" i="1"/>
  <c r="J95" i="1"/>
  <c r="L182" i="1"/>
  <c r="I187" i="1"/>
  <c r="K18" i="1"/>
  <c r="J18" i="1"/>
  <c r="K26" i="1"/>
  <c r="J181" i="1"/>
  <c r="J26" i="1"/>
  <c r="J59" i="1"/>
  <c r="K58" i="1"/>
  <c r="J123" i="1"/>
  <c r="I58" i="1"/>
  <c r="K59" i="1"/>
  <c r="I151" i="1"/>
  <c r="I123" i="1"/>
  <c r="K151" i="1"/>
  <c r="K123" i="1"/>
  <c r="I59" i="1"/>
  <c r="I186" i="1"/>
  <c r="J58" i="1"/>
  <c r="K6" i="13"/>
  <c r="E7" i="13"/>
  <c r="G7" i="13" s="1"/>
  <c r="I112" i="1"/>
  <c r="F106" i="1"/>
  <c r="L112" i="1"/>
  <c r="J112" i="1"/>
  <c r="F6" i="13"/>
  <c r="G5" i="13"/>
  <c r="M5" i="13" s="1"/>
  <c r="M6" i="13" s="1"/>
  <c r="K96" i="1"/>
  <c r="I96" i="1"/>
  <c r="M96" i="1" s="1"/>
  <c r="L96" i="1"/>
  <c r="I139" i="1"/>
  <c r="L139" i="1"/>
  <c r="K139" i="1"/>
  <c r="J169" i="1"/>
  <c r="I169" i="1"/>
  <c r="K169" i="1"/>
  <c r="L169" i="1"/>
  <c r="L16" i="1"/>
  <c r="T1091" i="1"/>
  <c r="S1091" i="1" s="1"/>
  <c r="H69" i="1" s="1"/>
  <c r="J69" i="1" s="1"/>
  <c r="J146" i="1"/>
  <c r="T1106" i="1"/>
  <c r="S1106" i="1" s="1"/>
  <c r="H85" i="1" s="1"/>
  <c r="T1090" i="1"/>
  <c r="S1090" i="1" s="1"/>
  <c r="H68" i="1" s="1"/>
  <c r="I68" i="1" s="1"/>
  <c r="T1068" i="1"/>
  <c r="S1068" i="1" s="1"/>
  <c r="L146" i="1"/>
  <c r="K146" i="1"/>
  <c r="L75" i="1"/>
  <c r="I16" i="1"/>
  <c r="K16" i="1"/>
  <c r="I75" i="1"/>
  <c r="J75" i="1"/>
  <c r="I131" i="1"/>
  <c r="M131" i="1" s="1"/>
  <c r="L131" i="1"/>
  <c r="J131" i="1"/>
  <c r="K131" i="1"/>
  <c r="L124" i="1"/>
  <c r="J124" i="1"/>
  <c r="K124" i="1"/>
  <c r="I124" i="1"/>
  <c r="M124" i="1" s="1"/>
  <c r="T1174" i="1"/>
  <c r="S1174" i="1" s="1"/>
  <c r="H167" i="1" s="1"/>
  <c r="I167" i="1" s="1"/>
  <c r="T1101" i="1"/>
  <c r="S1101" i="1" s="1"/>
  <c r="H79" i="1" s="1"/>
  <c r="L79" i="1" s="1"/>
  <c r="L99" i="1"/>
  <c r="J99" i="1"/>
  <c r="K99" i="1"/>
  <c r="I99" i="1"/>
  <c r="M99" i="1" s="1"/>
  <c r="T1186" i="1"/>
  <c r="S1186" i="1" s="1"/>
  <c r="K171" i="1"/>
  <c r="L171" i="1"/>
  <c r="I171" i="1"/>
  <c r="M171" i="1"/>
  <c r="J171" i="1"/>
  <c r="J149" i="1"/>
  <c r="L149" i="1"/>
  <c r="K149" i="1"/>
  <c r="I149" i="1"/>
  <c r="I74" i="1"/>
  <c r="J74" i="1"/>
  <c r="L74" i="1"/>
  <c r="K74" i="1"/>
  <c r="L73" i="1"/>
  <c r="K73" i="1"/>
  <c r="J73" i="1"/>
  <c r="I73" i="1"/>
  <c r="L174" i="1"/>
  <c r="J174" i="1"/>
  <c r="M174" i="1"/>
  <c r="I174" i="1"/>
  <c r="K174" i="1"/>
  <c r="I180" i="1"/>
  <c r="L180" i="1"/>
  <c r="K180" i="1"/>
  <c r="J180" i="1"/>
  <c r="I154" i="1"/>
  <c r="L154" i="1"/>
  <c r="J154" i="1"/>
  <c r="K154" i="1"/>
  <c r="J184" i="1"/>
  <c r="I184" i="1"/>
  <c r="M184" i="1"/>
  <c r="K184" i="1"/>
  <c r="L184" i="1"/>
  <c r="J168" i="1"/>
  <c r="I168" i="1"/>
  <c r="L168" i="1"/>
  <c r="K168" i="1"/>
  <c r="M168" i="1"/>
  <c r="I132" i="1"/>
  <c r="M132" i="1" s="1"/>
  <c r="L132" i="1"/>
  <c r="K132" i="1"/>
  <c r="J132" i="1"/>
  <c r="J148" i="1"/>
  <c r="L148" i="1"/>
  <c r="M148" i="1"/>
  <c r="K148" i="1"/>
  <c r="I148" i="1"/>
  <c r="J160" i="1"/>
  <c r="K160" i="1"/>
  <c r="L160" i="1"/>
  <c r="I160" i="1"/>
  <c r="M160" i="1" s="1"/>
  <c r="K170" i="1"/>
  <c r="J170" i="1"/>
  <c r="I170" i="1"/>
  <c r="M170" i="1" s="1"/>
  <c r="L170" i="1"/>
  <c r="I161" i="1"/>
  <c r="M161" i="1" s="1"/>
  <c r="L161" i="1"/>
  <c r="J161" i="1"/>
  <c r="K161" i="1"/>
  <c r="L76" i="1"/>
  <c r="J76" i="1"/>
  <c r="K76" i="1"/>
  <c r="I76" i="1"/>
  <c r="L183" i="1"/>
  <c r="J183" i="1"/>
  <c r="K183" i="1"/>
  <c r="I183" i="1"/>
  <c r="M183" i="1"/>
  <c r="L62" i="1"/>
  <c r="J62" i="1"/>
  <c r="M62" i="1"/>
  <c r="K62" i="1"/>
  <c r="I62" i="1"/>
  <c r="J153" i="1"/>
  <c r="I153" i="1"/>
  <c r="M153" i="1" s="1"/>
  <c r="L153" i="1"/>
  <c r="K153" i="1"/>
  <c r="J72" i="1"/>
  <c r="K72" i="1"/>
  <c r="L72" i="1"/>
  <c r="I72" i="1"/>
  <c r="J8" i="13"/>
  <c r="J167" i="1" l="1"/>
  <c r="I69" i="1"/>
  <c r="L167" i="1"/>
  <c r="I85" i="1"/>
  <c r="J85" i="1"/>
  <c r="L85" i="1"/>
  <c r="K85" i="1"/>
  <c r="K7" i="13"/>
  <c r="M7" i="13"/>
  <c r="F7" i="13"/>
  <c r="E8" i="13"/>
  <c r="F5" i="13"/>
  <c r="L5" i="13" s="1"/>
  <c r="L6" i="13" s="1"/>
  <c r="K167" i="1"/>
  <c r="L69" i="1"/>
  <c r="K69" i="1"/>
  <c r="J68" i="1"/>
  <c r="L68" i="1"/>
  <c r="K68" i="1"/>
  <c r="K79" i="1"/>
  <c r="J79" i="1"/>
  <c r="I79" i="1"/>
  <c r="J9" i="13"/>
  <c r="L7" i="13" l="1"/>
  <c r="G8" i="13"/>
  <c r="M8" i="13" s="1"/>
  <c r="E9" i="13"/>
  <c r="K8" i="13"/>
  <c r="J10" i="13"/>
  <c r="F8" i="13" l="1"/>
  <c r="L8" i="13" s="1"/>
  <c r="K9" i="13"/>
  <c r="G9" i="13"/>
  <c r="M9" i="13" s="1"/>
  <c r="E10" i="13"/>
  <c r="J11" i="13"/>
  <c r="F9" i="13" l="1"/>
  <c r="L9" i="13" s="1"/>
  <c r="G10" i="13"/>
  <c r="M10" i="13" s="1"/>
  <c r="K10" i="13"/>
  <c r="E11" i="13"/>
  <c r="J12" i="13"/>
  <c r="F10" i="13" l="1"/>
  <c r="L10" i="13" s="1"/>
  <c r="E12" i="13"/>
  <c r="K11" i="13"/>
  <c r="G11" i="13"/>
  <c r="M11" i="13" s="1"/>
  <c r="J13" i="13"/>
  <c r="F11" i="13" l="1"/>
  <c r="L11" i="13" s="1"/>
  <c r="K12" i="13"/>
  <c r="G12" i="13"/>
  <c r="M12" i="13" s="1"/>
  <c r="E13" i="13"/>
  <c r="J14" i="13"/>
  <c r="F12" i="13" l="1"/>
  <c r="L12" i="13" s="1"/>
  <c r="E14" i="13"/>
  <c r="G14" i="13" s="1"/>
  <c r="F14" i="13" s="1"/>
  <c r="G13" i="13"/>
  <c r="M13" i="13" s="1"/>
  <c r="K13" i="13"/>
  <c r="K14" i="13" l="1"/>
  <c r="F109" i="1" s="1"/>
  <c r="F13" i="13"/>
  <c r="L13" i="13" s="1"/>
  <c r="L14" i="13" s="1"/>
  <c r="M14" i="13"/>
  <c r="E23" i="13" l="1"/>
  <c r="F111" i="1" s="1"/>
  <c r="T1126" i="1" s="1"/>
  <c r="S1126" i="1" s="1"/>
  <c r="H111" i="1" s="1"/>
  <c r="F107" i="1"/>
  <c r="E25" i="13"/>
  <c r="F113" i="1" s="1"/>
  <c r="T1128" i="1" s="1"/>
  <c r="S1128" i="1" s="1"/>
  <c r="H113" i="1" s="1"/>
  <c r="E24" i="13"/>
  <c r="F114" i="1" s="1"/>
  <c r="T1129" i="1" s="1"/>
  <c r="S1129" i="1" s="1"/>
  <c r="H114" i="1" s="1"/>
  <c r="E22" i="13"/>
  <c r="F115" i="1" s="1"/>
  <c r="T1130" i="1" s="1"/>
  <c r="S1130" i="1" s="1"/>
  <c r="H115" i="1" s="1"/>
  <c r="F108" i="1"/>
  <c r="K115" i="1" l="1"/>
  <c r="I115" i="1"/>
  <c r="J115" i="1"/>
  <c r="L115" i="1"/>
  <c r="J114" i="1"/>
  <c r="K114" i="1"/>
  <c r="I114" i="1"/>
  <c r="L114" i="1"/>
  <c r="J111" i="1"/>
  <c r="K111" i="1"/>
  <c r="I111" i="1"/>
  <c r="L111" i="1"/>
  <c r="L113" i="1"/>
  <c r="I113" i="1"/>
  <c r="K113" i="1"/>
  <c r="J113" i="1"/>
  <c r="E28" i="13"/>
  <c r="E29" i="13"/>
  <c r="E30" i="13" l="1"/>
  <c r="F116" i="1" s="1"/>
  <c r="T1131" i="1" s="1"/>
  <c r="S1131" i="1" s="1"/>
  <c r="H116" i="1" s="1"/>
  <c r="L116" i="1" s="1"/>
  <c r="I116" i="1" l="1"/>
  <c r="J116" i="1"/>
  <c r="K116" i="1"/>
</calcChain>
</file>

<file path=xl/sharedStrings.xml><?xml version="1.0" encoding="utf-8"?>
<sst xmlns="http://schemas.openxmlformats.org/spreadsheetml/2006/main" count="2022" uniqueCount="400">
  <si>
    <t xml:space="preserve"> MATERIALIEN UND NORMWERTE FÜR DIE</t>
  </si>
  <si>
    <t>Nachname</t>
  </si>
  <si>
    <t>Vorname</t>
  </si>
  <si>
    <t>Geschlecht</t>
  </si>
  <si>
    <t>m</t>
  </si>
  <si>
    <t>Bildungsjahre</t>
  </si>
  <si>
    <t>Geburtsdatum</t>
  </si>
  <si>
    <t xml:space="preserve">  Übersicht der Testergebnisse</t>
  </si>
  <si>
    <t>Erfasst am</t>
  </si>
  <si>
    <t xml:space="preserve"> </t>
  </si>
  <si>
    <t>RS</t>
  </si>
  <si>
    <t>(Einheit)</t>
  </si>
  <si>
    <t>AS</t>
  </si>
  <si>
    <t>PR</t>
  </si>
  <si>
    <t>z-Wert</t>
  </si>
  <si>
    <t>C-Wert</t>
  </si>
  <si>
    <t>T-Wert</t>
  </si>
  <si>
    <t>Lernen &amp; Gedächtnis</t>
  </si>
  <si>
    <t>Testversion</t>
  </si>
  <si>
    <t>A oder B</t>
  </si>
  <si>
    <t>Testdatum</t>
  </si>
  <si>
    <t>Summe Lerndurchgang L1 bis L5</t>
  </si>
  <si>
    <t>Anzahl</t>
  </si>
  <si>
    <t>Interferenzliste I</t>
  </si>
  <si>
    <t>Abruf SD</t>
  </si>
  <si>
    <t>Spätabruf LD</t>
  </si>
  <si>
    <t>Wiedererkennen</t>
  </si>
  <si>
    <t>Wiedererkennen ohne Falsch-Positive</t>
  </si>
  <si>
    <t>L1 Supraspanne</t>
  </si>
  <si>
    <t>L5 Lernmaß</t>
  </si>
  <si>
    <t>Verlust nach Interferenz</t>
  </si>
  <si>
    <t>Differenz Anzahl</t>
  </si>
  <si>
    <t>Verlust nach Zeit</t>
  </si>
  <si>
    <t>Gesamtsumme Perseverationen</t>
  </si>
  <si>
    <t>Gesamtsumme Konfabulationen</t>
  </si>
  <si>
    <t>Summe Intrusionen SD &amp; LD</t>
  </si>
  <si>
    <t>Intrusionen Abruf Liste I</t>
  </si>
  <si>
    <t>Textgedächtnis</t>
  </si>
  <si>
    <t>Abruf SD inkl. Singemäße</t>
  </si>
  <si>
    <t>Spätabruf LD inkl. Sinngemäße</t>
  </si>
  <si>
    <t>Figuraler Lern- und Gedächtnistest FLGT</t>
  </si>
  <si>
    <t>Gesamtsumme Rotationen</t>
  </si>
  <si>
    <t>Gesamtsumme Verzerrte</t>
  </si>
  <si>
    <t>Nonverbaler Lern- und Gedächtnistest für Routen NLGTR</t>
  </si>
  <si>
    <t>Interferenztafel I</t>
  </si>
  <si>
    <t>Gesamtsumme Fehler</t>
  </si>
  <si>
    <t>Gesamtsumme Regelbrüche</t>
  </si>
  <si>
    <t>Spätabruf vorhanden</t>
  </si>
  <si>
    <t>Spätabruf verschoben</t>
  </si>
  <si>
    <t>Spätabruf entstellt</t>
  </si>
  <si>
    <t>Testzeitpunkt</t>
  </si>
  <si>
    <t>Verbale Merkspanne vorwärts</t>
  </si>
  <si>
    <t>Spannenmass</t>
  </si>
  <si>
    <t>Visuelle Merkspanne vorwärts</t>
  </si>
  <si>
    <t>Aufmerksamkeit</t>
  </si>
  <si>
    <t>Ausgelassene gesamt</t>
  </si>
  <si>
    <t>Falsche gesamt</t>
  </si>
  <si>
    <t>Total- gesamt</t>
  </si>
  <si>
    <t>Total+ gesamt</t>
  </si>
  <si>
    <t>Bearbeitungszeit</t>
  </si>
  <si>
    <t>Zeit als Dezimalzahl</t>
  </si>
  <si>
    <t>Minuten (DZ)</t>
  </si>
  <si>
    <t>Total+ pro Minute</t>
  </si>
  <si>
    <t>T+ /Minute</t>
  </si>
  <si>
    <t>Anzahl / Minute</t>
  </si>
  <si>
    <t>Ausgelassene pro Minute</t>
  </si>
  <si>
    <t>Ausgelassene/Minute</t>
  </si>
  <si>
    <t>Falsche pro Minute</t>
  </si>
  <si>
    <t>Falsche/Minute</t>
  </si>
  <si>
    <t>Total- pro Minute</t>
  </si>
  <si>
    <t>T- /Minute</t>
  </si>
  <si>
    <t>Total- in Prozent</t>
  </si>
  <si>
    <t>T- in %</t>
  </si>
  <si>
    <t>Prozentsatz</t>
  </si>
  <si>
    <t>Schwankungsbreite</t>
  </si>
  <si>
    <t>Differenzwert</t>
  </si>
  <si>
    <t>Visuelle Wahrnehmung / konstr. Fähigkeiten</t>
  </si>
  <si>
    <t>Kopie vorhanden</t>
  </si>
  <si>
    <t>Kopie verschoben</t>
  </si>
  <si>
    <t>Kopie entstellt</t>
  </si>
  <si>
    <t>Anzahl Richtige</t>
  </si>
  <si>
    <t>Anzahl Teilrichtige</t>
  </si>
  <si>
    <t>Anzahl Falsche</t>
  </si>
  <si>
    <t>Spatial Test</t>
  </si>
  <si>
    <t>Sekunden</t>
  </si>
  <si>
    <t>Exekutive Funktionen</t>
  </si>
  <si>
    <t>Word Fluency: Anzahl Richtige</t>
  </si>
  <si>
    <t>Word Fluency: Anzahl Perseverationen</t>
  </si>
  <si>
    <t>Anzahl Perseverationen</t>
  </si>
  <si>
    <t>Word Fluency: Anzahl Regelbrüche</t>
  </si>
  <si>
    <t>Anzahl Regelbrüche</t>
  </si>
  <si>
    <t>Word Fluency: Fehlerprozentsatz</t>
  </si>
  <si>
    <t>Fehlerprozentsatz</t>
  </si>
  <si>
    <t>Prozent</t>
  </si>
  <si>
    <t>Design Fluency: Anzahl Richtige</t>
  </si>
  <si>
    <t>Design Fluency: Anzahl Perseverationen</t>
  </si>
  <si>
    <t>Design Fluency: Anzahl Regelbrüche</t>
  </si>
  <si>
    <t>Design Fluency: Fehlerprozentsatz</t>
  </si>
  <si>
    <t>2-Gruppentest nach Kramer</t>
  </si>
  <si>
    <t>Anzahl Repetitionen</t>
  </si>
  <si>
    <t>Anzahl Unlogische</t>
  </si>
  <si>
    <t>Totalzeit</t>
  </si>
  <si>
    <t>Stroop Test</t>
  </si>
  <si>
    <t>Tafel A, Zeit</t>
  </si>
  <si>
    <t>Tafel A, Fehler</t>
  </si>
  <si>
    <t>Fehler</t>
  </si>
  <si>
    <t>Tafel B, Zeit</t>
  </si>
  <si>
    <t>Tafel B, Stroop Fehler</t>
  </si>
  <si>
    <t>Tafel B, andere Fehler</t>
  </si>
  <si>
    <t>Tafel C, Zeit</t>
  </si>
  <si>
    <t>Tafel C, Stroop Fehler</t>
  </si>
  <si>
    <t>Tafel C, andere Fehler</t>
  </si>
  <si>
    <t>Differenz Benenntempo C-A</t>
  </si>
  <si>
    <t>Differenz Sekunden</t>
  </si>
  <si>
    <t>Planungstest</t>
  </si>
  <si>
    <t>Anzahl benötigter Züge</t>
  </si>
  <si>
    <t>Planungsqualität Gesamttest</t>
  </si>
  <si>
    <t>Quotient</t>
  </si>
  <si>
    <t>Planungsqualität Aufgabe 5</t>
  </si>
  <si>
    <t>Planungsqualität Aufgabe 6</t>
  </si>
  <si>
    <t>Anzahl Fehler</t>
  </si>
  <si>
    <t>Planungskoeffizient Zeit Aufgabe 1</t>
  </si>
  <si>
    <t>Koeffizient</t>
  </si>
  <si>
    <t>Planungskoeffizient Zeit Aufgabe 2</t>
  </si>
  <si>
    <t>Planungskoeffizient Zeit Aufgabe 3</t>
  </si>
  <si>
    <t>Planungskoeffizient Zeit Aufgabe 4</t>
  </si>
  <si>
    <t>Planungskoeffizient Zeit Aufgabe 5</t>
  </si>
  <si>
    <t>Planungskoeffizient Zeit Aufgabe 6</t>
  </si>
  <si>
    <t>A</t>
  </si>
  <si>
    <t>L2</t>
  </si>
  <si>
    <t>L3</t>
  </si>
  <si>
    <t>L4</t>
  </si>
  <si>
    <t>Spanne</t>
  </si>
  <si>
    <t>Minute</t>
  </si>
  <si>
    <t>Position nach Minute</t>
  </si>
  <si>
    <t>Z\S</t>
  </si>
  <si>
    <t>Zeile</t>
  </si>
  <si>
    <t>Spalte</t>
  </si>
  <si>
    <t>T+</t>
  </si>
  <si>
    <t>T-</t>
  </si>
  <si>
    <t>Σ(T+)</t>
  </si>
  <si>
    <t>Σ(T- )</t>
  </si>
  <si>
    <t>Min</t>
  </si>
  <si>
    <t>Sek</t>
  </si>
  <si>
    <t>Benötigte Zeit</t>
  </si>
  <si>
    <t>min. bearb. Z./Min.</t>
  </si>
  <si>
    <t>max. bearb. Z./Min.</t>
  </si>
  <si>
    <t>Bitte geben Sie zunächst die benötigte Gesamtzeit sowie</t>
  </si>
  <si>
    <t>tragen Sie bitte in alle Felder "Zeile" und "Spalte" die</t>
  </si>
  <si>
    <t>jeweilige Position zum Ende der 1., 2. usw. Minute ein.</t>
  </si>
  <si>
    <t>und "f" für falsch-positiv erkannte Zeichen eingeben</t>
  </si>
  <si>
    <t>Alternativ können Sie auch in den blau markierten Eingabefeldern</t>
  </si>
  <si>
    <r>
      <t>T</t>
    </r>
    <r>
      <rPr>
        <b/>
        <vertAlign val="subscript"/>
        <sz val="10"/>
        <rFont val="Arial"/>
        <family val="2"/>
      </rPr>
      <t>fal</t>
    </r>
  </si>
  <si>
    <r>
      <t>T</t>
    </r>
    <r>
      <rPr>
        <b/>
        <vertAlign val="subscript"/>
        <sz val="10"/>
        <rFont val="Arial"/>
        <family val="2"/>
      </rPr>
      <t>aus</t>
    </r>
  </si>
  <si>
    <r>
      <t>Σ(T</t>
    </r>
    <r>
      <rPr>
        <b/>
        <vertAlign val="subscript"/>
        <sz val="10"/>
        <rFont val="Arial"/>
        <family val="2"/>
      </rPr>
      <t>krit</t>
    </r>
    <r>
      <rPr>
        <b/>
        <sz val="10"/>
        <rFont val="Arial"/>
        <family val="2"/>
      </rPr>
      <t>)</t>
    </r>
  </si>
  <si>
    <r>
      <t>Σ(T</t>
    </r>
    <r>
      <rPr>
        <b/>
        <vertAlign val="subscript"/>
        <sz val="10"/>
        <rFont val="Arial"/>
        <family val="2"/>
      </rPr>
      <t>fal)</t>
    </r>
  </si>
  <si>
    <r>
      <t>Σ(T</t>
    </r>
    <r>
      <rPr>
        <b/>
        <vertAlign val="subscript"/>
        <sz val="10"/>
        <rFont val="Arial"/>
        <family val="2"/>
      </rPr>
      <t>aus)</t>
    </r>
  </si>
  <si>
    <t>sqrtedu - 3.69</t>
  </si>
  <si>
    <t>"edu-13.77"</t>
  </si>
  <si>
    <t>Auditiv-verbaler Lern- und Gedächtnistest</t>
  </si>
  <si>
    <t>n = 569</t>
  </si>
  <si>
    <t>alle Probanden</t>
  </si>
  <si>
    <t>Form A &amp; B</t>
  </si>
  <si>
    <t>AS = RS - 21,06 * (log(100-age) - 1,78) - 5,07 * (sqrtedu - 3,69) + 2 if male / - 2 if female</t>
  </si>
  <si>
    <t>Variable:</t>
  </si>
  <si>
    <t>AS = RS - 2,87 * (log(100-age) - 1,78) - 0,61 * (sqrtedu - 3,69)</t>
  </si>
  <si>
    <t>AS = RS - 4,64 * (log(100-age) - 1,78) - 1.02 * (sqrtedu - 3,69)</t>
  </si>
  <si>
    <t>n = 568</t>
  </si>
  <si>
    <t>AS = RS - 4,61 * (log(100-age) - 1,78) - 1,03 * (sqrtedu - 3,69)</t>
  </si>
  <si>
    <t>n = 567</t>
  </si>
  <si>
    <t>Grobnormen: Bitte nur Cut Off-Wert bestimmen!</t>
  </si>
  <si>
    <t>AS = RS - 6,11 * (log(100-age) - 1,78) - 0,8 * (sqrtedu - 3,69)</t>
  </si>
  <si>
    <t>AS = RS - 2,96 * (log(100-age) - 1,78) - 0,17 * (edu - 13,77)</t>
  </si>
  <si>
    <t>AS = RS - 5,61 * (log(100-age) - 1,78) - 0,86 * (sqrtedu - 3,69)</t>
  </si>
  <si>
    <r>
      <t>L5 Lernma</t>
    </r>
    <r>
      <rPr>
        <b/>
        <sz val="10"/>
        <rFont val="Arial"/>
        <family val="2"/>
      </rPr>
      <t>ß</t>
    </r>
  </si>
  <si>
    <t>AS = RS - 0,04 * (age - 38,62) + 0,02 * (edu - 13,77)</t>
  </si>
  <si>
    <t>AS = RS - 0,03 * (age - 38,62) + 0,01 * (sqrtedu - 3,69)</t>
  </si>
  <si>
    <t>AS = RS - 0,04 * (age - 38,62) - 0,72 * (sqrtedu - 3,69)</t>
  </si>
  <si>
    <t>AS = RS - 0,02 * (age - 38,62) - 0,2 * (edu - 13,77)</t>
  </si>
  <si>
    <t>w</t>
  </si>
  <si>
    <t>n =</t>
  </si>
  <si>
    <t>AS = RS - 1,52 * (log(100-age) - 1,78) - 2,33 * (sqrtedu - 3,69) + 1 if Form A / - 1 if Form B</t>
  </si>
  <si>
    <t>AS = RS - 2,03 * (log(100-age) - 1,78) - 2,51 * (sqrtedu - 3,69) + 1 if Form A / - 1 if Form B</t>
  </si>
  <si>
    <r>
      <t>Abruf SD inkl. Sinngemä</t>
    </r>
    <r>
      <rPr>
        <b/>
        <sz val="10"/>
        <rFont val="Arial"/>
        <family val="2"/>
      </rPr>
      <t>ß</t>
    </r>
    <r>
      <rPr>
        <b/>
        <i/>
        <sz val="10"/>
        <rFont val="Arial"/>
        <family val="2"/>
      </rPr>
      <t>e</t>
    </r>
  </si>
  <si>
    <t>AS = RS - 3,11 * (log(100-age) - 1,78) - 0,31 * (edu - 13,77) + 1 if Form A / - 1 if Form B</t>
  </si>
  <si>
    <t>AS = RS - 1,62 * (log(100-age) - 1,78) - 2,38 * (sqrtedu - 3,69) + 1 if Form A / - 1if Form B</t>
  </si>
  <si>
    <t>Figuraler Lern- und Gedächtnistest</t>
  </si>
  <si>
    <t>AS = RS - 22,46 * (log(100-age) - 1,78) - 2,53 * (sqrtedu - 3,69) + 2 if Form A / -2 if Form B</t>
  </si>
  <si>
    <t>AS = RS + 0,06 * (age - 38,62) - 1,78) - 2,22 * (sqrtedu - 3,69)</t>
  </si>
  <si>
    <t>AS = RS - 5,40 * (log(100-age) - 1,78) - 0,55 * (sqrtedu - 3,69)</t>
  </si>
  <si>
    <t>AS = RS - 5,56 * (log(100-age) - 1,78) - 0,50 * (sqrtedu - 3,69)</t>
  </si>
  <si>
    <t>AS = RS - 6,48 * (log(100-age) - 1,78) - 0,66 * (sqrtedu - 3,69)</t>
  </si>
  <si>
    <t>AS = RS - 6,0 * (log(100-age) - 1,78) - 0,6 * (sqrtedu - 3,69)</t>
  </si>
  <si>
    <t>AS = RS + 0,05 * (age - 38,62) -1,78) - 2,21 * (sqrtedu - 3,69)</t>
  </si>
  <si>
    <t>AS = RS - 5,8 * (log(100-age) -1,78) - 0,132 * (edu - 13,77)</t>
  </si>
  <si>
    <t>AS = RS - 0,01 * (age - 38,62)</t>
  </si>
  <si>
    <t>AS = RS - 0,12 * (age-38,62) - 1,78) - 0,39 * (sqrtedu - 3,69)</t>
  </si>
  <si>
    <t>AS = RS - 0,5 * (log(100-age) -1,78)</t>
  </si>
  <si>
    <t>AS = RS - 0,26 * (age-38,62) + 0,14 * (sqrtedu - 3,69)</t>
  </si>
  <si>
    <t>AS=</t>
  </si>
  <si>
    <t>Summe Lerndurchgang L1 bis L5 inkl. Rotationen</t>
  </si>
  <si>
    <t>Abruf kurzfristig SD inkl. Rotationen</t>
  </si>
  <si>
    <t>Spätabruf LD inkl. Rotationen</t>
  </si>
  <si>
    <t>Nonverbaler Lern- und Gedächtnistest für Routen</t>
  </si>
  <si>
    <t>AS = RS - 30,52 * (log(100-age) - 1,78) - 4,42 * (sqrtedu - 3,69) +1 if female / -1 if male +1 if Form A / -1 if Form B</t>
  </si>
  <si>
    <t>AS = RS - 4,99 * (log(100-age) - 1,78) - 0,61 * (sqrtedu - 3,69) +1 if Form A / -1 if Form B</t>
  </si>
  <si>
    <t>AS = RS - 6,42 * (log(100-age) - 1,78) - 0,96 * (sqrtedu - 3,69)</t>
  </si>
  <si>
    <t>AS = RS - 6,63 * (log(100-age) - 1,78) - 0,86 * (sqrtedu -3,69)</t>
  </si>
  <si>
    <t>AS = RS - 5,38 * (log(100-age) - 1,78)</t>
  </si>
  <si>
    <t>AS = RS - 6,81 * (log(100-age) - 1,78) - 0,93 * (sqrtedu - 3,69)</t>
  </si>
  <si>
    <t>AS = RS - 0,02 * (age - 38,62) + 0,02 * (edu - 13,77)</t>
  </si>
  <si>
    <t>AS = RS - 0,02 * (age - 38,62)</t>
  </si>
  <si>
    <t>AS = RS - 0,32 * (age - 38,62) + 0,14 * (edu - 3,69) - 1 if female / + 1 if male</t>
  </si>
  <si>
    <t>AS = RS - 0,02 * (age - 38,62) + 0,14 * (edu - 13,77)</t>
  </si>
  <si>
    <t>Rey/Taylor Complex Figure Test</t>
  </si>
  <si>
    <t xml:space="preserve">n = </t>
  </si>
  <si>
    <t>AS = RS - 8,02 * (log(100-age) - 1,78) - 0,95 * (sqrtedu - 3,69)</t>
  </si>
  <si>
    <t>AS = RS - 1,04 * (log(100-age) - 1,78) + 0,06 * (edu - 13,77)</t>
  </si>
  <si>
    <t>AS = RS - 5,99 * (log(100-age) - 1,78) - 0,11 * (edu - 13,77) +1 if Form A / -1 if Form B</t>
  </si>
  <si>
    <t>AS = RS - 0,03 * (age - 38,62) + 0,02 * (edu - 13,77)</t>
  </si>
  <si>
    <t>AS = RS - 0,02 * (age - 38,62) - 0,29 * (sqrtedu - 3,69)</t>
  </si>
  <si>
    <t>AS = RS - 2,6 * (log(100-age) - 1,78) - 0,45 * (sqrtedu - 3,69)</t>
  </si>
  <si>
    <t>AS = RS - 2,8 * (log(100-age) - 1,78) - 0,28 * (sqrtedu - 3,69)</t>
  </si>
  <si>
    <t>Deux Barrages</t>
  </si>
  <si>
    <t>AS = RS - 4,3 * (log(100-age) - 1,78) - 0,34 * (sqrtedu - 3,69)</t>
  </si>
  <si>
    <t>AS = RS - 9,57 * (log(100-age) - 1,78) - 2,14 * (sqrtedu - 3,69)</t>
  </si>
  <si>
    <t>AS = RS - 0,72 * (log(100-age) - 1,78)</t>
  </si>
  <si>
    <t>AS = RS - 0,01 * (sqrtedu - 3,69)</t>
  </si>
  <si>
    <t>AS = RS - 0,8 * (log(100-age) - 1,78)</t>
  </si>
  <si>
    <t>AS = RS - 0,07 * (age - 38,62) - 1,78) - 0,94 * (sqrtedu3,69)</t>
  </si>
  <si>
    <t>Total- in %</t>
  </si>
  <si>
    <t>AS = RS - 5,97 * (log(100-age) - 1,78)</t>
  </si>
  <si>
    <t>Gestaltwahrnehmung n.Poppelreuter</t>
  </si>
  <si>
    <t>AS = RS - 8,75 * (log(100-age) - 1,78) - 1,12 * (sqrtedu - 3,69)</t>
  </si>
  <si>
    <t>AS = RS - 6,0 * (log(100-age) -1,78) - 1,0 * (sqrtedu - 3,69)</t>
  </si>
  <si>
    <t xml:space="preserve">AS = RS - 0,03 * (age - 38,62) + 0,02 * (edu - 13,77) </t>
  </si>
  <si>
    <t>AS = RS - 2,84 * (age - 38,62) - 15,68 * (sqrtedu - 3,69) + 18 (if male), -18 (if female)</t>
  </si>
  <si>
    <t>Word Fluency</t>
  </si>
  <si>
    <t>AS = RS - 0,03 * (age - 38,62) - 0,15 * (sqrtedu - 3,69)</t>
  </si>
  <si>
    <t>AS = RS</t>
  </si>
  <si>
    <t>Design Fluency</t>
  </si>
  <si>
    <t>AS = RS - 13,5 * (log(100-age) - 1,78) - 0,52 * (edu - 13,77)</t>
  </si>
  <si>
    <t>AS = RS - 0,59 * (log(100-age) -1,78) - 0,28 * (sqrt - 3,69)</t>
  </si>
  <si>
    <t>Fehlerprozentsatz (Persev. und Regelbrüche)</t>
  </si>
  <si>
    <t>AS = RS - 1,25 * (log(100-age) - 1,78) - 0,65 * (sqrtedu - 3,69)</t>
  </si>
  <si>
    <t>AS = RS - 1,12 * (age - 38,62) - 10,1 * (sqrtedu - 3,69) + 7 if Version A/ -7 if Version B</t>
  </si>
  <si>
    <t xml:space="preserve">AS = RS - 10,13 * (log(100-age) -1,78) + 1 if female / - 1if male </t>
  </si>
  <si>
    <t xml:space="preserve">AS = RS - 14,43 * (log(100-age) -1,78) + 1 if female / - 1 if male </t>
  </si>
  <si>
    <t>Tafel B, Stroop-Fehler</t>
  </si>
  <si>
    <t xml:space="preserve">AS = RS - 0,36 * (age - 38,62) - 6,37 * (sqrtedu - 3.69) </t>
  </si>
  <si>
    <t xml:space="preserve">AS = RS - 1,41 * (log(100-age) -1,78) + 0,1 * (edu - 13,77) </t>
  </si>
  <si>
    <t>Tafel C, Stroop-Fehler</t>
  </si>
  <si>
    <t>AS = RS - 1,06 * (age - 38,62) - 13,45 * (sqrtedu - 3,69)</t>
  </si>
  <si>
    <t>AS = RS - 18,31 * (log(100-age) - 1,78) - 1,08 * (sqrtedu - 3,69) +1 if male / -1 if female</t>
  </si>
  <si>
    <t>AS = RS - 1,89 * (log(100-age) - 1,78) - 0,31 * (sqrtedu - 3,69)</t>
  </si>
  <si>
    <t>AS = RS - 0,41 * (log(100-age) - 1,78) - 0,05 * (sqrtedu - 3,69)</t>
  </si>
  <si>
    <t>Planungsqualität Aufgabe 1</t>
  </si>
  <si>
    <t>Planungsqualität Aufgabe 2</t>
  </si>
  <si>
    <t>Planungsqualität Aufgabe 3</t>
  </si>
  <si>
    <t>Planungsqualität Aufgabe 4</t>
  </si>
  <si>
    <t>AS = RS - 30,05 * (log(100-age) - 1,78) - 2,43 * (sqrtedu - 3,69)</t>
  </si>
  <si>
    <t>Planungszeit Aufgabe 1</t>
  </si>
  <si>
    <t>AS = RS - 19,44 * (log(100-age) - 1,78) - 5,25 * (sqrtedu - 3,69)</t>
  </si>
  <si>
    <t>Planungszeit Aufgabe 2</t>
  </si>
  <si>
    <t>AS = RS - 17,59 * (log(100-age) - 1,78) - 5,89 * (sqrtedu - 3,69)</t>
  </si>
  <si>
    <t>Planungszeit Aufgabe 3</t>
  </si>
  <si>
    <t>AS = RS - 20,90 * (log(100-age) - 1,78)</t>
  </si>
  <si>
    <t>Planungszeit Aufgabe 4</t>
  </si>
  <si>
    <t>AS = RS + 0,20 * (age - 38,62) - 13,01 * (sqrtedu - 3,69)</t>
  </si>
  <si>
    <t>Planungszeit Aufgabe 5</t>
  </si>
  <si>
    <t>AS = RS - 15,58 * (log(100-age) - 1,78) - 5,37 * (sqrtedu - 3,69)</t>
  </si>
  <si>
    <t>Planungszeit Aufgabe 6</t>
  </si>
  <si>
    <t>B</t>
  </si>
  <si>
    <t>"age - 38.62"</t>
  </si>
  <si>
    <t>log(100-age)-1.78</t>
  </si>
  <si>
    <t>m A</t>
  </si>
  <si>
    <t>w A</t>
  </si>
  <si>
    <t>m B</t>
  </si>
  <si>
    <t>w B</t>
  </si>
  <si>
    <t>AS = RS - 0,32 * (age - 38,62) + 0,14 * (edu - 13,77) - 1 if female / + 1 if male</t>
  </si>
  <si>
    <t>AS = raw score - 2,6 * (log(100-age) - 1,78) - 0,45 * (sqrtedu - 3,69)</t>
  </si>
  <si>
    <t>AS = raw score</t>
  </si>
  <si>
    <t>AS = raw score - 2,8 * (log(100-age) - 1,78) - 0,28 * (sqrtedu - 3,69)</t>
  </si>
  <si>
    <t>AS = raw score - 5,99 * (log(100-age) - 1,78) - 0,11 * (edu - 13,77) +1 if Version A / -1 if Version B</t>
  </si>
  <si>
    <t>AS = raw score - 0,03 * (age - 38,62) + 0,02 * (edu - 13,77)</t>
  </si>
  <si>
    <t>AS = raw score - 0,02 * (age - 38,62) - 0,29 * (sqrtedu - 3,69)</t>
  </si>
  <si>
    <t>AS = raw score - 8,02 * (log(100-age) - 1,78) - 0,95 * (sqrtedu - 3,69)</t>
  </si>
  <si>
    <t>AS = raw score - 1,04 * (log(100-age) - 1,78) + 0,06 * (edu - 13,77)</t>
  </si>
  <si>
    <t>AS = raw score - 8,75 * (log(100-age) - 1,78) - 1,12 * (sqrtedu - 3,69)</t>
  </si>
  <si>
    <t>AS = raw score - 6,0 * (log(100-age) -1,78) - 1,0 * (sqrtedu - 3,69)</t>
  </si>
  <si>
    <t xml:space="preserve">AS = raw score - 0,03 * (age - 38,62) + 0,02 * (edu - 13,77) </t>
  </si>
  <si>
    <t>AS = raw score - 2,84 * (age - 38,62) - 15,68 * (sqrtedu - 3,69) + 18 (if male), -18 (if female)</t>
  </si>
  <si>
    <t>AS = raw score - 0,03 * (age - 38,62) - 0,15 * (sqrtedu - 3,69)</t>
  </si>
  <si>
    <t>AS = raw score - 13,5 * (log(100-age) - 1,78) - 0,52 * (edu - 13,77)</t>
  </si>
  <si>
    <t>AS = raw score - 1,25 * (log(100-age) - 1,78) - 0,65 * (sqrtedu - 3,69)</t>
  </si>
  <si>
    <t xml:space="preserve">AS = raw score - 10,13 * (log(100-age) -1,78) + 1 if female / - 1if male </t>
  </si>
  <si>
    <t xml:space="preserve">AS = raw score - 14,43 * (log(100-age) -1,78) + 1 if female / - 1 if male </t>
  </si>
  <si>
    <t xml:space="preserve">AS = raw score - 0,36 * (age - 38,62) - 6,37 * (sqrtedu - 3.69) </t>
  </si>
  <si>
    <t xml:space="preserve">AS = raw score - 1,41 * (log(100-age) -1,78) + 0,1 * (edu - 13,77) </t>
  </si>
  <si>
    <t>AS = raw score - 1,89 * (log(100-age) - 1,78) - 0,31 * (sqrtedu - 3,69)</t>
  </si>
  <si>
    <t>AS = raw score - 0,41 * (log(100-age) - 1,78) - 0,05 * (sqrtedu - 3,69)</t>
  </si>
  <si>
    <t xml:space="preserve">AS = raw score - 1,06 * (age - 38,62) - 13,45 * (sqrtedu - 3,69) </t>
  </si>
  <si>
    <t>AS = raw score - 1,12 * (age - 38,62) - 10,1 * (sqrtedu - 3,69)</t>
  </si>
  <si>
    <t>AS = RS + 0,05 * (log(100-age) - 1,78) - 2,21 * (sqrtedu - 3,69)</t>
  </si>
  <si>
    <t>AS = RS - 0,12 * (log(100-age) - 1,78) - 0,39 * (sqrtedu - 3,69)</t>
  </si>
  <si>
    <t>AS = RS + 0,06 * (age - 38,62) - 2,22 * (sqrtedu - 3,69)</t>
  </si>
  <si>
    <t>AS = RS - 0,26 * (log(100-age) - 1,78) + 0,14 * (sqrtedu - 3,69)</t>
  </si>
  <si>
    <t>AS = RS - 4.3 * (log(100-age) - 1.78) - 0.34 * (sqrtedu - 3.69)</t>
  </si>
  <si>
    <t>AS = RS - 9.57 * (log(100-age) - 1.78) - 2.14 * (sqrtedu - 3.69)</t>
  </si>
  <si>
    <t>AS = RS - 0.72 * (log(100-age) - 1.78)</t>
  </si>
  <si>
    <t>AS = RS - 0.01 * (sqrtedu - 3.69)</t>
  </si>
  <si>
    <t>AS = RS - 0.8 * (log(100-age) - 1.78)</t>
  </si>
  <si>
    <t>AS = RS - 5.97 * (log(100-age) - 1.78)</t>
  </si>
  <si>
    <t>Auditiv-Verbaler Lern- und Gedächtnistest AVLGT</t>
  </si>
  <si>
    <t>Alter</t>
  </si>
  <si>
    <t>direkt die Anzahl der Falsch-Positiven bzw. Ausgelassenen eingeben.</t>
  </si>
  <si>
    <t>Cutoff</t>
  </si>
  <si>
    <t>Merkspanne</t>
  </si>
  <si>
    <t>Weitere Testverfahren</t>
  </si>
  <si>
    <t>Testbatterie zur Aufmerksamkeitsprüfung TAP</t>
  </si>
  <si>
    <t>Alertness</t>
  </si>
  <si>
    <t>Inkompatibilität</t>
  </si>
  <si>
    <t>T2B Test des Deux Barrages</t>
  </si>
  <si>
    <t>Umrechnung PR-&gt;T</t>
  </si>
  <si>
    <t>Prozentrang</t>
  </si>
  <si>
    <t>AS = RS - 0.07 * (age - 38.62) - 0.94 * (sqrtedu - 3.69)</t>
  </si>
  <si>
    <t>Auditiv-verbaler Gedächtnistest AVG</t>
  </si>
  <si>
    <t>N=</t>
  </si>
  <si>
    <t>Version A</t>
  </si>
  <si>
    <t>AS=RS-4.13*(log(100-age)-1.78)-1.97*(sqrtedu-3.69)</t>
  </si>
  <si>
    <t>Lerndurchgang 2</t>
  </si>
  <si>
    <t>AS=RS-6.76*(log(100-age)-1.78)-3.23*(sqrtedu-3.69)</t>
  </si>
  <si>
    <t>Lerndurchgang 3</t>
  </si>
  <si>
    <t>AS=RS-6.75*(log(100-age)-1.78)-3.22*(sqrtedu-3.69)</t>
  </si>
  <si>
    <t>Lerndurchgang 4</t>
  </si>
  <si>
    <t>Visuell-nonverbaler Gedächtnistest</t>
  </si>
  <si>
    <t>Versionen A&amp;B</t>
  </si>
  <si>
    <t>AS=RS-3.29*(log(100-age)-1.78)-1.57*(sqrtedu-3.69)</t>
  </si>
  <si>
    <t>AS=RS-6.54*(log(100-age)-1.78)-3.12*(sqrtedu-3.69)</t>
  </si>
  <si>
    <t>Geteilte Aufmerksamkeit</t>
  </si>
  <si>
    <t>ohne Warnsignal M</t>
  </si>
  <si>
    <t>ohne Warnsignal SD</t>
  </si>
  <si>
    <t>mit Warnsignal M</t>
  </si>
  <si>
    <t>mit Warnsignal SD</t>
  </si>
  <si>
    <t>Kennwert phasische Alertness</t>
  </si>
  <si>
    <t>auditiv M</t>
  </si>
  <si>
    <t>auditiv SD</t>
  </si>
  <si>
    <t>visuell M</t>
  </si>
  <si>
    <t>visuell SD</t>
  </si>
  <si>
    <t>Auslasser</t>
  </si>
  <si>
    <t>Gesamt M</t>
  </si>
  <si>
    <t>Gesamt SD</t>
  </si>
  <si>
    <t xml:space="preserve"> NEUROPSYCHOLOGISCHE DIAGNOSTIK MNND</t>
  </si>
  <si>
    <t>Textgedächtnis TG</t>
  </si>
  <si>
    <t>Rey / Taylor Complex Figure Test RTCFT</t>
  </si>
  <si>
    <t>Merkspanne Vorwärts MV verbal</t>
  </si>
  <si>
    <t>Merkspanne Vorwärts MV visuell</t>
  </si>
  <si>
    <t>Test des Deux Barrages T2B</t>
  </si>
  <si>
    <t>Rey / Taylor Complex Figure Test RTCFT (Fortsetzung)</t>
  </si>
  <si>
    <t>Merkspanne Vorwärts verbal: Spanne</t>
  </si>
  <si>
    <t>Merkspanne Vorwärts verbal: Falsche</t>
  </si>
  <si>
    <t>Merkspanne Vorwärts visuell: Spanne</t>
  </si>
  <si>
    <t>Merkspanne Vorwärts visuell: Falsche</t>
  </si>
  <si>
    <t>Gestaltwahrnehmung nach Poppelreuter GWP</t>
  </si>
  <si>
    <t>Spatial Test SPT</t>
  </si>
  <si>
    <t>Word Fluency WF</t>
  </si>
  <si>
    <t>Design Fluency DF</t>
  </si>
  <si>
    <t>2-Gruppentest nach Kramer 2GTK</t>
  </si>
  <si>
    <t>Stroop Test ST</t>
  </si>
  <si>
    <t>Planungstest PT</t>
  </si>
  <si>
    <t>Bitte in die rechts nebenstehende Tabelle "a" für ausgelassene ==&gt;</t>
  </si>
  <si>
    <t>den Testzeitpunkt (A oder B) ein. Anschließend</t>
  </si>
  <si>
    <t>MATERIALIEN UND NORMWERTE FÜR      DIE NEUROPSYCHOLOGISCHE        DIAGNOSTIK MNND</t>
  </si>
  <si>
    <t>© 2011 Verlag Normdaten</t>
  </si>
  <si>
    <t>Ergebnisse von Testverfahren anderer Testverlage</t>
  </si>
  <si>
    <t>(können vom Anwender hinzugefügt und im Profil dargestellt werden, sofern sie als PR vorliegen)</t>
  </si>
  <si>
    <t>TAP Untertest xy</t>
  </si>
  <si>
    <t>Testkennwert x</t>
  </si>
  <si>
    <t>Testkennwert y</t>
  </si>
  <si>
    <t>Testkennwert z</t>
  </si>
  <si>
    <t>Testverfahren x</t>
  </si>
  <si>
    <t>Der Zellbereich ab hier kann vom Anwender durch Einfügen oder Kopieren von Zeilen und Inhalten frei gestaltet werden.</t>
  </si>
  <si>
    <t>AS=RS-4.64*(log(100-age)-1.78)-0.17*(edu-13.77)</t>
  </si>
  <si>
    <t>AS=RS-5.55*(log(100-age)-1.78)-0.16*(edu-13.77)</t>
  </si>
  <si>
    <t>AS=RS-5.02*(log(100-age)-1.78)-1.05*(sqrtedu-3.69)</t>
  </si>
  <si>
    <t>AS=RS+0.08*(age-38.62)-3.22*(sqrtedu-3.69)</t>
  </si>
  <si>
    <t>AS=RS+0.08*(age-38.62)-3.61*(sqrtedu-3.69)</t>
  </si>
  <si>
    <t>AS=RS-5.47*(log(100-age)-1.78)-0.12*(edu-13.77)</t>
  </si>
  <si>
    <t>AS = raw score + 18,24 * (log(100-age) - 1,78) + 1,11 * (sqrtedu - 3,69) -1 if male / +1 if female</t>
  </si>
  <si>
    <t>Lizenz belegt für:</t>
  </si>
  <si>
    <t xml:space="preserve">AS = raw score - 0,02 * (age - 38,62) </t>
  </si>
  <si>
    <t>AS = raw score - 5,92 * (log(100-age) - 1,78) - 5,68 * (sqrtedu - 3,69) - 1,5 if female/ + 1,5 if male</t>
  </si>
  <si>
    <t>AS = RS - 5,92 * (log(100-age) - 1,78) - 5,68 * (sqrtedu - 3,69) - 1,5 if female/ + 1,5 if male</t>
  </si>
  <si>
    <t xml:space="preserve">        ▼ Fügen Sie hier vorhandene PR-Werte ein</t>
  </si>
  <si>
    <t>Rohwerte RS können hier eingetragen werden. Wir empfehlen aber eine Eingabe in den Tabellenblättern weiter hinten.</t>
  </si>
  <si>
    <t>Herausgeber: Christian Balzer, Jean-Marc Berger, Gaudenz Caprez, Arthur Gonser, Klemens Gutbrod, Martin Keller; Statistik / Methodik: Klaus Willmes, Korbinian Moeller; Programmierung: Christian Balzer</t>
  </si>
  <si>
    <t>f</t>
  </si>
  <si>
    <t>a</t>
  </si>
  <si>
    <t>Neuropsychologischer Dienst</t>
  </si>
  <si>
    <t>Rehabilitations- und Rheumazentrum der soH, Solothurn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</si>
</sst>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 mm/\ yyyy"/>
    <numFmt numFmtId="165" formatCode="0.0"/>
    <numFmt numFmtId="166" formatCode="00"/>
  </numFmts>
  <fonts count="25" x14ac:knownFonts="1">
    <font>
      <sz val="10"/>
      <name val="Arial"/>
    </font>
    <font>
      <b/>
      <sz val="10"/>
      <name val="Arial"/>
      <family val="2"/>
    </font>
    <font>
      <b/>
      <sz val="16"/>
      <color indexed="9"/>
      <name val="Arial"/>
      <family val="2"/>
    </font>
    <font>
      <sz val="16"/>
      <color indexed="9"/>
      <name val="Arial"/>
      <family val="2"/>
    </font>
    <font>
      <b/>
      <sz val="11"/>
      <color indexed="9"/>
      <name val="Arial"/>
      <family val="2"/>
    </font>
    <font>
      <sz val="10"/>
      <color indexed="9"/>
      <name val="Arial"/>
      <family val="2"/>
    </font>
    <font>
      <sz val="8"/>
      <color indexed="9"/>
      <name val="Arial"/>
      <family val="2"/>
    </font>
    <font>
      <b/>
      <sz val="14"/>
      <color indexed="9"/>
      <name val="Arial"/>
      <family val="2"/>
    </font>
    <font>
      <sz val="8"/>
      <name val="Arial"/>
      <family val="2"/>
    </font>
    <font>
      <b/>
      <sz val="8"/>
      <color indexed="9"/>
      <name val="Arial"/>
      <family val="2"/>
    </font>
    <font>
      <sz val="10"/>
      <name val="Arial"/>
      <family val="2"/>
    </font>
    <font>
      <b/>
      <sz val="11"/>
      <name val="Arial"/>
      <family val="2"/>
    </font>
    <font>
      <b/>
      <vertAlign val="subscript"/>
      <sz val="10"/>
      <name val="Arial"/>
      <family val="2"/>
    </font>
    <font>
      <b/>
      <i/>
      <sz val="10"/>
      <name val="Arial"/>
      <family val="2"/>
    </font>
    <font>
      <b/>
      <sz val="12"/>
      <color indexed="63"/>
      <name val="Arial"/>
      <family val="2"/>
    </font>
    <font>
      <b/>
      <sz val="10"/>
      <color indexed="9"/>
      <name val="Arial"/>
      <family val="2"/>
    </font>
    <font>
      <b/>
      <sz val="10"/>
      <color indexed="8"/>
      <name val="Arial"/>
      <family val="2"/>
    </font>
    <font>
      <sz val="8"/>
      <color indexed="9"/>
      <name val="Arial"/>
      <family val="2"/>
    </font>
    <font>
      <sz val="8"/>
      <color indexed="55"/>
      <name val="Arial"/>
      <family val="2"/>
    </font>
    <font>
      <sz val="10"/>
      <color indexed="9"/>
      <name val="Arial"/>
      <family val="2"/>
    </font>
    <font>
      <sz val="10"/>
      <color indexed="52"/>
      <name val="Arial"/>
      <family val="2"/>
    </font>
    <font>
      <sz val="10"/>
      <color indexed="9"/>
      <name val="Arial"/>
      <family val="2"/>
    </font>
    <font>
      <b/>
      <sz val="10"/>
      <color indexed="22"/>
      <name val="Arial"/>
      <family val="2"/>
    </font>
    <font>
      <sz val="10"/>
      <color indexed="9"/>
      <name val="Arial"/>
      <family val="2"/>
    </font>
    <font>
      <sz val="10"/>
      <color rgb="FF26282A"/>
      <name val="Arial"/>
      <family val="2"/>
    </font>
  </fonts>
  <fills count="11">
    <fill>
      <patternFill patternType="none"/>
    </fill>
    <fill>
      <patternFill patternType="gray125"/>
    </fill>
    <fill>
      <patternFill patternType="solid">
        <fgColor indexed="9"/>
        <bgColor indexed="64"/>
      </patternFill>
    </fill>
    <fill>
      <patternFill patternType="solid">
        <fgColor indexed="55"/>
        <bgColor indexed="64"/>
      </patternFill>
    </fill>
    <fill>
      <patternFill patternType="solid">
        <fgColor indexed="10"/>
        <bgColor indexed="64"/>
      </patternFill>
    </fill>
    <fill>
      <patternFill patternType="solid">
        <fgColor indexed="22"/>
        <bgColor indexed="64"/>
      </patternFill>
    </fill>
    <fill>
      <patternFill patternType="solid">
        <fgColor indexed="63"/>
        <bgColor indexed="64"/>
      </patternFill>
    </fill>
    <fill>
      <patternFill patternType="solid">
        <fgColor indexed="44"/>
        <bgColor indexed="64"/>
      </patternFill>
    </fill>
    <fill>
      <patternFill patternType="solid">
        <fgColor indexed="42"/>
        <bgColor indexed="64"/>
      </patternFill>
    </fill>
    <fill>
      <patternFill patternType="solid">
        <fgColor indexed="22"/>
        <bgColor indexed="22"/>
      </patternFill>
    </fill>
    <fill>
      <patternFill patternType="solid">
        <fgColor indexed="52"/>
        <bgColor indexed="64"/>
      </patternFill>
    </fill>
  </fills>
  <borders count="56">
    <border>
      <left/>
      <right/>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top style="thin">
        <color indexed="64"/>
      </top>
      <bottom style="thin">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hair">
        <color indexed="64"/>
      </left>
      <right/>
      <top/>
      <bottom/>
      <diagonal/>
    </border>
    <border>
      <left style="hair">
        <color indexed="64"/>
      </left>
      <right/>
      <top style="hair">
        <color indexed="64"/>
      </top>
      <bottom style="hair">
        <color indexed="64"/>
      </bottom>
      <diagonal/>
    </border>
    <border>
      <left style="hair">
        <color indexed="64"/>
      </left>
      <right/>
      <top/>
      <bottom style="thin">
        <color indexed="64"/>
      </bottom>
      <diagonal/>
    </border>
    <border>
      <left style="hair">
        <color indexed="64"/>
      </left>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bottom style="medium">
        <color indexed="64"/>
      </bottom>
      <diagonal/>
    </border>
    <border>
      <left/>
      <right style="thin">
        <color indexed="64"/>
      </right>
      <top style="hair">
        <color indexed="64"/>
      </top>
      <bottom style="thin">
        <color indexed="64"/>
      </bottom>
      <diagonal/>
    </border>
    <border>
      <left/>
      <right/>
      <top style="hair">
        <color indexed="64"/>
      </top>
      <bottom style="thin">
        <color indexed="64"/>
      </bottom>
      <diagonal/>
    </border>
    <border>
      <left/>
      <right style="thin">
        <color indexed="64"/>
      </right>
      <top style="thin">
        <color indexed="64"/>
      </top>
      <bottom style="thin">
        <color indexed="64"/>
      </bottom>
      <diagonal/>
    </border>
    <border>
      <left/>
      <right style="hair">
        <color indexed="64"/>
      </right>
      <top/>
      <bottom/>
      <diagonal/>
    </border>
    <border>
      <left/>
      <right style="hair">
        <color indexed="64"/>
      </right>
      <top style="hair">
        <color indexed="64"/>
      </top>
      <bottom style="hair">
        <color indexed="64"/>
      </bottom>
      <diagonal/>
    </border>
    <border>
      <left/>
      <right style="hair">
        <color indexed="64"/>
      </right>
      <top/>
      <bottom style="thin">
        <color indexed="64"/>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right/>
      <top/>
      <bottom style="hair">
        <color indexed="64"/>
      </bottom>
      <diagonal/>
    </border>
    <border>
      <left/>
      <right style="thin">
        <color indexed="64"/>
      </right>
      <top/>
      <bottom style="hair">
        <color indexed="64"/>
      </bottom>
      <diagonal/>
    </border>
  </borders>
  <cellStyleXfs count="1">
    <xf numFmtId="0" fontId="0" fillId="0" borderId="0"/>
  </cellStyleXfs>
  <cellXfs count="335">
    <xf numFmtId="0" fontId="0" fillId="0" borderId="0" xfId="0"/>
    <xf numFmtId="0" fontId="1" fillId="2" borderId="0" xfId="0" applyFont="1" applyFill="1" applyProtection="1">
      <protection hidden="1"/>
    </xf>
    <xf numFmtId="0" fontId="4" fillId="3" borderId="0" xfId="0" applyFont="1" applyFill="1" applyProtection="1">
      <protection hidden="1"/>
    </xf>
    <xf numFmtId="0" fontId="5" fillId="3" borderId="0" xfId="0" applyFont="1" applyFill="1" applyProtection="1">
      <protection hidden="1"/>
    </xf>
    <xf numFmtId="0" fontId="6" fillId="3" borderId="0" xfId="0" applyFont="1" applyFill="1" applyAlignment="1" applyProtection="1">
      <alignment vertical="center"/>
      <protection hidden="1"/>
    </xf>
    <xf numFmtId="0" fontId="6" fillId="3" borderId="0" xfId="0" applyFont="1" applyFill="1" applyProtection="1">
      <protection hidden="1"/>
    </xf>
    <xf numFmtId="0" fontId="0" fillId="2" borderId="0" xfId="0" applyFill="1" applyProtection="1">
      <protection hidden="1"/>
    </xf>
    <xf numFmtId="0" fontId="1" fillId="2" borderId="0" xfId="0" applyFont="1" applyFill="1" applyAlignment="1" applyProtection="1">
      <alignment horizontal="center"/>
      <protection hidden="1"/>
    </xf>
    <xf numFmtId="0" fontId="1" fillId="2" borderId="0" xfId="0" applyFont="1" applyFill="1" applyAlignment="1" applyProtection="1">
      <alignment vertical="center"/>
      <protection hidden="1"/>
    </xf>
    <xf numFmtId="0" fontId="1" fillId="2" borderId="0" xfId="0" applyFont="1" applyFill="1" applyAlignment="1" applyProtection="1">
      <alignment horizontal="center" vertical="center"/>
      <protection hidden="1"/>
    </xf>
    <xf numFmtId="165" fontId="0" fillId="2" borderId="0" xfId="0" applyNumberFormat="1" applyFill="1" applyAlignment="1" applyProtection="1">
      <alignment horizontal="center"/>
      <protection hidden="1"/>
    </xf>
    <xf numFmtId="2" fontId="0" fillId="2" borderId="0" xfId="0" applyNumberFormat="1" applyFill="1" applyAlignment="1" applyProtection="1">
      <alignment horizontal="center"/>
      <protection hidden="1"/>
    </xf>
    <xf numFmtId="1" fontId="0" fillId="2" borderId="2" xfId="0" applyNumberFormat="1" applyFill="1" applyBorder="1" applyAlignment="1" applyProtection="1">
      <alignment horizontal="center"/>
      <protection hidden="1"/>
    </xf>
    <xf numFmtId="0" fontId="1" fillId="2" borderId="4" xfId="0" applyFont="1" applyFill="1" applyBorder="1" applyAlignment="1" applyProtection="1">
      <alignment vertical="center"/>
      <protection hidden="1"/>
    </xf>
    <xf numFmtId="0" fontId="1" fillId="2" borderId="5" xfId="0" applyFont="1" applyFill="1" applyBorder="1" applyAlignment="1" applyProtection="1">
      <alignment horizontal="center" vertical="center"/>
      <protection hidden="1"/>
    </xf>
    <xf numFmtId="0" fontId="0" fillId="2" borderId="6" xfId="0" applyFill="1" applyBorder="1" applyProtection="1">
      <protection hidden="1"/>
    </xf>
    <xf numFmtId="165" fontId="0" fillId="2" borderId="6" xfId="0" applyNumberFormat="1" applyFill="1" applyBorder="1" applyAlignment="1" applyProtection="1">
      <alignment horizontal="center"/>
      <protection hidden="1"/>
    </xf>
    <xf numFmtId="0" fontId="0" fillId="2" borderId="2" xfId="0" applyFill="1" applyBorder="1" applyAlignment="1" applyProtection="1">
      <alignment horizontal="center"/>
      <protection hidden="1"/>
    </xf>
    <xf numFmtId="1" fontId="0" fillId="2" borderId="0" xfId="0" applyNumberFormat="1" applyFill="1" applyAlignment="1" applyProtection="1">
      <alignment horizontal="center"/>
      <protection hidden="1"/>
    </xf>
    <xf numFmtId="0" fontId="0" fillId="2" borderId="7" xfId="0" applyFill="1" applyBorder="1" applyProtection="1">
      <protection hidden="1"/>
    </xf>
    <xf numFmtId="0" fontId="0" fillId="0" borderId="0" xfId="0" applyProtection="1">
      <protection hidden="1"/>
    </xf>
    <xf numFmtId="0" fontId="0" fillId="2" borderId="0" xfId="0" applyFill="1" applyAlignment="1" applyProtection="1">
      <alignment vertical="top"/>
      <protection hidden="1"/>
    </xf>
    <xf numFmtId="0" fontId="0" fillId="2" borderId="0" xfId="0" applyFill="1" applyAlignment="1" applyProtection="1">
      <alignment horizontal="center"/>
      <protection hidden="1"/>
    </xf>
    <xf numFmtId="0" fontId="1" fillId="2" borderId="6" xfId="0" applyFont="1" applyFill="1" applyBorder="1" applyAlignment="1" applyProtection="1">
      <alignment horizontal="center"/>
      <protection hidden="1"/>
    </xf>
    <xf numFmtId="0" fontId="1" fillId="2" borderId="0" xfId="0" applyFont="1" applyFill="1" applyAlignment="1" applyProtection="1">
      <alignment horizontal="left"/>
      <protection hidden="1"/>
    </xf>
    <xf numFmtId="0" fontId="1" fillId="2" borderId="0" xfId="0" applyFont="1" applyFill="1" applyAlignment="1" applyProtection="1">
      <alignment horizontal="right"/>
      <protection hidden="1"/>
    </xf>
    <xf numFmtId="0" fontId="0" fillId="5" borderId="3" xfId="0" applyFill="1" applyBorder="1" applyAlignment="1" applyProtection="1">
      <alignment horizontal="center"/>
      <protection locked="0" hidden="1"/>
    </xf>
    <xf numFmtId="0" fontId="1" fillId="0" borderId="0" xfId="0" applyFont="1" applyProtection="1">
      <protection hidden="1"/>
    </xf>
    <xf numFmtId="0" fontId="0" fillId="3" borderId="0" xfId="0" applyFill="1" applyAlignment="1" applyProtection="1">
      <alignment vertical="top"/>
      <protection hidden="1"/>
    </xf>
    <xf numFmtId="0" fontId="1" fillId="2" borderId="6" xfId="0" applyFont="1" applyFill="1" applyBorder="1" applyAlignment="1" applyProtection="1">
      <alignment horizontal="right"/>
      <protection hidden="1"/>
    </xf>
    <xf numFmtId="0" fontId="1" fillId="5" borderId="6" xfId="0" applyFont="1" applyFill="1" applyBorder="1" applyAlignment="1" applyProtection="1">
      <alignment horizontal="center"/>
      <protection hidden="1"/>
    </xf>
    <xf numFmtId="0" fontId="1" fillId="2" borderId="12" xfId="0" applyFont="1" applyFill="1" applyBorder="1" applyAlignment="1" applyProtection="1">
      <alignment horizontal="center"/>
      <protection hidden="1"/>
    </xf>
    <xf numFmtId="0" fontId="1" fillId="2" borderId="12" xfId="0" applyFont="1" applyFill="1" applyBorder="1" applyAlignment="1" applyProtection="1">
      <alignment horizontal="right"/>
      <protection hidden="1"/>
    </xf>
    <xf numFmtId="0" fontId="0" fillId="2" borderId="12" xfId="0" applyFill="1" applyBorder="1" applyProtection="1">
      <protection hidden="1"/>
    </xf>
    <xf numFmtId="0" fontId="1" fillId="2" borderId="2" xfId="0" applyFont="1" applyFill="1" applyBorder="1" applyAlignment="1" applyProtection="1">
      <alignment horizontal="center"/>
      <protection hidden="1"/>
    </xf>
    <xf numFmtId="0" fontId="0" fillId="6" borderId="0" xfId="0" applyFill="1" applyAlignment="1" applyProtection="1">
      <alignment horizontal="center"/>
      <protection hidden="1"/>
    </xf>
    <xf numFmtId="0" fontId="0" fillId="0" borderId="0" xfId="0" applyAlignment="1" applyProtection="1">
      <alignment horizontal="center"/>
      <protection hidden="1"/>
    </xf>
    <xf numFmtId="0" fontId="1" fillId="2" borderId="2" xfId="0" applyFont="1" applyFill="1" applyBorder="1" applyAlignment="1" applyProtection="1">
      <alignment horizontal="right"/>
      <protection hidden="1"/>
    </xf>
    <xf numFmtId="0" fontId="10" fillId="4" borderId="3" xfId="0" applyFont="1" applyFill="1" applyBorder="1" applyAlignment="1" applyProtection="1">
      <alignment horizontal="center"/>
      <protection locked="0" hidden="1"/>
    </xf>
    <xf numFmtId="0" fontId="10" fillId="0" borderId="3" xfId="0" applyFont="1" applyBorder="1" applyAlignment="1" applyProtection="1">
      <alignment horizontal="center"/>
      <protection locked="0" hidden="1"/>
    </xf>
    <xf numFmtId="0" fontId="1" fillId="5" borderId="9" xfId="0" applyFont="1" applyFill="1" applyBorder="1" applyAlignment="1" applyProtection="1">
      <alignment horizontal="center"/>
      <protection locked="0" hidden="1"/>
    </xf>
    <xf numFmtId="0" fontId="1" fillId="3" borderId="0" xfId="0" applyFont="1" applyFill="1" applyAlignment="1" applyProtection="1">
      <alignment horizontal="center"/>
      <protection locked="0" hidden="1"/>
    </xf>
    <xf numFmtId="0" fontId="1" fillId="5" borderId="0" xfId="0" applyFont="1" applyFill="1" applyAlignment="1" applyProtection="1">
      <alignment horizontal="center"/>
      <protection locked="0" hidden="1"/>
    </xf>
    <xf numFmtId="0" fontId="1" fillId="5" borderId="2" xfId="0" applyFont="1" applyFill="1" applyBorder="1" applyAlignment="1" applyProtection="1">
      <alignment horizontal="center"/>
      <protection locked="0" hidden="1"/>
    </xf>
    <xf numFmtId="0" fontId="1" fillId="3" borderId="9" xfId="0" applyFont="1" applyFill="1" applyBorder="1" applyAlignment="1" applyProtection="1">
      <alignment horizontal="center"/>
      <protection locked="0" hidden="1"/>
    </xf>
    <xf numFmtId="0" fontId="1" fillId="3" borderId="2" xfId="0" applyFont="1" applyFill="1" applyBorder="1" applyAlignment="1" applyProtection="1">
      <alignment horizontal="center"/>
      <protection locked="0" hidden="1"/>
    </xf>
    <xf numFmtId="0" fontId="0" fillId="2" borderId="11" xfId="0" applyFill="1" applyBorder="1" applyAlignment="1" applyProtection="1">
      <alignment horizontal="center"/>
      <protection hidden="1"/>
    </xf>
    <xf numFmtId="0" fontId="0" fillId="2" borderId="6" xfId="0" applyFill="1" applyBorder="1" applyAlignment="1" applyProtection="1">
      <alignment horizontal="center"/>
      <protection hidden="1"/>
    </xf>
    <xf numFmtId="0" fontId="0" fillId="7" borderId="6" xfId="0" quotePrefix="1" applyFill="1" applyBorder="1" applyAlignment="1" applyProtection="1">
      <alignment horizontal="center"/>
      <protection locked="0" hidden="1"/>
    </xf>
    <xf numFmtId="0" fontId="0" fillId="7" borderId="6" xfId="0" applyFill="1" applyBorder="1" applyAlignment="1" applyProtection="1">
      <alignment horizontal="center"/>
      <protection locked="0" hidden="1"/>
    </xf>
    <xf numFmtId="0" fontId="0" fillId="2" borderId="0" xfId="0" applyFill="1" applyAlignment="1" applyProtection="1">
      <alignment horizontal="right"/>
      <protection hidden="1"/>
    </xf>
    <xf numFmtId="0" fontId="1" fillId="4" borderId="3" xfId="0" applyFont="1" applyFill="1" applyBorder="1" applyAlignment="1" applyProtection="1">
      <alignment horizontal="right"/>
      <protection locked="0" hidden="1"/>
    </xf>
    <xf numFmtId="166" fontId="1" fillId="4" borderId="3" xfId="0" applyNumberFormat="1" applyFont="1" applyFill="1" applyBorder="1" applyAlignment="1" applyProtection="1">
      <alignment horizontal="left"/>
      <protection locked="0" hidden="1"/>
    </xf>
    <xf numFmtId="14" fontId="1" fillId="2" borderId="0" xfId="0" applyNumberFormat="1" applyFont="1" applyFill="1" applyAlignment="1" applyProtection="1">
      <alignment horizontal="center"/>
      <protection hidden="1"/>
    </xf>
    <xf numFmtId="165" fontId="0" fillId="8" borderId="0" xfId="0" applyNumberFormat="1" applyFill="1" applyAlignment="1" applyProtection="1">
      <alignment horizontal="center"/>
      <protection hidden="1"/>
    </xf>
    <xf numFmtId="0" fontId="0" fillId="8" borderId="0" xfId="0" applyFill="1" applyAlignment="1" applyProtection="1">
      <alignment horizontal="center"/>
      <protection hidden="1"/>
    </xf>
    <xf numFmtId="0" fontId="0" fillId="2" borderId="7" xfId="0" applyFill="1" applyBorder="1" applyAlignment="1" applyProtection="1">
      <alignment horizontal="center"/>
      <protection hidden="1"/>
    </xf>
    <xf numFmtId="0" fontId="0" fillId="2" borderId="6" xfId="0" applyFill="1" applyBorder="1" applyAlignment="1" applyProtection="1">
      <alignment horizontal="right"/>
      <protection hidden="1"/>
    </xf>
    <xf numFmtId="0" fontId="1" fillId="5" borderId="11" xfId="0" applyFont="1" applyFill="1" applyBorder="1" applyAlignment="1" applyProtection="1">
      <alignment horizontal="center"/>
      <protection locked="0" hidden="1"/>
    </xf>
    <xf numFmtId="0" fontId="1" fillId="5" borderId="6" xfId="0" applyFont="1" applyFill="1" applyBorder="1" applyAlignment="1" applyProtection="1">
      <alignment horizontal="center"/>
      <protection locked="0" hidden="1"/>
    </xf>
    <xf numFmtId="0" fontId="1" fillId="3" borderId="6" xfId="0" applyFont="1" applyFill="1" applyBorder="1" applyAlignment="1" applyProtection="1">
      <alignment horizontal="center"/>
      <protection locked="0" hidden="1"/>
    </xf>
    <xf numFmtId="0" fontId="1" fillId="5" borderId="7" xfId="0" applyFont="1" applyFill="1" applyBorder="1" applyAlignment="1" applyProtection="1">
      <alignment horizontal="center"/>
      <protection locked="0" hidden="1"/>
    </xf>
    <xf numFmtId="0" fontId="1" fillId="2" borderId="9" xfId="0" applyFont="1" applyFill="1" applyBorder="1" applyProtection="1">
      <protection hidden="1"/>
    </xf>
    <xf numFmtId="0" fontId="1" fillId="2" borderId="11" xfId="0" applyFont="1" applyFill="1" applyBorder="1" applyProtection="1">
      <protection hidden="1"/>
    </xf>
    <xf numFmtId="1" fontId="0" fillId="0" borderId="0" xfId="0" applyNumberFormat="1" applyAlignment="1">
      <alignment horizontal="center"/>
    </xf>
    <xf numFmtId="1" fontId="10" fillId="2" borderId="0" xfId="0" applyNumberFormat="1" applyFont="1" applyFill="1" applyAlignment="1" applyProtection="1">
      <alignment horizontal="center"/>
      <protection hidden="1"/>
    </xf>
    <xf numFmtId="1" fontId="10" fillId="2" borderId="2" xfId="0" applyNumberFormat="1" applyFont="1" applyFill="1" applyBorder="1" applyAlignment="1" applyProtection="1">
      <alignment horizontal="center"/>
      <protection hidden="1"/>
    </xf>
    <xf numFmtId="1" fontId="10" fillId="2" borderId="7" xfId="0" applyNumberFormat="1" applyFont="1" applyFill="1" applyBorder="1" applyAlignment="1" applyProtection="1">
      <alignment horizontal="center"/>
      <protection hidden="1"/>
    </xf>
    <xf numFmtId="1" fontId="0" fillId="2" borderId="6" xfId="0" applyNumberFormat="1" applyFill="1" applyBorder="1" applyAlignment="1" applyProtection="1">
      <alignment horizontal="center"/>
      <protection hidden="1"/>
    </xf>
    <xf numFmtId="1" fontId="10" fillId="2" borderId="6" xfId="0" applyNumberFormat="1" applyFont="1" applyFill="1" applyBorder="1" applyAlignment="1" applyProtection="1">
      <alignment horizontal="center"/>
      <protection hidden="1"/>
    </xf>
    <xf numFmtId="0" fontId="0" fillId="0" borderId="0" xfId="0" applyProtection="1">
      <protection locked="0"/>
    </xf>
    <xf numFmtId="1" fontId="0" fillId="2" borderId="12" xfId="0" applyNumberFormat="1" applyFill="1" applyBorder="1" applyAlignment="1" applyProtection="1">
      <alignment horizontal="center"/>
      <protection locked="0" hidden="1"/>
    </xf>
    <xf numFmtId="1" fontId="0" fillId="2" borderId="0" xfId="0" applyNumberFormat="1" applyFill="1" applyAlignment="1" applyProtection="1">
      <alignment horizontal="center"/>
      <protection locked="0" hidden="1"/>
    </xf>
    <xf numFmtId="0" fontId="0" fillId="2" borderId="13" xfId="0" applyFill="1" applyBorder="1" applyProtection="1">
      <protection hidden="1"/>
    </xf>
    <xf numFmtId="1" fontId="0" fillId="2" borderId="13" xfId="0" applyNumberFormat="1" applyFill="1" applyBorder="1" applyAlignment="1" applyProtection="1">
      <alignment horizontal="center"/>
      <protection hidden="1"/>
    </xf>
    <xf numFmtId="165" fontId="0" fillId="2" borderId="13" xfId="0" applyNumberFormat="1" applyFill="1" applyBorder="1" applyAlignment="1" applyProtection="1">
      <alignment horizontal="center"/>
      <protection hidden="1"/>
    </xf>
    <xf numFmtId="1" fontId="10" fillId="2" borderId="14" xfId="0" applyNumberFormat="1" applyFont="1" applyFill="1" applyBorder="1" applyAlignment="1" applyProtection="1">
      <alignment horizontal="center"/>
      <protection hidden="1"/>
    </xf>
    <xf numFmtId="1" fontId="0" fillId="2" borderId="14" xfId="0" applyNumberFormat="1" applyFill="1" applyBorder="1" applyAlignment="1" applyProtection="1">
      <alignment horizontal="center"/>
      <protection hidden="1"/>
    </xf>
    <xf numFmtId="1" fontId="10" fillId="2" borderId="13" xfId="0" applyNumberFormat="1" applyFont="1" applyFill="1" applyBorder="1" applyAlignment="1" applyProtection="1">
      <alignment horizontal="center"/>
      <protection hidden="1"/>
    </xf>
    <xf numFmtId="165" fontId="0" fillId="0" borderId="13" xfId="0" applyNumberFormat="1" applyBorder="1" applyAlignment="1">
      <alignment horizontal="center"/>
    </xf>
    <xf numFmtId="0" fontId="0" fillId="0" borderId="13" xfId="0" applyBorder="1" applyAlignment="1">
      <alignment horizontal="center"/>
    </xf>
    <xf numFmtId="165" fontId="10" fillId="2" borderId="14" xfId="0" applyNumberFormat="1" applyFont="1" applyFill="1" applyBorder="1" applyAlignment="1" applyProtection="1">
      <alignment horizontal="center"/>
      <protection hidden="1"/>
    </xf>
    <xf numFmtId="0" fontId="5" fillId="3" borderId="2" xfId="0" applyFont="1" applyFill="1" applyBorder="1" applyProtection="1">
      <protection hidden="1"/>
    </xf>
    <xf numFmtId="0" fontId="1" fillId="2" borderId="6" xfId="0" applyFont="1" applyFill="1" applyBorder="1" applyAlignment="1" applyProtection="1">
      <alignment horizontal="center" vertical="center"/>
      <protection locked="0" hidden="1"/>
    </xf>
    <xf numFmtId="0" fontId="7" fillId="2" borderId="8" xfId="0" applyFont="1" applyFill="1" applyBorder="1" applyAlignment="1" applyProtection="1">
      <alignment vertical="center"/>
      <protection hidden="1"/>
    </xf>
    <xf numFmtId="0" fontId="1" fillId="2" borderId="4" xfId="0" applyFont="1" applyFill="1" applyBorder="1" applyAlignment="1" applyProtection="1">
      <alignment horizontal="center" vertical="center"/>
      <protection hidden="1"/>
    </xf>
    <xf numFmtId="0" fontId="10" fillId="2" borderId="0" xfId="0" applyFont="1" applyFill="1" applyAlignment="1" applyProtection="1">
      <alignment horizontal="center" vertical="center"/>
      <protection hidden="1"/>
    </xf>
    <xf numFmtId="165" fontId="10" fillId="2" borderId="0" xfId="0" applyNumberFormat="1" applyFont="1" applyFill="1" applyAlignment="1" applyProtection="1">
      <alignment horizontal="center" vertical="center"/>
      <protection hidden="1"/>
    </xf>
    <xf numFmtId="2" fontId="10" fillId="2" borderId="0" xfId="0" applyNumberFormat="1" applyFont="1" applyFill="1" applyAlignment="1" applyProtection="1">
      <alignment horizontal="center" vertical="center"/>
      <protection hidden="1"/>
    </xf>
    <xf numFmtId="1" fontId="10" fillId="2" borderId="2" xfId="0" applyNumberFormat="1" applyFont="1" applyFill="1" applyBorder="1" applyAlignment="1" applyProtection="1">
      <alignment horizontal="center" vertical="center"/>
      <protection hidden="1"/>
    </xf>
    <xf numFmtId="0" fontId="7" fillId="2" borderId="12" xfId="0" applyFont="1" applyFill="1" applyBorder="1" applyAlignment="1" applyProtection="1">
      <alignment vertical="center"/>
      <protection hidden="1"/>
    </xf>
    <xf numFmtId="0" fontId="1" fillId="2" borderId="12" xfId="0" applyFont="1" applyFill="1" applyBorder="1" applyAlignment="1" applyProtection="1">
      <alignment vertical="center"/>
      <protection hidden="1"/>
    </xf>
    <xf numFmtId="0" fontId="1" fillId="2" borderId="12" xfId="0" applyFont="1" applyFill="1" applyBorder="1" applyAlignment="1" applyProtection="1">
      <alignment horizontal="center" vertical="center"/>
      <protection hidden="1"/>
    </xf>
    <xf numFmtId="0" fontId="7" fillId="2" borderId="6" xfId="0" applyFont="1" applyFill="1" applyBorder="1" applyAlignment="1" applyProtection="1">
      <alignment vertical="center"/>
      <protection hidden="1"/>
    </xf>
    <xf numFmtId="0" fontId="3" fillId="3" borderId="2" xfId="0" applyFont="1" applyFill="1" applyBorder="1"/>
    <xf numFmtId="0" fontId="1" fillId="2" borderId="6" xfId="0" applyFont="1" applyFill="1" applyBorder="1" applyAlignment="1" applyProtection="1">
      <alignment vertical="center"/>
      <protection hidden="1"/>
    </xf>
    <xf numFmtId="0" fontId="1" fillId="2" borderId="6" xfId="0" applyFont="1" applyFill="1" applyBorder="1" applyAlignment="1" applyProtection="1">
      <alignment horizontal="center" vertical="center"/>
      <protection hidden="1"/>
    </xf>
    <xf numFmtId="0" fontId="0" fillId="2" borderId="9" xfId="0" applyFill="1" applyBorder="1" applyAlignment="1" applyProtection="1">
      <alignment horizontal="center"/>
      <protection hidden="1"/>
    </xf>
    <xf numFmtId="0" fontId="0" fillId="2" borderId="15" xfId="0" applyFill="1" applyBorder="1" applyAlignment="1" applyProtection="1">
      <alignment horizontal="center"/>
      <protection hidden="1"/>
    </xf>
    <xf numFmtId="0" fontId="0" fillId="2" borderId="16" xfId="0" quotePrefix="1" applyFill="1" applyBorder="1" applyAlignment="1" applyProtection="1">
      <alignment horizontal="center"/>
      <protection hidden="1"/>
    </xf>
    <xf numFmtId="14" fontId="0" fillId="2" borderId="16" xfId="0" applyNumberFormat="1" applyFill="1" applyBorder="1" applyAlignment="1" applyProtection="1">
      <alignment horizontal="center"/>
      <protection hidden="1"/>
    </xf>
    <xf numFmtId="1" fontId="0" fillId="0" borderId="17" xfId="0" applyNumberFormat="1" applyBorder="1" applyAlignment="1">
      <alignment horizontal="center"/>
    </xf>
    <xf numFmtId="1" fontId="0" fillId="0" borderId="18" xfId="0" applyNumberFormat="1" applyBorder="1" applyAlignment="1">
      <alignment horizontal="center"/>
    </xf>
    <xf numFmtId="165" fontId="0" fillId="0" borderId="17" xfId="0" applyNumberFormat="1" applyBorder="1" applyAlignment="1">
      <alignment horizontal="center"/>
    </xf>
    <xf numFmtId="165" fontId="0" fillId="0" borderId="18" xfId="0" applyNumberFormat="1" applyBorder="1" applyAlignment="1">
      <alignment horizontal="center"/>
    </xf>
    <xf numFmtId="0" fontId="0" fillId="2" borderId="13" xfId="0" applyFill="1" applyBorder="1" applyAlignment="1" applyProtection="1">
      <alignment horizontal="center"/>
      <protection hidden="1"/>
    </xf>
    <xf numFmtId="1" fontId="0" fillId="2" borderId="16" xfId="0" applyNumberFormat="1" applyFill="1" applyBorder="1" applyAlignment="1" applyProtection="1">
      <alignment horizontal="center"/>
      <protection hidden="1"/>
    </xf>
    <xf numFmtId="2" fontId="0" fillId="2" borderId="16" xfId="0" applyNumberFormat="1" applyFill="1" applyBorder="1" applyAlignment="1" applyProtection="1">
      <alignment horizontal="center"/>
      <protection hidden="1"/>
    </xf>
    <xf numFmtId="1" fontId="0" fillId="0" borderId="16" xfId="0" applyNumberFormat="1" applyBorder="1" applyAlignment="1">
      <alignment horizontal="center"/>
    </xf>
    <xf numFmtId="1" fontId="0" fillId="0" borderId="19" xfId="0" applyNumberFormat="1" applyBorder="1" applyAlignment="1">
      <alignment horizontal="center"/>
    </xf>
    <xf numFmtId="0" fontId="7" fillId="2" borderId="4" xfId="0" applyFont="1" applyFill="1" applyBorder="1" applyAlignment="1" applyProtection="1">
      <alignment vertical="center"/>
      <protection hidden="1"/>
    </xf>
    <xf numFmtId="0" fontId="3" fillId="3" borderId="4" xfId="0" applyFont="1" applyFill="1" applyBorder="1"/>
    <xf numFmtId="0" fontId="10" fillId="2" borderId="9" xfId="0" applyFont="1" applyFill="1" applyBorder="1" applyAlignment="1" applyProtection="1">
      <alignment vertical="center" wrapText="1"/>
      <protection hidden="1"/>
    </xf>
    <xf numFmtId="0" fontId="0" fillId="2" borderId="0" xfId="0" applyFill="1" applyAlignment="1" applyProtection="1">
      <alignment horizontal="right" vertical="center" wrapText="1" readingOrder="2"/>
      <protection hidden="1"/>
    </xf>
    <xf numFmtId="0" fontId="0" fillId="0" borderId="0" xfId="0" applyProtection="1">
      <protection locked="0" hidden="1"/>
    </xf>
    <xf numFmtId="0" fontId="9" fillId="2" borderId="0" xfId="0" applyFont="1" applyFill="1" applyAlignment="1" applyProtection="1">
      <alignment vertical="center"/>
      <protection hidden="1"/>
    </xf>
    <xf numFmtId="0" fontId="0" fillId="2" borderId="0" xfId="0" applyFill="1"/>
    <xf numFmtId="0" fontId="11" fillId="2" borderId="0" xfId="0" applyFont="1" applyFill="1" applyAlignment="1" applyProtection="1">
      <alignment horizontal="right" vertical="center" readingOrder="1"/>
      <protection hidden="1"/>
    </xf>
    <xf numFmtId="0" fontId="0" fillId="6" borderId="0" xfId="0" applyFill="1" applyAlignment="1" applyProtection="1">
      <alignment vertical="top"/>
      <protection hidden="1"/>
    </xf>
    <xf numFmtId="0" fontId="0" fillId="6" borderId="0" xfId="0" applyFill="1" applyProtection="1">
      <protection hidden="1"/>
    </xf>
    <xf numFmtId="0" fontId="1" fillId="2" borderId="7" xfId="0" applyFont="1" applyFill="1" applyBorder="1" applyAlignment="1" applyProtection="1">
      <alignment horizontal="center"/>
      <protection hidden="1"/>
    </xf>
    <xf numFmtId="0" fontId="0" fillId="2" borderId="9" xfId="0" applyFill="1" applyBorder="1"/>
    <xf numFmtId="0" fontId="1" fillId="5" borderId="8" xfId="0" applyFont="1" applyFill="1" applyBorder="1" applyAlignment="1" applyProtection="1">
      <alignment horizontal="center"/>
      <protection hidden="1"/>
    </xf>
    <xf numFmtId="0" fontId="1" fillId="5" borderId="4" xfId="0" applyFont="1" applyFill="1" applyBorder="1" applyAlignment="1" applyProtection="1">
      <alignment horizontal="center"/>
      <protection hidden="1"/>
    </xf>
    <xf numFmtId="0" fontId="1" fillId="5" borderId="5" xfId="0" applyFont="1" applyFill="1" applyBorder="1" applyAlignment="1" applyProtection="1">
      <alignment horizontal="center"/>
      <protection hidden="1"/>
    </xf>
    <xf numFmtId="0" fontId="17" fillId="3" borderId="0" xfId="0" applyFont="1" applyFill="1"/>
    <xf numFmtId="0" fontId="0" fillId="2" borderId="4" xfId="0" applyFill="1" applyBorder="1" applyAlignment="1" applyProtection="1">
      <alignment horizontal="center"/>
      <protection hidden="1"/>
    </xf>
    <xf numFmtId="0" fontId="0" fillId="7" borderId="6" xfId="0" applyFill="1" applyBorder="1" applyAlignment="1" applyProtection="1">
      <alignment horizontal="center"/>
      <protection hidden="1"/>
    </xf>
    <xf numFmtId="0" fontId="0" fillId="7" borderId="4" xfId="0" quotePrefix="1" applyFill="1" applyBorder="1" applyAlignment="1" applyProtection="1">
      <alignment horizontal="center"/>
      <protection locked="0" hidden="1"/>
    </xf>
    <xf numFmtId="0" fontId="0" fillId="7" borderId="4" xfId="0" applyFill="1" applyBorder="1" applyAlignment="1" applyProtection="1">
      <alignment horizontal="center"/>
      <protection locked="0" hidden="1"/>
    </xf>
    <xf numFmtId="0" fontId="0" fillId="7" borderId="0" xfId="0" quotePrefix="1" applyFill="1" applyAlignment="1" applyProtection="1">
      <alignment horizontal="center"/>
      <protection locked="0" hidden="1"/>
    </xf>
    <xf numFmtId="0" fontId="0" fillId="7" borderId="0" xfId="0" applyFill="1" applyAlignment="1" applyProtection="1">
      <alignment horizontal="center"/>
      <protection locked="0" hidden="1"/>
    </xf>
    <xf numFmtId="0" fontId="15" fillId="9" borderId="9" xfId="0" applyFont="1" applyFill="1" applyBorder="1" applyAlignment="1" applyProtection="1">
      <alignment horizontal="left" vertical="center" indent="1"/>
      <protection hidden="1"/>
    </xf>
    <xf numFmtId="0" fontId="1" fillId="0" borderId="0" xfId="0" applyFont="1" applyAlignment="1">
      <alignment horizontal="left" indent="1"/>
    </xf>
    <xf numFmtId="0" fontId="1" fillId="2" borderId="9" xfId="0" applyFont="1" applyFill="1" applyBorder="1" applyAlignment="1" applyProtection="1">
      <alignment horizontal="left" vertical="center" indent="1"/>
      <protection hidden="1"/>
    </xf>
    <xf numFmtId="0" fontId="1" fillId="2" borderId="9" xfId="0" applyFont="1" applyFill="1" applyBorder="1" applyAlignment="1" applyProtection="1">
      <alignment horizontal="left" indent="1"/>
      <protection hidden="1"/>
    </xf>
    <xf numFmtId="2" fontId="16" fillId="5" borderId="4" xfId="0" applyNumberFormat="1" applyFont="1" applyFill="1" applyBorder="1" applyAlignment="1" applyProtection="1">
      <alignment horizontal="left" indent="1"/>
      <protection locked="0"/>
    </xf>
    <xf numFmtId="165" fontId="0" fillId="0" borderId="0" xfId="0" applyNumberFormat="1" applyProtection="1">
      <protection hidden="1"/>
    </xf>
    <xf numFmtId="0" fontId="1" fillId="0" borderId="21" xfId="0" applyFont="1" applyBorder="1" applyProtection="1">
      <protection hidden="1"/>
    </xf>
    <xf numFmtId="0" fontId="0" fillId="0" borderId="22" xfId="0" applyBorder="1" applyProtection="1">
      <protection hidden="1"/>
    </xf>
    <xf numFmtId="0" fontId="0" fillId="0" borderId="22" xfId="0" applyBorder="1" applyAlignment="1" applyProtection="1">
      <alignment horizontal="right"/>
      <protection hidden="1"/>
    </xf>
    <xf numFmtId="0" fontId="0" fillId="0" borderId="23" xfId="0" applyBorder="1" applyAlignment="1" applyProtection="1">
      <alignment horizontal="left"/>
      <protection hidden="1"/>
    </xf>
    <xf numFmtId="0" fontId="0" fillId="0" borderId="0" xfId="0" applyAlignment="1" applyProtection="1">
      <alignment horizontal="left"/>
      <protection hidden="1"/>
    </xf>
    <xf numFmtId="165" fontId="0" fillId="0" borderId="0" xfId="0" applyNumberFormat="1" applyAlignment="1" applyProtection="1">
      <alignment horizontal="right"/>
      <protection hidden="1"/>
    </xf>
    <xf numFmtId="0" fontId="0" fillId="0" borderId="24" xfId="0" applyBorder="1" applyProtection="1">
      <protection hidden="1"/>
    </xf>
    <xf numFmtId="0" fontId="0" fillId="0" borderId="25" xfId="0" applyBorder="1" applyProtection="1">
      <protection hidden="1"/>
    </xf>
    <xf numFmtId="2" fontId="0" fillId="0" borderId="0" xfId="0" applyNumberFormat="1" applyAlignment="1" applyProtection="1">
      <alignment horizontal="right"/>
      <protection hidden="1"/>
    </xf>
    <xf numFmtId="0" fontId="10" fillId="0" borderId="24" xfId="0" applyFont="1" applyBorder="1" applyProtection="1">
      <protection hidden="1"/>
    </xf>
    <xf numFmtId="0" fontId="0" fillId="0" borderId="26" xfId="0" applyBorder="1" applyProtection="1">
      <protection hidden="1"/>
    </xf>
    <xf numFmtId="0" fontId="0" fillId="0" borderId="27" xfId="0" applyBorder="1" applyProtection="1">
      <protection hidden="1"/>
    </xf>
    <xf numFmtId="0" fontId="0" fillId="0" borderId="28" xfId="0" applyBorder="1" applyProtection="1">
      <protection hidden="1"/>
    </xf>
    <xf numFmtId="0" fontId="13" fillId="0" borderId="29" xfId="0" applyFont="1" applyBorder="1" applyProtection="1">
      <protection hidden="1"/>
    </xf>
    <xf numFmtId="0" fontId="0" fillId="0" borderId="29" xfId="0" applyBorder="1" applyProtection="1">
      <protection hidden="1"/>
    </xf>
    <xf numFmtId="0" fontId="0" fillId="0" borderId="30" xfId="0" applyBorder="1" applyProtection="1">
      <protection hidden="1"/>
    </xf>
    <xf numFmtId="0" fontId="0" fillId="0" borderId="0" xfId="0" applyAlignment="1" applyProtection="1">
      <alignment horizontal="right"/>
      <protection hidden="1"/>
    </xf>
    <xf numFmtId="0" fontId="0" fillId="0" borderId="31" xfId="0" applyBorder="1" applyAlignment="1" applyProtection="1">
      <alignment horizontal="center"/>
      <protection hidden="1"/>
    </xf>
    <xf numFmtId="0" fontId="0" fillId="0" borderId="32" xfId="0" applyBorder="1" applyAlignment="1" applyProtection="1">
      <alignment horizontal="center"/>
      <protection hidden="1"/>
    </xf>
    <xf numFmtId="0" fontId="0" fillId="5" borderId="33" xfId="0" applyFill="1" applyBorder="1" applyAlignment="1" applyProtection="1">
      <alignment horizontal="center"/>
      <protection hidden="1"/>
    </xf>
    <xf numFmtId="0" fontId="0" fillId="5" borderId="32" xfId="0" applyFill="1" applyBorder="1" applyAlignment="1" applyProtection="1">
      <alignment horizontal="center"/>
      <protection hidden="1"/>
    </xf>
    <xf numFmtId="0" fontId="0" fillId="0" borderId="33" xfId="0" applyBorder="1" applyAlignment="1" applyProtection="1">
      <alignment horizontal="center"/>
      <protection hidden="1"/>
    </xf>
    <xf numFmtId="0" fontId="0" fillId="0" borderId="34" xfId="0" applyBorder="1" applyAlignment="1" applyProtection="1">
      <alignment horizontal="center"/>
      <protection hidden="1"/>
    </xf>
    <xf numFmtId="1" fontId="0" fillId="0" borderId="35" xfId="0" applyNumberFormat="1" applyBorder="1" applyAlignment="1" applyProtection="1">
      <alignment horizontal="center"/>
      <protection hidden="1"/>
    </xf>
    <xf numFmtId="165" fontId="0" fillId="0" borderId="36" xfId="0" applyNumberFormat="1" applyBorder="1" applyAlignment="1" applyProtection="1">
      <alignment horizontal="center"/>
      <protection hidden="1"/>
    </xf>
    <xf numFmtId="1" fontId="0" fillId="0" borderId="22" xfId="0" applyNumberFormat="1" applyBorder="1" applyAlignment="1" applyProtection="1">
      <alignment horizontal="center"/>
      <protection hidden="1"/>
    </xf>
    <xf numFmtId="0" fontId="0" fillId="0" borderId="37" xfId="0" applyBorder="1" applyAlignment="1" applyProtection="1">
      <alignment horizontal="center"/>
      <protection hidden="1"/>
    </xf>
    <xf numFmtId="0" fontId="0" fillId="0" borderId="38" xfId="0" applyBorder="1" applyAlignment="1" applyProtection="1">
      <alignment horizontal="center"/>
      <protection hidden="1"/>
    </xf>
    <xf numFmtId="1" fontId="0" fillId="0" borderId="36" xfId="0" applyNumberFormat="1" applyBorder="1" applyAlignment="1" applyProtection="1">
      <alignment horizontal="center"/>
      <protection hidden="1"/>
    </xf>
    <xf numFmtId="1" fontId="0" fillId="0" borderId="2" xfId="0" applyNumberFormat="1" applyBorder="1" applyAlignment="1" applyProtection="1">
      <alignment horizontal="center"/>
      <protection hidden="1"/>
    </xf>
    <xf numFmtId="165" fontId="0" fillId="0" borderId="1" xfId="0" applyNumberFormat="1" applyBorder="1" applyAlignment="1" applyProtection="1">
      <alignment horizontal="center"/>
      <protection hidden="1"/>
    </xf>
    <xf numFmtId="1" fontId="0" fillId="0" borderId="0" xfId="0" applyNumberFormat="1" applyAlignment="1" applyProtection="1">
      <alignment horizontal="center"/>
      <protection hidden="1"/>
    </xf>
    <xf numFmtId="0" fontId="0" fillId="0" borderId="39" xfId="0" applyBorder="1" applyAlignment="1" applyProtection="1">
      <alignment horizontal="center"/>
      <protection hidden="1"/>
    </xf>
    <xf numFmtId="1" fontId="0" fillId="0" borderId="1" xfId="0" applyNumberFormat="1" applyBorder="1" applyAlignment="1" applyProtection="1">
      <alignment horizontal="center"/>
      <protection hidden="1"/>
    </xf>
    <xf numFmtId="0" fontId="0" fillId="0" borderId="40" xfId="0" applyBorder="1" applyAlignment="1" applyProtection="1">
      <alignment horizontal="center"/>
      <protection hidden="1"/>
    </xf>
    <xf numFmtId="1" fontId="0" fillId="0" borderId="41" xfId="0" applyNumberFormat="1" applyBorder="1" applyAlignment="1" applyProtection="1">
      <alignment horizontal="center"/>
      <protection hidden="1"/>
    </xf>
    <xf numFmtId="165" fontId="0" fillId="0" borderId="42" xfId="0" applyNumberFormat="1" applyBorder="1" applyAlignment="1" applyProtection="1">
      <alignment horizontal="center"/>
      <protection hidden="1"/>
    </xf>
    <xf numFmtId="1" fontId="0" fillId="0" borderId="26" xfId="0" applyNumberFormat="1" applyBorder="1" applyAlignment="1" applyProtection="1">
      <alignment horizontal="center"/>
      <protection hidden="1"/>
    </xf>
    <xf numFmtId="0" fontId="0" fillId="0" borderId="43" xfId="0" applyBorder="1" applyAlignment="1" applyProtection="1">
      <alignment horizontal="center"/>
      <protection hidden="1"/>
    </xf>
    <xf numFmtId="1" fontId="0" fillId="0" borderId="42" xfId="0" applyNumberFormat="1" applyBorder="1" applyAlignment="1" applyProtection="1">
      <alignment horizontal="center"/>
      <protection hidden="1"/>
    </xf>
    <xf numFmtId="2" fontId="0" fillId="0" borderId="0" xfId="0" applyNumberFormat="1" applyAlignment="1" applyProtection="1">
      <alignment horizontal="center"/>
      <protection hidden="1"/>
    </xf>
    <xf numFmtId="0" fontId="0" fillId="0" borderId="26" xfId="0" applyBorder="1" applyAlignment="1" applyProtection="1">
      <alignment horizontal="center"/>
      <protection hidden="1"/>
    </xf>
    <xf numFmtId="0" fontId="10" fillId="0" borderId="0" xfId="0" applyFont="1" applyProtection="1">
      <protection hidden="1"/>
    </xf>
    <xf numFmtId="0" fontId="0" fillId="0" borderId="44" xfId="0" applyBorder="1" applyProtection="1">
      <protection hidden="1"/>
    </xf>
    <xf numFmtId="14" fontId="0" fillId="0" borderId="0" xfId="0" applyNumberFormat="1" applyProtection="1">
      <protection hidden="1"/>
    </xf>
    <xf numFmtId="0" fontId="10" fillId="2" borderId="0" xfId="0" applyFont="1" applyFill="1" applyProtection="1">
      <protection hidden="1"/>
    </xf>
    <xf numFmtId="2" fontId="0" fillId="0" borderId="0" xfId="0" applyNumberFormat="1" applyProtection="1">
      <protection hidden="1"/>
    </xf>
    <xf numFmtId="0" fontId="0" fillId="2" borderId="33" xfId="0" applyFill="1" applyBorder="1" applyAlignment="1" applyProtection="1">
      <alignment horizontal="center"/>
      <protection hidden="1"/>
    </xf>
    <xf numFmtId="165" fontId="0" fillId="0" borderId="0" xfId="0" applyNumberFormat="1" applyAlignment="1" applyProtection="1">
      <alignment horizontal="center"/>
      <protection hidden="1"/>
    </xf>
    <xf numFmtId="0" fontId="15" fillId="9" borderId="8" xfId="0" applyFont="1" applyFill="1" applyBorder="1" applyAlignment="1" applyProtection="1">
      <alignment horizontal="left" indent="1"/>
      <protection hidden="1"/>
    </xf>
    <xf numFmtId="0" fontId="15" fillId="9" borderId="9" xfId="0" applyFont="1" applyFill="1" applyBorder="1" applyAlignment="1" applyProtection="1">
      <alignment horizontal="left" vertical="top" indent="1"/>
      <protection hidden="1"/>
    </xf>
    <xf numFmtId="164" fontId="16" fillId="5" borderId="0" xfId="0" applyNumberFormat="1" applyFont="1" applyFill="1" applyAlignment="1" applyProtection="1">
      <alignment horizontal="left" vertical="top" indent="1"/>
      <protection locked="0"/>
    </xf>
    <xf numFmtId="165" fontId="1" fillId="2" borderId="4" xfId="0" applyNumberFormat="1" applyFont="1" applyFill="1" applyBorder="1" applyAlignment="1" applyProtection="1">
      <alignment horizontal="center"/>
      <protection locked="0" hidden="1"/>
    </xf>
    <xf numFmtId="165" fontId="1" fillId="2" borderId="6" xfId="0" applyNumberFormat="1" applyFont="1" applyFill="1" applyBorder="1" applyAlignment="1" applyProtection="1">
      <alignment horizontal="center"/>
      <protection locked="0" hidden="1"/>
    </xf>
    <xf numFmtId="165" fontId="1" fillId="2" borderId="12" xfId="0" applyNumberFormat="1" applyFont="1" applyFill="1" applyBorder="1" applyAlignment="1" applyProtection="1">
      <alignment horizontal="center"/>
      <protection locked="0" hidden="1"/>
    </xf>
    <xf numFmtId="0" fontId="1" fillId="2" borderId="4" xfId="0" applyFont="1" applyFill="1" applyBorder="1" applyAlignment="1" applyProtection="1">
      <alignment vertical="center"/>
      <protection locked="0" hidden="1"/>
    </xf>
    <xf numFmtId="0" fontId="1" fillId="2" borderId="9" xfId="0" applyFont="1" applyFill="1" applyBorder="1" applyProtection="1">
      <protection locked="0"/>
    </xf>
    <xf numFmtId="1" fontId="0" fillId="0" borderId="17" xfId="0" applyNumberFormat="1" applyBorder="1" applyAlignment="1" applyProtection="1">
      <alignment horizontal="center"/>
      <protection locked="0"/>
    </xf>
    <xf numFmtId="165" fontId="0" fillId="0" borderId="13" xfId="0" applyNumberFormat="1" applyBorder="1" applyAlignment="1" applyProtection="1">
      <alignment horizontal="center"/>
      <protection locked="0"/>
    </xf>
    <xf numFmtId="0" fontId="0" fillId="0" borderId="13" xfId="0" applyBorder="1" applyAlignment="1" applyProtection="1">
      <alignment horizontal="center"/>
      <protection locked="0"/>
    </xf>
    <xf numFmtId="1" fontId="10" fillId="2" borderId="13" xfId="0" applyNumberFormat="1" applyFont="1" applyFill="1" applyBorder="1" applyAlignment="1" applyProtection="1">
      <alignment horizontal="center"/>
      <protection locked="0"/>
    </xf>
    <xf numFmtId="1" fontId="10" fillId="2" borderId="14" xfId="0" applyNumberFormat="1" applyFont="1" applyFill="1" applyBorder="1" applyAlignment="1" applyProtection="1">
      <alignment horizontal="center"/>
      <protection locked="0"/>
    </xf>
    <xf numFmtId="0" fontId="10" fillId="2" borderId="4" xfId="0" applyFont="1" applyFill="1" applyBorder="1" applyProtection="1">
      <protection hidden="1"/>
    </xf>
    <xf numFmtId="0" fontId="10" fillId="2" borderId="9" xfId="0" applyFont="1" applyFill="1" applyBorder="1" applyAlignment="1" applyProtection="1">
      <alignment horizontal="left" indent="1"/>
      <protection locked="0"/>
    </xf>
    <xf numFmtId="0" fontId="10" fillId="2" borderId="0" xfId="0" applyFont="1" applyFill="1" applyProtection="1">
      <protection locked="0"/>
    </xf>
    <xf numFmtId="0" fontId="1" fillId="2" borderId="0" xfId="0" applyFont="1" applyFill="1" applyAlignment="1" applyProtection="1">
      <alignment horizontal="center" vertical="center"/>
      <protection locked="0"/>
    </xf>
    <xf numFmtId="0" fontId="1" fillId="2" borderId="2" xfId="0" applyFont="1" applyFill="1" applyBorder="1" applyAlignment="1" applyProtection="1">
      <alignment horizontal="center" vertical="center"/>
      <protection locked="0"/>
    </xf>
    <xf numFmtId="0" fontId="1" fillId="2" borderId="9" xfId="0" applyFont="1" applyFill="1" applyBorder="1" applyAlignment="1" applyProtection="1">
      <alignment horizontal="left" vertical="center" indent="1"/>
      <protection locked="0"/>
    </xf>
    <xf numFmtId="0" fontId="1" fillId="2" borderId="0" xfId="0" applyFont="1" applyFill="1" applyAlignment="1" applyProtection="1">
      <alignment vertical="center"/>
      <protection locked="0"/>
    </xf>
    <xf numFmtId="0" fontId="10" fillId="2" borderId="0" xfId="0" applyFont="1" applyFill="1" applyAlignment="1" applyProtection="1">
      <alignment horizontal="center" vertical="center"/>
      <protection locked="0"/>
    </xf>
    <xf numFmtId="165" fontId="10" fillId="2" borderId="0" xfId="0" applyNumberFormat="1" applyFont="1" applyFill="1" applyAlignment="1" applyProtection="1">
      <alignment horizontal="center" vertical="center"/>
      <protection locked="0"/>
    </xf>
    <xf numFmtId="2" fontId="10" fillId="2" borderId="0" xfId="0" applyNumberFormat="1" applyFont="1" applyFill="1" applyAlignment="1" applyProtection="1">
      <alignment horizontal="center" vertical="center"/>
      <protection locked="0"/>
    </xf>
    <xf numFmtId="1" fontId="10" fillId="2" borderId="2" xfId="0" applyNumberFormat="1" applyFont="1" applyFill="1" applyBorder="1" applyAlignment="1" applyProtection="1">
      <alignment horizontal="center" vertical="center"/>
      <protection locked="0"/>
    </xf>
    <xf numFmtId="0" fontId="0" fillId="2" borderId="16" xfId="0" quotePrefix="1" applyFill="1" applyBorder="1" applyAlignment="1" applyProtection="1">
      <alignment horizontal="center"/>
      <protection locked="0"/>
    </xf>
    <xf numFmtId="165" fontId="0" fillId="2" borderId="0" xfId="0" applyNumberFormat="1" applyFill="1" applyAlignment="1" applyProtection="1">
      <alignment horizontal="center"/>
      <protection locked="0"/>
    </xf>
    <xf numFmtId="2" fontId="0" fillId="2" borderId="0" xfId="0" applyNumberFormat="1" applyFill="1" applyAlignment="1" applyProtection="1">
      <alignment horizontal="center"/>
      <protection locked="0"/>
    </xf>
    <xf numFmtId="1" fontId="10" fillId="2" borderId="2" xfId="0" applyNumberFormat="1" applyFont="1" applyFill="1" applyBorder="1" applyAlignment="1" applyProtection="1">
      <alignment horizontal="center"/>
      <protection locked="0"/>
    </xf>
    <xf numFmtId="14" fontId="0" fillId="2" borderId="16" xfId="0" applyNumberFormat="1" applyFill="1" applyBorder="1" applyAlignment="1" applyProtection="1">
      <alignment horizontal="center"/>
      <protection locked="0"/>
    </xf>
    <xf numFmtId="1" fontId="0" fillId="2" borderId="0" xfId="0" applyNumberFormat="1" applyFill="1" applyAlignment="1" applyProtection="1">
      <alignment horizontal="center"/>
      <protection locked="0"/>
    </xf>
    <xf numFmtId="1" fontId="10" fillId="2" borderId="0" xfId="0" applyNumberFormat="1" applyFont="1" applyFill="1" applyAlignment="1" applyProtection="1">
      <alignment horizontal="center"/>
      <protection locked="0"/>
    </xf>
    <xf numFmtId="165" fontId="10" fillId="2" borderId="14" xfId="0" applyNumberFormat="1" applyFont="1" applyFill="1" applyBorder="1" applyAlignment="1" applyProtection="1">
      <alignment horizontal="center"/>
      <protection locked="0"/>
    </xf>
    <xf numFmtId="0" fontId="1" fillId="2" borderId="11" xfId="0" applyFont="1" applyFill="1" applyBorder="1" applyProtection="1">
      <protection locked="0"/>
    </xf>
    <xf numFmtId="1" fontId="0" fillId="0" borderId="19" xfId="0" applyNumberFormat="1" applyBorder="1" applyAlignment="1" applyProtection="1">
      <alignment horizontal="center"/>
      <protection locked="0"/>
    </xf>
    <xf numFmtId="1" fontId="10" fillId="2" borderId="45" xfId="0" applyNumberFormat="1" applyFont="1" applyFill="1" applyBorder="1" applyAlignment="1" applyProtection="1">
      <alignment horizontal="center"/>
      <protection locked="0"/>
    </xf>
    <xf numFmtId="165" fontId="0" fillId="0" borderId="46" xfId="0" applyNumberFormat="1" applyBorder="1" applyAlignment="1" applyProtection="1">
      <alignment horizontal="center"/>
      <protection locked="0"/>
    </xf>
    <xf numFmtId="0" fontId="0" fillId="0" borderId="46" xfId="0" applyBorder="1" applyAlignment="1" applyProtection="1">
      <alignment horizontal="center"/>
      <protection locked="0"/>
    </xf>
    <xf numFmtId="1" fontId="10" fillId="2" borderId="46" xfId="0" applyNumberFormat="1" applyFont="1" applyFill="1" applyBorder="1" applyAlignment="1" applyProtection="1">
      <alignment horizontal="center"/>
      <protection locked="0"/>
    </xf>
    <xf numFmtId="0" fontId="15" fillId="9" borderId="0" xfId="0" applyFont="1" applyFill="1" applyAlignment="1" applyProtection="1">
      <alignment horizontal="left" vertical="center" indent="1"/>
      <protection hidden="1"/>
    </xf>
    <xf numFmtId="2" fontId="16" fillId="5" borderId="4" xfId="0" applyNumberFormat="1" applyFont="1" applyFill="1" applyBorder="1" applyAlignment="1">
      <alignment horizontal="left" indent="1"/>
    </xf>
    <xf numFmtId="0" fontId="16" fillId="5" borderId="0" xfId="0" applyFont="1" applyFill="1" applyAlignment="1" applyProtection="1">
      <alignment horizontal="left" indent="1"/>
      <protection locked="0"/>
    </xf>
    <xf numFmtId="0" fontId="16" fillId="5" borderId="0" xfId="0" applyFont="1" applyFill="1" applyAlignment="1">
      <alignment horizontal="left" indent="1"/>
    </xf>
    <xf numFmtId="0" fontId="16" fillId="5" borderId="0" xfId="0" applyFont="1" applyFill="1" applyAlignment="1">
      <alignment horizontal="left" vertical="top" indent="1"/>
    </xf>
    <xf numFmtId="165" fontId="16" fillId="5" borderId="0" xfId="0" applyNumberFormat="1" applyFont="1" applyFill="1" applyAlignment="1" applyProtection="1">
      <alignment horizontal="left"/>
      <protection hidden="1"/>
    </xf>
    <xf numFmtId="165" fontId="1" fillId="2" borderId="0" xfId="0" applyNumberFormat="1" applyFont="1" applyFill="1" applyAlignment="1" applyProtection="1">
      <alignment horizontal="center"/>
      <protection locked="0" hidden="1"/>
    </xf>
    <xf numFmtId="0" fontId="1" fillId="2" borderId="0" xfId="0" applyFont="1" applyFill="1" applyAlignment="1" applyProtection="1">
      <alignment horizontal="center" vertical="center"/>
      <protection locked="0" hidden="1"/>
    </xf>
    <xf numFmtId="0" fontId="17" fillId="3" borderId="5" xfId="0" applyFont="1" applyFill="1" applyBorder="1" applyAlignment="1">
      <alignment horizontal="right"/>
    </xf>
    <xf numFmtId="0" fontId="0" fillId="0" borderId="0" xfId="0" applyAlignment="1" applyProtection="1">
      <alignment horizontal="left" vertical="center"/>
      <protection hidden="1"/>
    </xf>
    <xf numFmtId="0" fontId="19" fillId="2" borderId="0" xfId="0" applyFont="1" applyFill="1" applyAlignment="1" applyProtection="1">
      <alignment horizontal="right" vertical="center" wrapText="1" readingOrder="2"/>
      <protection hidden="1"/>
    </xf>
    <xf numFmtId="0" fontId="19" fillId="0" borderId="0" xfId="0" applyFont="1" applyProtection="1">
      <protection hidden="1"/>
    </xf>
    <xf numFmtId="2" fontId="20" fillId="2" borderId="0" xfId="0" applyNumberFormat="1" applyFont="1" applyFill="1" applyAlignment="1" applyProtection="1">
      <alignment horizontal="left" vertical="center"/>
      <protection hidden="1"/>
    </xf>
    <xf numFmtId="164" fontId="16" fillId="5" borderId="0" xfId="0" applyNumberFormat="1" applyFont="1" applyFill="1" applyAlignment="1" applyProtection="1">
      <alignment horizontal="left" indent="1"/>
      <protection locked="0"/>
    </xf>
    <xf numFmtId="0" fontId="16" fillId="10" borderId="0" xfId="0" applyFont="1" applyFill="1" applyAlignment="1" applyProtection="1">
      <alignment horizontal="left" indent="1"/>
      <protection locked="0"/>
    </xf>
    <xf numFmtId="0" fontId="21" fillId="2" borderId="0" xfId="0" applyFont="1" applyFill="1" applyProtection="1">
      <protection hidden="1"/>
    </xf>
    <xf numFmtId="0" fontId="10" fillId="5" borderId="3" xfId="0" applyFont="1" applyFill="1" applyBorder="1" applyAlignment="1" applyProtection="1">
      <alignment horizontal="center"/>
      <protection locked="0" hidden="1"/>
    </xf>
    <xf numFmtId="14" fontId="10" fillId="5" borderId="3" xfId="0" applyNumberFormat="1" applyFont="1" applyFill="1" applyBorder="1" applyAlignment="1" applyProtection="1">
      <alignment horizontal="center"/>
      <protection locked="0" hidden="1"/>
    </xf>
    <xf numFmtId="0" fontId="7" fillId="3" borderId="10" xfId="0" applyFont="1" applyFill="1" applyBorder="1" applyAlignment="1" applyProtection="1">
      <alignment horizontal="left" vertical="center" indent="1"/>
      <protection hidden="1"/>
    </xf>
    <xf numFmtId="0" fontId="1" fillId="3" borderId="12" xfId="0" applyFont="1" applyFill="1" applyBorder="1" applyAlignment="1" applyProtection="1">
      <alignment vertical="center"/>
      <protection hidden="1"/>
    </xf>
    <xf numFmtId="165" fontId="1" fillId="3" borderId="12" xfId="0" applyNumberFormat="1" applyFont="1" applyFill="1" applyBorder="1" applyAlignment="1" applyProtection="1">
      <alignment horizontal="center"/>
      <protection hidden="1"/>
    </xf>
    <xf numFmtId="0" fontId="1" fillId="3" borderId="12" xfId="0" applyFont="1" applyFill="1" applyBorder="1" applyAlignment="1" applyProtection="1">
      <alignment horizontal="center" vertical="center"/>
      <protection hidden="1"/>
    </xf>
    <xf numFmtId="0" fontId="1" fillId="3" borderId="47" xfId="0" applyFont="1" applyFill="1" applyBorder="1" applyAlignment="1" applyProtection="1">
      <alignment horizontal="center" vertical="center"/>
      <protection hidden="1"/>
    </xf>
    <xf numFmtId="165" fontId="1" fillId="3" borderId="12" xfId="0" applyNumberFormat="1" applyFont="1" applyFill="1" applyBorder="1" applyAlignment="1" applyProtection="1">
      <alignment horizontal="center"/>
      <protection locked="0" hidden="1"/>
    </xf>
    <xf numFmtId="1" fontId="1" fillId="3" borderId="12" xfId="0" applyNumberFormat="1" applyFont="1" applyFill="1" applyBorder="1" applyAlignment="1" applyProtection="1">
      <alignment horizontal="center" vertical="center"/>
      <protection hidden="1"/>
    </xf>
    <xf numFmtId="165" fontId="1" fillId="3" borderId="12" xfId="0" applyNumberFormat="1" applyFont="1" applyFill="1" applyBorder="1" applyAlignment="1" applyProtection="1">
      <alignment horizontal="center" vertical="center"/>
      <protection hidden="1"/>
    </xf>
    <xf numFmtId="1" fontId="10" fillId="3" borderId="12" xfId="0" applyNumberFormat="1" applyFont="1" applyFill="1" applyBorder="1" applyAlignment="1" applyProtection="1">
      <alignment horizontal="center" vertical="center"/>
      <protection hidden="1"/>
    </xf>
    <xf numFmtId="0" fontId="10" fillId="3" borderId="47" xfId="0" applyFont="1" applyFill="1" applyBorder="1" applyAlignment="1" applyProtection="1">
      <alignment horizontal="center" vertical="center"/>
      <protection hidden="1"/>
    </xf>
    <xf numFmtId="1" fontId="1" fillId="3" borderId="13" xfId="0" applyNumberFormat="1" applyFont="1" applyFill="1" applyBorder="1" applyAlignment="1" applyProtection="1">
      <alignment horizontal="center"/>
      <protection hidden="1"/>
    </xf>
    <xf numFmtId="165" fontId="1" fillId="3" borderId="14" xfId="0" applyNumberFormat="1" applyFont="1" applyFill="1" applyBorder="1" applyAlignment="1" applyProtection="1">
      <alignment horizontal="center"/>
      <protection hidden="1"/>
    </xf>
    <xf numFmtId="165" fontId="1" fillId="3" borderId="7" xfId="0" applyNumberFormat="1" applyFont="1" applyFill="1" applyBorder="1" applyAlignment="1" applyProtection="1">
      <alignment horizontal="center"/>
      <protection hidden="1"/>
    </xf>
    <xf numFmtId="1" fontId="1" fillId="3" borderId="0" xfId="0" applyNumberFormat="1" applyFont="1" applyFill="1" applyAlignment="1" applyProtection="1">
      <alignment horizontal="center"/>
      <protection hidden="1"/>
    </xf>
    <xf numFmtId="165" fontId="1" fillId="3" borderId="2" xfId="0" applyNumberFormat="1" applyFont="1" applyFill="1" applyBorder="1" applyAlignment="1" applyProtection="1">
      <alignment horizontal="center"/>
      <protection hidden="1"/>
    </xf>
    <xf numFmtId="1" fontId="1" fillId="3" borderId="6" xfId="0" applyNumberFormat="1" applyFont="1" applyFill="1" applyBorder="1" applyAlignment="1" applyProtection="1">
      <alignment horizontal="center"/>
      <protection hidden="1"/>
    </xf>
    <xf numFmtId="14" fontId="0" fillId="5" borderId="3" xfId="0" applyNumberFormat="1" applyFill="1" applyBorder="1" applyAlignment="1" applyProtection="1">
      <alignment horizontal="center"/>
      <protection locked="0" hidden="1"/>
    </xf>
    <xf numFmtId="0" fontId="0" fillId="5" borderId="3" xfId="0" quotePrefix="1" applyFill="1" applyBorder="1" applyAlignment="1" applyProtection="1">
      <alignment horizontal="center"/>
      <protection locked="0" hidden="1"/>
    </xf>
    <xf numFmtId="14" fontId="0" fillId="5" borderId="3" xfId="0" quotePrefix="1" applyNumberFormat="1" applyFill="1" applyBorder="1" applyAlignment="1" applyProtection="1">
      <alignment horizontal="center"/>
      <protection locked="0" hidden="1"/>
    </xf>
    <xf numFmtId="1" fontId="0" fillId="5" borderId="3" xfId="0" applyNumberFormat="1" applyFill="1" applyBorder="1" applyAlignment="1" applyProtection="1">
      <alignment horizontal="center"/>
      <protection locked="0" hidden="1"/>
    </xf>
    <xf numFmtId="165" fontId="0" fillId="5" borderId="3" xfId="0" quotePrefix="1" applyNumberFormat="1" applyFill="1" applyBorder="1" applyAlignment="1" applyProtection="1">
      <alignment horizontal="center"/>
      <protection locked="0" hidden="1"/>
    </xf>
    <xf numFmtId="1" fontId="0" fillId="5" borderId="3" xfId="0" quotePrefix="1" applyNumberFormat="1" applyFill="1" applyBorder="1" applyAlignment="1" applyProtection="1">
      <alignment horizontal="center"/>
      <protection locked="0" hidden="1"/>
    </xf>
    <xf numFmtId="1" fontId="10" fillId="5" borderId="3" xfId="0" applyNumberFormat="1" applyFont="1" applyFill="1" applyBorder="1" applyAlignment="1" applyProtection="1">
      <alignment horizontal="center"/>
      <protection locked="0" hidden="1"/>
    </xf>
    <xf numFmtId="1" fontId="0" fillId="5" borderId="3" xfId="0" applyNumberFormat="1" applyFill="1" applyBorder="1" applyAlignment="1" applyProtection="1">
      <alignment horizontal="center"/>
      <protection locked="0"/>
    </xf>
    <xf numFmtId="1" fontId="10" fillId="5" borderId="3" xfId="0" applyNumberFormat="1" applyFont="1" applyFill="1" applyBorder="1" applyAlignment="1" applyProtection="1">
      <alignment horizontal="center"/>
      <protection locked="0"/>
    </xf>
    <xf numFmtId="0" fontId="0" fillId="2" borderId="0" xfId="0" applyFill="1" applyAlignment="1" applyProtection="1">
      <alignment horizontal="center"/>
      <protection locked="0"/>
    </xf>
    <xf numFmtId="0" fontId="0" fillId="2" borderId="13" xfId="0" applyFill="1" applyBorder="1" applyAlignment="1" applyProtection="1">
      <alignment horizontal="center"/>
      <protection locked="0"/>
    </xf>
    <xf numFmtId="0" fontId="0" fillId="2" borderId="48" xfId="0" applyFill="1" applyBorder="1" applyAlignment="1" applyProtection="1">
      <alignment horizontal="center"/>
      <protection locked="0"/>
    </xf>
    <xf numFmtId="0" fontId="0" fillId="2" borderId="49" xfId="0" applyFill="1" applyBorder="1" applyAlignment="1" applyProtection="1">
      <alignment horizontal="center"/>
      <protection locked="0"/>
    </xf>
    <xf numFmtId="0" fontId="0" fillId="2" borderId="50" xfId="0" applyFill="1" applyBorder="1" applyAlignment="1" applyProtection="1">
      <alignment horizontal="center"/>
      <protection locked="0"/>
    </xf>
    <xf numFmtId="2" fontId="0" fillId="2" borderId="51" xfId="0" applyNumberFormat="1" applyFill="1" applyBorder="1" applyAlignment="1" applyProtection="1">
      <alignment horizontal="center"/>
      <protection locked="0" hidden="1"/>
    </xf>
    <xf numFmtId="14" fontId="0" fillId="2" borderId="52" xfId="0" applyNumberFormat="1" applyFill="1" applyBorder="1" applyAlignment="1" applyProtection="1">
      <alignment horizontal="center"/>
      <protection locked="0" hidden="1"/>
    </xf>
    <xf numFmtId="1" fontId="0" fillId="2" borderId="20" xfId="0" applyNumberFormat="1" applyFill="1" applyBorder="1" applyAlignment="1" applyProtection="1">
      <alignment horizontal="center"/>
      <protection locked="0" hidden="1"/>
    </xf>
    <xf numFmtId="1" fontId="0" fillId="2" borderId="53" xfId="0" applyNumberFormat="1" applyFill="1" applyBorder="1" applyAlignment="1" applyProtection="1">
      <alignment horizontal="center"/>
      <protection locked="0" hidden="1"/>
    </xf>
    <xf numFmtId="0" fontId="10" fillId="5" borderId="0" xfId="0" applyFont="1" applyFill="1" applyAlignment="1" applyProtection="1">
      <alignment horizontal="center"/>
      <protection locked="0" hidden="1"/>
    </xf>
    <xf numFmtId="0" fontId="19" fillId="0" borderId="0" xfId="0" applyFont="1" applyProtection="1">
      <protection locked="0"/>
    </xf>
    <xf numFmtId="0" fontId="22" fillId="5" borderId="0" xfId="0" applyFont="1" applyFill="1" applyAlignment="1">
      <alignment horizontal="left" indent="1"/>
    </xf>
    <xf numFmtId="2" fontId="22" fillId="5" borderId="4" xfId="0" applyNumberFormat="1" applyFont="1" applyFill="1" applyBorder="1" applyAlignment="1">
      <alignment horizontal="left" indent="1"/>
    </xf>
    <xf numFmtId="0" fontId="23" fillId="2" borderId="0" xfId="0" applyFont="1" applyFill="1" applyProtection="1">
      <protection hidden="1"/>
    </xf>
    <xf numFmtId="0" fontId="23" fillId="2" borderId="0" xfId="0" applyFont="1" applyFill="1" applyAlignment="1" applyProtection="1">
      <alignment vertical="top"/>
      <protection hidden="1"/>
    </xf>
    <xf numFmtId="2" fontId="20" fillId="2" borderId="0" xfId="0" applyNumberFormat="1" applyFont="1" applyFill="1" applyAlignment="1" applyProtection="1">
      <alignment horizontal="left" vertical="center"/>
      <protection locked="0"/>
    </xf>
    <xf numFmtId="2" fontId="10" fillId="2" borderId="51" xfId="0" applyNumberFormat="1" applyFont="1" applyFill="1" applyBorder="1" applyAlignment="1" applyProtection="1">
      <alignment horizontal="center"/>
      <protection locked="0" hidden="1"/>
    </xf>
    <xf numFmtId="1" fontId="0" fillId="2" borderId="20" xfId="0" applyNumberFormat="1" applyFill="1" applyBorder="1" applyAlignment="1" applyProtection="1">
      <alignment horizontal="center"/>
      <protection locked="0"/>
    </xf>
    <xf numFmtId="1" fontId="0" fillId="2" borderId="53" xfId="0" applyNumberFormat="1" applyFill="1" applyBorder="1" applyAlignment="1" applyProtection="1">
      <alignment horizontal="center"/>
      <protection locked="0"/>
    </xf>
    <xf numFmtId="0" fontId="24" fillId="0" borderId="0" xfId="0" applyFont="1"/>
    <xf numFmtId="0" fontId="0" fillId="2" borderId="13" xfId="0" applyFill="1" applyBorder="1" applyProtection="1">
      <protection hidden="1"/>
    </xf>
    <xf numFmtId="0" fontId="0" fillId="0" borderId="13" xfId="0" applyBorder="1"/>
    <xf numFmtId="0" fontId="0" fillId="0" borderId="14" xfId="0" applyBorder="1"/>
    <xf numFmtId="0" fontId="0" fillId="2" borderId="0" xfId="0" applyFill="1" applyProtection="1">
      <protection hidden="1"/>
    </xf>
    <xf numFmtId="0" fontId="0" fillId="0" borderId="0" xfId="0"/>
    <xf numFmtId="0" fontId="0" fillId="0" borderId="2" xfId="0" applyBorder="1"/>
    <xf numFmtId="0" fontId="0" fillId="2" borderId="54" xfId="0" applyFill="1" applyBorder="1" applyProtection="1">
      <protection hidden="1"/>
    </xf>
    <xf numFmtId="0" fontId="0" fillId="0" borderId="54" xfId="0" applyBorder="1"/>
    <xf numFmtId="0" fontId="0" fillId="0" borderId="55" xfId="0" applyBorder="1"/>
    <xf numFmtId="0" fontId="2" fillId="3" borderId="4" xfId="0" applyFont="1" applyFill="1" applyBorder="1" applyProtection="1">
      <protection hidden="1"/>
    </xf>
    <xf numFmtId="0" fontId="0" fillId="0" borderId="4" xfId="0" applyBorder="1"/>
    <xf numFmtId="0" fontId="18" fillId="2" borderId="0" xfId="0" applyFont="1" applyFill="1" applyAlignment="1" applyProtection="1">
      <alignment horizontal="left" wrapText="1"/>
      <protection hidden="1"/>
    </xf>
    <xf numFmtId="0" fontId="10" fillId="0" borderId="0" xfId="0" applyFont="1"/>
    <xf numFmtId="0" fontId="10" fillId="0" borderId="2" xfId="0" applyFont="1" applyBorder="1"/>
    <xf numFmtId="0" fontId="2" fillId="3" borderId="0" xfId="0" applyFont="1" applyFill="1" applyAlignment="1" applyProtection="1">
      <alignment vertical="center"/>
      <protection hidden="1"/>
    </xf>
    <xf numFmtId="0" fontId="3" fillId="3" borderId="0" xfId="0" applyFont="1" applyFill="1" applyAlignment="1">
      <alignment vertical="center"/>
    </xf>
    <xf numFmtId="0" fontId="3" fillId="3" borderId="2" xfId="0" applyFont="1" applyFill="1" applyBorder="1" applyAlignment="1">
      <alignment vertical="center"/>
    </xf>
    <xf numFmtId="0" fontId="20" fillId="2" borderId="4" xfId="0" applyFont="1" applyFill="1" applyBorder="1" applyAlignment="1" applyProtection="1">
      <alignment horizontal="left" vertical="center"/>
      <protection hidden="1"/>
    </xf>
    <xf numFmtId="0" fontId="0" fillId="0" borderId="5" xfId="0" applyBorder="1"/>
    <xf numFmtId="0" fontId="14" fillId="3" borderId="0" xfId="0" applyFont="1" applyFill="1" applyAlignment="1" applyProtection="1">
      <alignment vertical="center"/>
      <protection hidden="1"/>
    </xf>
    <xf numFmtId="0" fontId="0" fillId="0" borderId="0" xfId="0" applyAlignment="1">
      <alignment vertical="center"/>
    </xf>
    <xf numFmtId="0" fontId="0" fillId="2" borderId="46" xfId="0" applyFill="1" applyBorder="1" applyProtection="1">
      <protection hidden="1"/>
    </xf>
    <xf numFmtId="0" fontId="0" fillId="0" borderId="46" xfId="0" applyBorder="1"/>
    <xf numFmtId="0" fontId="0" fillId="0" borderId="45" xfId="0" applyBorder="1"/>
    <xf numFmtId="0" fontId="0" fillId="2" borderId="13" xfId="0" applyFill="1" applyBorder="1" applyProtection="1">
      <protection locked="0"/>
    </xf>
    <xf numFmtId="0" fontId="0" fillId="0" borderId="13" xfId="0" applyBorder="1" applyProtection="1">
      <protection locked="0"/>
    </xf>
    <xf numFmtId="0" fontId="0" fillId="2" borderId="0" xfId="0" applyFill="1" applyProtection="1">
      <protection locked="0"/>
    </xf>
    <xf numFmtId="0" fontId="0" fillId="0" borderId="0" xfId="0" applyProtection="1">
      <protection locked="0"/>
    </xf>
    <xf numFmtId="0" fontId="0" fillId="2" borderId="54" xfId="0" applyFill="1" applyBorder="1" applyProtection="1">
      <protection locked="0"/>
    </xf>
    <xf numFmtId="0" fontId="0" fillId="0" borderId="54" xfId="0" applyBorder="1" applyProtection="1">
      <protection locked="0"/>
    </xf>
    <xf numFmtId="0" fontId="0" fillId="2" borderId="46" xfId="0" applyFill="1" applyBorder="1" applyProtection="1">
      <protection locked="0"/>
    </xf>
    <xf numFmtId="0" fontId="0" fillId="0" borderId="46" xfId="0" applyBorder="1" applyProtection="1">
      <protection locked="0"/>
    </xf>
    <xf numFmtId="14" fontId="0" fillId="0" borderId="0" xfId="0" applyNumberFormat="1" applyAlignment="1" applyProtection="1">
      <alignment horizontal="left" vertical="center"/>
      <protection hidden="1"/>
    </xf>
    <xf numFmtId="0" fontId="0" fillId="0" borderId="0" xfId="0" applyAlignment="1">
      <alignment horizontal="left" vertical="center"/>
    </xf>
    <xf numFmtId="0" fontId="13" fillId="2" borderId="9" xfId="0" applyFont="1" applyFill="1" applyBorder="1" applyAlignment="1" applyProtection="1">
      <alignment horizontal="center"/>
      <protection hidden="1"/>
    </xf>
    <xf numFmtId="0" fontId="0" fillId="0" borderId="0" xfId="0" applyAlignment="1">
      <alignment horizontal="center"/>
    </xf>
    <xf numFmtId="0" fontId="1" fillId="2" borderId="9" xfId="0" applyFont="1" applyFill="1" applyBorder="1" applyAlignment="1" applyProtection="1">
      <alignment horizontal="center"/>
      <protection hidden="1"/>
    </xf>
    <xf numFmtId="2" fontId="1" fillId="4" borderId="3" xfId="0" applyNumberFormat="1" applyFont="1" applyFill="1" applyBorder="1" applyAlignment="1" applyProtection="1">
      <alignment horizontal="center"/>
      <protection locked="0" hidden="1"/>
    </xf>
    <xf numFmtId="0" fontId="1" fillId="4" borderId="3" xfId="0" applyFont="1" applyFill="1" applyBorder="1" applyAlignment="1" applyProtection="1">
      <alignment horizontal="center"/>
      <protection locked="0" hidden="1"/>
    </xf>
    <xf numFmtId="164" fontId="1" fillId="5" borderId="10" xfId="0" applyNumberFormat="1" applyFont="1" applyFill="1" applyBorder="1" applyAlignment="1" applyProtection="1">
      <alignment horizontal="right"/>
      <protection locked="0" hidden="1"/>
    </xf>
    <xf numFmtId="164" fontId="1" fillId="5" borderId="47" xfId="0" applyNumberFormat="1" applyFont="1" applyFill="1" applyBorder="1" applyAlignment="1" applyProtection="1">
      <alignment horizontal="right"/>
      <protection locked="0" hidden="1"/>
    </xf>
    <xf numFmtId="0" fontId="1" fillId="3" borderId="0" xfId="0" applyFont="1" applyFill="1" applyAlignment="1" applyProtection="1">
      <alignment horizontal="right" vertical="center" wrapText="1" readingOrder="2"/>
      <protection hidden="1"/>
    </xf>
    <xf numFmtId="0" fontId="1" fillId="2" borderId="11" xfId="0" applyFont="1" applyFill="1" applyBorder="1" applyAlignment="1" applyProtection="1">
      <alignment horizontal="center"/>
      <protection hidden="1"/>
    </xf>
    <xf numFmtId="0" fontId="0" fillId="0" borderId="6" xfId="0" applyBorder="1" applyAlignment="1">
      <alignment horizontal="center"/>
    </xf>
    <xf numFmtId="0" fontId="9" fillId="3" borderId="0" xfId="0" applyFont="1" applyFill="1" applyAlignment="1" applyProtection="1">
      <alignment horizontal="left" vertical="center" wrapText="1" indent="1"/>
      <protection hidden="1"/>
    </xf>
    <xf numFmtId="0" fontId="0" fillId="3" borderId="0" xfId="0" applyFill="1" applyAlignment="1">
      <alignment horizontal="left" wrapText="1" indent="1"/>
    </xf>
    <xf numFmtId="0" fontId="0" fillId="0" borderId="0" xfId="0" applyAlignment="1">
      <alignment horizontal="left" wrapText="1" indent="1"/>
    </xf>
  </cellXfs>
  <cellStyles count="1">
    <cellStyle name="Standard" xfId="0" builtinId="0"/>
  </cellStyles>
  <dxfs count="13">
    <dxf>
      <fill>
        <patternFill>
          <bgColor indexed="22"/>
        </patternFill>
      </fill>
    </dxf>
    <dxf>
      <fill>
        <patternFill>
          <bgColor indexed="22"/>
        </patternFill>
      </fill>
    </dxf>
    <dxf>
      <fill>
        <patternFill>
          <bgColor indexed="22"/>
        </patternFill>
      </fill>
    </dxf>
    <dxf>
      <font>
        <color rgb="FF9C0006"/>
      </font>
      <fill>
        <patternFill>
          <bgColor rgb="FFFFC7CE"/>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52"/>
        </patternFill>
      </fill>
    </dxf>
    <dxf>
      <fill>
        <patternFill>
          <bgColor indexed="52"/>
        </patternFill>
      </fill>
    </dxf>
    <dxf>
      <fill>
        <patternFill>
          <bgColor indexed="5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10</xdr:col>
      <xdr:colOff>28575</xdr:colOff>
      <xdr:row>7</xdr:row>
      <xdr:rowOff>28575</xdr:rowOff>
    </xdr:from>
    <xdr:to>
      <xdr:col>12</xdr:col>
      <xdr:colOff>409575</xdr:colOff>
      <xdr:row>8</xdr:row>
      <xdr:rowOff>76200</xdr:rowOff>
    </xdr:to>
    <xdr:grpSp>
      <xdr:nvGrpSpPr>
        <xdr:cNvPr id="224268" name="Group 1">
          <a:extLst>
            <a:ext uri="{FF2B5EF4-FFF2-40B4-BE49-F238E27FC236}">
              <a16:creationId xmlns:a16="http://schemas.microsoft.com/office/drawing/2014/main" id="{00000000-0008-0000-0000-00000C6C0300}"/>
            </a:ext>
          </a:extLst>
        </xdr:cNvPr>
        <xdr:cNvGrpSpPr>
          <a:grpSpLocks noChangeAspect="1"/>
        </xdr:cNvGrpSpPr>
      </xdr:nvGrpSpPr>
      <xdr:grpSpPr bwMode="auto">
        <a:xfrm>
          <a:off x="8454892" y="1329697"/>
          <a:ext cx="2033219" cy="305785"/>
          <a:chOff x="110858700" y="92943300"/>
          <a:chExt cx="2325480" cy="367080"/>
        </a:xfrm>
      </xdr:grpSpPr>
      <xdr:sp macro="" textlink="">
        <xdr:nvSpPr>
          <xdr:cNvPr id="224272" name="AutoShape 2">
            <a:extLst>
              <a:ext uri="{FF2B5EF4-FFF2-40B4-BE49-F238E27FC236}">
                <a16:creationId xmlns:a16="http://schemas.microsoft.com/office/drawing/2014/main" id="{00000000-0008-0000-0000-0000106C03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224273" name="Picture 3">
            <a:extLst>
              <a:ext uri="{FF2B5EF4-FFF2-40B4-BE49-F238E27FC236}">
                <a16:creationId xmlns:a16="http://schemas.microsoft.com/office/drawing/2014/main" id="{00000000-0008-0000-0000-0000116C03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twoCellAnchor editAs="oneCell">
    <xdr:from>
      <xdr:col>2</xdr:col>
      <xdr:colOff>876300</xdr:colOff>
      <xdr:row>8</xdr:row>
      <xdr:rowOff>95250</xdr:rowOff>
    </xdr:from>
    <xdr:to>
      <xdr:col>4</xdr:col>
      <xdr:colOff>266700</xdr:colOff>
      <xdr:row>9</xdr:row>
      <xdr:rowOff>161925</xdr:rowOff>
    </xdr:to>
    <xdr:pic>
      <xdr:nvPicPr>
        <xdr:cNvPr id="224269" name="Picture 307" descr="Grafik3">
          <a:extLst>
            <a:ext uri="{FF2B5EF4-FFF2-40B4-BE49-F238E27FC236}">
              <a16:creationId xmlns:a16="http://schemas.microsoft.com/office/drawing/2014/main" id="{00000000-0008-0000-0000-00000D6C0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7455" t="43549" r="6140"/>
        <a:stretch>
          <a:fillRect/>
        </a:stretch>
      </xdr:blipFill>
      <xdr:spPr bwMode="auto">
        <a:xfrm>
          <a:off x="2152650" y="1609725"/>
          <a:ext cx="1219200" cy="447675"/>
        </a:xfrm>
        <a:prstGeom prst="rect">
          <a:avLst/>
        </a:prstGeom>
        <a:solidFill>
          <a:srgbClr xmlns:mc="http://schemas.openxmlformats.org/markup-compatibility/2006" xmlns:a14="http://schemas.microsoft.com/office/drawing/2010/main" val="808080" mc:Ignorable="a14" a14:legacySpreadsheetColorIndex="23"/>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85725</xdr:colOff>
      <xdr:row>8</xdr:row>
      <xdr:rowOff>142875</xdr:rowOff>
    </xdr:from>
    <xdr:to>
      <xdr:col>2</xdr:col>
      <xdr:colOff>857250</xdr:colOff>
      <xdr:row>9</xdr:row>
      <xdr:rowOff>95250</xdr:rowOff>
    </xdr:to>
    <xdr:pic>
      <xdr:nvPicPr>
        <xdr:cNvPr id="224270" name="Picture 318" descr="ant Logo">
          <a:extLst>
            <a:ext uri="{FF2B5EF4-FFF2-40B4-BE49-F238E27FC236}">
              <a16:creationId xmlns:a16="http://schemas.microsoft.com/office/drawing/2014/main" id="{00000000-0008-0000-0000-00000E6C0300}"/>
            </a:ext>
          </a:extLst>
        </xdr:cNvPr>
        <xdr:cNvPicPr preferRelativeResize="0">
          <a:picLocks noChangeAspect="1" noChangeArrowheads="1"/>
        </xdr:cNvPicPr>
      </xdr:nvPicPr>
      <xdr:blipFill>
        <a:blip xmlns:r="http://schemas.openxmlformats.org/officeDocument/2006/relationships" r:embed="rId3" cstate="print">
          <a:grayscl/>
          <a:extLst>
            <a:ext uri="{28A0092B-C50C-407E-A947-70E740481C1C}">
              <a14:useLocalDpi xmlns:a14="http://schemas.microsoft.com/office/drawing/2010/main" val="0"/>
            </a:ext>
          </a:extLst>
        </a:blip>
        <a:srcRect l="46875" b="27104"/>
        <a:stretch>
          <a:fillRect/>
        </a:stretch>
      </xdr:blipFill>
      <xdr:spPr bwMode="auto">
        <a:xfrm>
          <a:off x="1362075" y="1657350"/>
          <a:ext cx="771525" cy="333375"/>
        </a:xfrm>
        <a:prstGeom prst="rect">
          <a:avLst/>
        </a:prstGeom>
        <a:solidFill>
          <a:srgbClr val="CC6600">
            <a:alpha val="63921"/>
          </a:srgbClr>
        </a:solidFill>
        <a:ln>
          <a:noFill/>
        </a:ln>
        <a:effectLst/>
        <a:extLs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clientData/>
  </xdr:twoCellAnchor>
  <xdr:twoCellAnchor>
    <xdr:from>
      <xdr:col>1</xdr:col>
      <xdr:colOff>428625</xdr:colOff>
      <xdr:row>8</xdr:row>
      <xdr:rowOff>152400</xdr:rowOff>
    </xdr:from>
    <xdr:to>
      <xdr:col>2</xdr:col>
      <xdr:colOff>19050</xdr:colOff>
      <xdr:row>9</xdr:row>
      <xdr:rowOff>47625</xdr:rowOff>
    </xdr:to>
    <xdr:pic>
      <xdr:nvPicPr>
        <xdr:cNvPr id="224271" name="Picture 319" descr="ant Logo">
          <a:extLst>
            <a:ext uri="{FF2B5EF4-FFF2-40B4-BE49-F238E27FC236}">
              <a16:creationId xmlns:a16="http://schemas.microsoft.com/office/drawing/2014/main" id="{00000000-0008-0000-0000-00000F6C0300}"/>
            </a:ext>
          </a:extLst>
        </xdr:cNvPr>
        <xdr:cNvPicPr preferRelativeResize="0">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l="7808" r="50781" b="41502"/>
        <a:stretch>
          <a:fillRect/>
        </a:stretch>
      </xdr:blipFill>
      <xdr:spPr bwMode="auto">
        <a:xfrm>
          <a:off x="676275" y="1666875"/>
          <a:ext cx="619125" cy="276225"/>
        </a:xfrm>
        <a:prstGeom prst="rect">
          <a:avLst/>
        </a:prstGeom>
        <a:solidFill>
          <a:srgbClr val="CCCCCC"/>
        </a:solidFill>
        <a:ln>
          <a:noFill/>
        </a:ln>
        <a:effectLst/>
        <a:extLs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152400</xdr:colOff>
      <xdr:row>1</xdr:row>
      <xdr:rowOff>285750</xdr:rowOff>
    </xdr:from>
    <xdr:to>
      <xdr:col>10</xdr:col>
      <xdr:colOff>95250</xdr:colOff>
      <xdr:row>2</xdr:row>
      <xdr:rowOff>85725</xdr:rowOff>
    </xdr:to>
    <xdr:grpSp>
      <xdr:nvGrpSpPr>
        <xdr:cNvPr id="226310" name="Group 1">
          <a:extLst>
            <a:ext uri="{FF2B5EF4-FFF2-40B4-BE49-F238E27FC236}">
              <a16:creationId xmlns:a16="http://schemas.microsoft.com/office/drawing/2014/main" id="{00000000-0008-0000-0800-000006740300}"/>
            </a:ext>
          </a:extLst>
        </xdr:cNvPr>
        <xdr:cNvGrpSpPr>
          <a:grpSpLocks noChangeAspect="1"/>
        </xdr:cNvGrpSpPr>
      </xdr:nvGrpSpPr>
      <xdr:grpSpPr bwMode="auto">
        <a:xfrm>
          <a:off x="2949727" y="448608"/>
          <a:ext cx="2060004" cy="307709"/>
          <a:chOff x="110858700" y="92943300"/>
          <a:chExt cx="2325480" cy="367080"/>
        </a:xfrm>
      </xdr:grpSpPr>
      <xdr:sp macro="" textlink="">
        <xdr:nvSpPr>
          <xdr:cNvPr id="226311" name="AutoShape 2">
            <a:extLst>
              <a:ext uri="{FF2B5EF4-FFF2-40B4-BE49-F238E27FC236}">
                <a16:creationId xmlns:a16="http://schemas.microsoft.com/office/drawing/2014/main" id="{00000000-0008-0000-0800-0000077403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226312" name="Picture 3">
            <a:extLst>
              <a:ext uri="{FF2B5EF4-FFF2-40B4-BE49-F238E27FC236}">
                <a16:creationId xmlns:a16="http://schemas.microsoft.com/office/drawing/2014/main" id="{00000000-0008-0000-0800-0000087403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C3C364"/>
  </sheetPr>
  <dimension ref="B1:DK1799"/>
  <sheetViews>
    <sheetView showGridLines="0" zoomScale="77" zoomScaleNormal="100" workbookViewId="0">
      <pane ySplit="10" topLeftCell="A101" activePane="bottomLeft" state="frozen"/>
      <selection pane="bottomLeft" activeCell="C2" sqref="C2"/>
    </sheetView>
  </sheetViews>
  <sheetFormatPr baseColWidth="10" defaultRowHeight="12.55" x14ac:dyDescent="0.2"/>
  <cols>
    <col min="1" max="1" width="3.77734375" customWidth="1"/>
    <col min="2" max="2" width="15.44140625" customWidth="1"/>
    <col min="3" max="3" width="20.21875" customWidth="1"/>
    <col min="4" max="4" width="7.21875" customWidth="1"/>
    <col min="5" max="5" width="7.77734375" customWidth="1"/>
    <col min="7" max="7" width="17.21875" bestFit="1" customWidth="1"/>
    <col min="14" max="14" width="5.77734375" style="20" customWidth="1"/>
    <col min="15" max="16" width="6.21875" style="20" customWidth="1"/>
    <col min="17" max="17" width="15.21875" style="20" customWidth="1"/>
    <col min="18" max="18" width="5.44140625" style="20" customWidth="1"/>
    <col min="19" max="19" width="8.21875" style="20" customWidth="1"/>
    <col min="20" max="20" width="8" style="20" customWidth="1"/>
    <col min="21" max="115" width="11.44140625" style="20"/>
  </cols>
  <sheetData>
    <row r="1" spans="2:16" ht="13.15" customHeight="1" x14ac:dyDescent="0.2"/>
    <row r="2" spans="2:16" ht="20.05" customHeight="1" x14ac:dyDescent="0.35">
      <c r="B2" s="187" t="s">
        <v>50</v>
      </c>
      <c r="C2" s="136" t="s">
        <v>128</v>
      </c>
      <c r="D2" s="280" t="s">
        <v>128</v>
      </c>
      <c r="E2" s="226"/>
      <c r="F2" s="297" t="s">
        <v>0</v>
      </c>
      <c r="G2" s="298"/>
      <c r="H2" s="298"/>
      <c r="I2" s="298"/>
      <c r="J2" s="298"/>
      <c r="K2" s="298"/>
      <c r="L2" s="111"/>
      <c r="M2" s="233" t="s">
        <v>373</v>
      </c>
    </row>
    <row r="3" spans="2:16" ht="14.1" customHeight="1" x14ac:dyDescent="0.35">
      <c r="B3" s="132" t="s">
        <v>1</v>
      </c>
      <c r="C3" s="227"/>
      <c r="D3" s="279" t="s">
        <v>272</v>
      </c>
      <c r="E3" s="228"/>
      <c r="F3" s="292"/>
      <c r="G3" s="292"/>
      <c r="H3" s="292"/>
      <c r="I3" s="292"/>
      <c r="J3" s="292"/>
      <c r="K3" s="292"/>
      <c r="L3" s="125"/>
      <c r="M3" s="94"/>
      <c r="O3" s="27" t="s">
        <v>389</v>
      </c>
    </row>
    <row r="4" spans="2:16" ht="14.1" customHeight="1" x14ac:dyDescent="0.25">
      <c r="B4" s="132" t="s">
        <v>2</v>
      </c>
      <c r="C4" s="227"/>
      <c r="D4" s="228"/>
      <c r="E4" s="228"/>
      <c r="F4" s="302" t="s">
        <v>352</v>
      </c>
      <c r="G4" s="303"/>
      <c r="H4" s="303"/>
      <c r="I4" s="303"/>
      <c r="J4" s="303"/>
      <c r="K4" s="303"/>
      <c r="L4" s="303"/>
      <c r="M4" s="304"/>
      <c r="O4" s="287" t="s">
        <v>398</v>
      </c>
      <c r="P4" s="234"/>
    </row>
    <row r="5" spans="2:16" ht="14.1" customHeight="1" x14ac:dyDescent="0.25">
      <c r="B5" s="132" t="s">
        <v>3</v>
      </c>
      <c r="C5" s="239"/>
      <c r="D5" s="279" t="s">
        <v>4</v>
      </c>
      <c r="E5" s="228"/>
      <c r="F5" s="303"/>
      <c r="G5" s="303"/>
      <c r="H5" s="303"/>
      <c r="I5" s="303"/>
      <c r="J5" s="303"/>
      <c r="K5" s="303"/>
      <c r="L5" s="303"/>
      <c r="M5" s="304"/>
      <c r="O5" s="287" t="s">
        <v>399</v>
      </c>
      <c r="P5" s="234"/>
    </row>
    <row r="6" spans="2:16" ht="14.1" customHeight="1" x14ac:dyDescent="0.25">
      <c r="B6" s="132" t="s">
        <v>5</v>
      </c>
      <c r="C6" s="227"/>
      <c r="D6" s="279" t="s">
        <v>179</v>
      </c>
      <c r="E6" s="228"/>
      <c r="F6" s="2"/>
      <c r="G6" s="3"/>
      <c r="H6" s="3"/>
      <c r="I6" s="3"/>
      <c r="J6" s="4"/>
      <c r="K6" s="3"/>
      <c r="L6" s="3"/>
      <c r="M6" s="82"/>
      <c r="O6" s="320">
        <v>41432</v>
      </c>
      <c r="P6" s="321"/>
    </row>
    <row r="7" spans="2:16" ht="14.1" customHeight="1" x14ac:dyDescent="0.25">
      <c r="B7" s="132" t="s">
        <v>6</v>
      </c>
      <c r="C7" s="238"/>
      <c r="D7" s="225" t="s">
        <v>314</v>
      </c>
      <c r="E7" s="230" t="str">
        <f>IF(OR(C7="",C8="",E9&lt;15,E9&gt;70,C6&gt;E9+6,C6&lt;4,C6&gt;28)=TRUE,"",E9)</f>
        <v/>
      </c>
      <c r="F7" s="307" t="s">
        <v>7</v>
      </c>
      <c r="G7" s="308"/>
      <c r="H7" s="308"/>
      <c r="I7" s="3"/>
      <c r="J7" s="3"/>
      <c r="K7" s="3"/>
      <c r="L7" s="3"/>
      <c r="M7" s="82"/>
    </row>
    <row r="8" spans="2:16" ht="20.05" customHeight="1" x14ac:dyDescent="0.2">
      <c r="B8" s="188" t="s">
        <v>8</v>
      </c>
      <c r="C8" s="189"/>
      <c r="D8" s="229"/>
      <c r="E8" s="229"/>
      <c r="F8" s="308"/>
      <c r="G8" s="308"/>
      <c r="H8" s="308"/>
      <c r="I8" s="5"/>
      <c r="J8" s="4" t="s">
        <v>9</v>
      </c>
      <c r="K8" s="3"/>
      <c r="L8" s="3"/>
      <c r="M8" s="82"/>
    </row>
    <row r="9" spans="2:16" ht="30.05" customHeight="1" x14ac:dyDescent="0.2">
      <c r="B9" s="112"/>
      <c r="C9" s="113"/>
      <c r="D9" s="113"/>
      <c r="E9" s="235">
        <f>(C8-C7)/365.25</f>
        <v>0</v>
      </c>
      <c r="F9" s="299" t="s">
        <v>395</v>
      </c>
      <c r="G9" s="300"/>
      <c r="H9" s="300"/>
      <c r="I9" s="300"/>
      <c r="J9" s="300"/>
      <c r="K9" s="300"/>
      <c r="L9" s="300"/>
      <c r="M9" s="301"/>
    </row>
    <row r="10" spans="2:16" ht="19.600000000000001" customHeight="1" x14ac:dyDescent="0.25">
      <c r="B10" s="62"/>
      <c r="C10" s="1"/>
      <c r="D10" s="1"/>
      <c r="E10" s="240">
        <f>ROUNDDOWN(E9,0)</f>
        <v>0</v>
      </c>
      <c r="F10" s="7" t="s">
        <v>10</v>
      </c>
      <c r="G10" s="7" t="s">
        <v>11</v>
      </c>
      <c r="H10" s="7" t="s">
        <v>12</v>
      </c>
      <c r="I10" s="7" t="s">
        <v>13</v>
      </c>
      <c r="J10" s="7" t="s">
        <v>14</v>
      </c>
      <c r="K10" s="7" t="s">
        <v>15</v>
      </c>
      <c r="L10" s="7" t="s">
        <v>16</v>
      </c>
      <c r="M10" s="34" t="s">
        <v>316</v>
      </c>
    </row>
    <row r="11" spans="2:16" ht="17.55" x14ac:dyDescent="0.25">
      <c r="B11" s="243" t="s">
        <v>17</v>
      </c>
      <c r="C11" s="244"/>
      <c r="D11" s="244"/>
      <c r="E11" s="244"/>
      <c r="F11" s="245"/>
      <c r="G11" s="246"/>
      <c r="H11" s="246"/>
      <c r="I11" s="246"/>
      <c r="J11" s="246"/>
      <c r="K11" s="246"/>
      <c r="L11" s="246"/>
      <c r="M11" s="247"/>
    </row>
    <row r="12" spans="2:16" ht="8.15" customHeight="1" x14ac:dyDescent="0.2">
      <c r="B12" s="84"/>
      <c r="C12" s="193"/>
      <c r="D12" s="193"/>
      <c r="E12" s="193"/>
      <c r="F12" s="305" t="s">
        <v>394</v>
      </c>
      <c r="G12" s="298"/>
      <c r="H12" s="298"/>
      <c r="I12" s="298"/>
      <c r="J12" s="298"/>
      <c r="K12" s="298"/>
      <c r="L12" s="298"/>
      <c r="M12" s="306"/>
    </row>
    <row r="13" spans="2:16" ht="13.15" x14ac:dyDescent="0.2">
      <c r="B13" s="134" t="s">
        <v>313</v>
      </c>
      <c r="C13" s="8"/>
      <c r="D13" s="8"/>
      <c r="E13" s="8"/>
      <c r="F13" s="292"/>
      <c r="G13" s="292"/>
      <c r="H13" s="292"/>
      <c r="I13" s="292"/>
      <c r="J13" s="292"/>
      <c r="K13" s="292"/>
      <c r="L13" s="292"/>
      <c r="M13" s="293"/>
    </row>
    <row r="14" spans="2:16" ht="13.15" x14ac:dyDescent="0.25">
      <c r="B14" s="62"/>
      <c r="C14" s="291" t="s">
        <v>18</v>
      </c>
      <c r="D14" s="292"/>
      <c r="E14" s="293"/>
      <c r="F14" s="241" t="e">
        <f>IF(#REF!="","",#REF!)</f>
        <v>#REF!</v>
      </c>
      <c r="G14" s="97" t="s">
        <v>19</v>
      </c>
      <c r="H14" s="99" t="s">
        <v>12</v>
      </c>
      <c r="I14" s="10" t="s">
        <v>13</v>
      </c>
      <c r="J14" s="11" t="s">
        <v>14</v>
      </c>
      <c r="K14" s="11" t="s">
        <v>15</v>
      </c>
      <c r="L14" s="10" t="s">
        <v>16</v>
      </c>
      <c r="M14" s="66" t="s">
        <v>316</v>
      </c>
      <c r="N14" s="236"/>
    </row>
    <row r="15" spans="2:16" ht="13.15" x14ac:dyDescent="0.25">
      <c r="B15" s="62"/>
      <c r="C15" s="294" t="s">
        <v>20</v>
      </c>
      <c r="D15" s="295"/>
      <c r="E15" s="296"/>
      <c r="F15" s="242" t="e">
        <f>IF(#REF!="","",#REF!)</f>
        <v>#REF!</v>
      </c>
      <c r="G15" s="97"/>
      <c r="H15" s="100"/>
      <c r="I15" s="10"/>
      <c r="J15" s="11"/>
      <c r="K15" s="11"/>
      <c r="L15" s="10"/>
      <c r="M15" s="12"/>
      <c r="N15" s="236"/>
    </row>
    <row r="16" spans="2:16" ht="13.15" x14ac:dyDescent="0.25">
      <c r="B16" s="62"/>
      <c r="C16" s="288" t="s">
        <v>21</v>
      </c>
      <c r="D16" s="289"/>
      <c r="E16" s="290"/>
      <c r="F16" s="241" t="e">
        <f>IF(#REF!="","",#REF!)</f>
        <v>#REF!</v>
      </c>
      <c r="G16" s="98" t="s">
        <v>22</v>
      </c>
      <c r="H16" s="101" t="e">
        <f>IF(F16="","",IF(ISERROR(S1041)=TRUE,"",IF(OR(C5="",C6="",C7="",C8="",E7="")=TRUE,"",S1041)))</f>
        <v>#REF!</v>
      </c>
      <c r="I16" s="253" t="e">
        <f>IF(H16="","",VLOOKUP(ROUND($H16,0),$AB$1033:$AF$1088,2,FALSE))</f>
        <v>#REF!</v>
      </c>
      <c r="J16" s="75" t="e">
        <f>IF(H16="","",VLOOKUP(ROUND($H16,0),$AB$1033:$AF$1088,3,FALSE))</f>
        <v>#REF!</v>
      </c>
      <c r="K16" s="74" t="e">
        <f>IF(H16="","",VLOOKUP(ROUND($H16,0),$AB$1033:$AF$1088,4,FALSE))</f>
        <v>#REF!</v>
      </c>
      <c r="L16" s="253" t="e">
        <f>IF(H16="","",VLOOKUP(ROUND($H16,0),$AB$1033:$AF$1088,5,FALSE))</f>
        <v>#REF!</v>
      </c>
      <c r="M16" s="77"/>
      <c r="N16" s="236"/>
    </row>
    <row r="17" spans="2:14" ht="13.15" x14ac:dyDescent="0.25">
      <c r="B17" s="62"/>
      <c r="C17" s="288" t="s">
        <v>23</v>
      </c>
      <c r="D17" s="289"/>
      <c r="E17" s="290"/>
      <c r="F17" s="277" t="e">
        <f>IF(#REF!="","",#REF!)</f>
        <v>#REF!</v>
      </c>
      <c r="G17" s="98" t="s">
        <v>22</v>
      </c>
      <c r="H17" s="101" t="str">
        <f>IF(ISERROR(S1042)=TRUE,"",IF(OR(C5="",C6="",C7="",C8="",E7="")=TRUE,"",S1042))</f>
        <v/>
      </c>
      <c r="I17" s="253" t="str">
        <f>IF(H17="","",VLOOKUP(ROUND($H17,0),$AB$1096:$AF$1109,2,FALSE))</f>
        <v/>
      </c>
      <c r="J17" s="75" t="str">
        <f>IF(H17="","",VLOOKUP(ROUND($H17,0),$AB$1096:$AF$1109,3,FALSE))</f>
        <v/>
      </c>
      <c r="K17" s="253" t="str">
        <f>IF(H17="","",VLOOKUP(ROUND($H17,0),$AB$1096:$AF$1109,4,FALSE))</f>
        <v/>
      </c>
      <c r="L17" s="74" t="str">
        <f>IF(H17="","",VLOOKUP(ROUND($H17,0),$AB$1096:$AF$1109,5,FALSE))</f>
        <v/>
      </c>
      <c r="M17" s="77"/>
      <c r="N17" s="236"/>
    </row>
    <row r="18" spans="2:14" ht="13.15" x14ac:dyDescent="0.25">
      <c r="B18" s="62"/>
      <c r="C18" s="288" t="s">
        <v>24</v>
      </c>
      <c r="D18" s="289"/>
      <c r="E18" s="290"/>
      <c r="F18" s="241" t="e">
        <f>IF(#REF!="","",#REF!)</f>
        <v>#REF!</v>
      </c>
      <c r="G18" s="98" t="s">
        <v>22</v>
      </c>
      <c r="H18" s="101" t="str">
        <f>IF(ISERROR(S1043)=TRUE,"",IF(OR(C5="",C6="",C7="",C8="",E7="")=TRUE,"",S1043))</f>
        <v/>
      </c>
      <c r="I18" s="253" t="str">
        <f>IF(H18="","",VLOOKUP(ROUND($H18,0),$AB$1117:$AF$1132,2,FALSE))</f>
        <v/>
      </c>
      <c r="J18" s="75" t="str">
        <f>IF(H18="","",VLOOKUP(ROUND($H18,0),$AB$1117:$AF$1132,3,FALSE))</f>
        <v/>
      </c>
      <c r="K18" s="253" t="str">
        <f>IF(H18="","",VLOOKUP(ROUND($H18,0),$AB$1117:$AF$1132,4,FALSE))</f>
        <v/>
      </c>
      <c r="L18" s="74" t="str">
        <f>IF(H18="","",VLOOKUP(ROUND($H18,0),$AB$1117:$AF$1132,5,FALSE))</f>
        <v/>
      </c>
      <c r="M18" s="77"/>
      <c r="N18" s="236"/>
    </row>
    <row r="19" spans="2:14" ht="13.15" x14ac:dyDescent="0.25">
      <c r="B19" s="62"/>
      <c r="C19" s="288" t="s">
        <v>25</v>
      </c>
      <c r="D19" s="289"/>
      <c r="E19" s="290"/>
      <c r="F19" s="241" t="e">
        <f>IF(#REF!="","",#REF!)</f>
        <v>#REF!</v>
      </c>
      <c r="G19" s="98" t="s">
        <v>22</v>
      </c>
      <c r="H19" s="101" t="str">
        <f>IF(ISERROR(S1044)=TRUE,"",IF(OR(C5="",C6="",C7="",C8="",E7="")=TRUE,"",S1044))</f>
        <v/>
      </c>
      <c r="I19" s="253" t="str">
        <f>IF(H19="","",VLOOKUP(ROUND($H19,0),$AB$1140:$AF$1153,2,FALSE))</f>
        <v/>
      </c>
      <c r="J19" s="75" t="str">
        <f>IF(H19="","",VLOOKUP(ROUND($H19,0),$AB$1140:$AF$1153,3,FALSE))</f>
        <v/>
      </c>
      <c r="K19" s="253" t="str">
        <f>IF(H19="","",VLOOKUP(ROUND($H19,0),$AB$1140:$AF$1153,4,FALSE))</f>
        <v/>
      </c>
      <c r="L19" s="74" t="str">
        <f>IF(H19="","",VLOOKUP(ROUND($H19,0),$AB$1140:$AF$1153,5,FALSE))</f>
        <v/>
      </c>
      <c r="M19" s="77"/>
      <c r="N19" s="236"/>
    </row>
    <row r="20" spans="2:14" ht="13.15" x14ac:dyDescent="0.25">
      <c r="B20" s="62"/>
      <c r="C20" s="288" t="s">
        <v>26</v>
      </c>
      <c r="D20" s="289"/>
      <c r="E20" s="290"/>
      <c r="F20" s="241" t="e">
        <f>IF(#REF!="","",#REF!)</f>
        <v>#REF!</v>
      </c>
      <c r="G20" s="98" t="s">
        <v>22</v>
      </c>
      <c r="H20" s="101" t="e">
        <f>IF(F20="","",IF(OR(C5="",C6="",C7="",C8="",E7="")=TRUE,"",S1045))</f>
        <v>#REF!</v>
      </c>
      <c r="I20" s="74" t="e">
        <f>IF(H20="","",VLOOKUP(ROUND($H20,0),$AB$1161:$AF$1169,2,FALSE))</f>
        <v>#REF!</v>
      </c>
      <c r="J20" s="75" t="e">
        <f>IF(H20="","",VLOOKUP(ROUND($H20,0),$AB$1161:$AF$1169,3,FALSE))</f>
        <v>#REF!</v>
      </c>
      <c r="K20" s="74" t="e">
        <f>IF(H20="","",VLOOKUP(ROUND($H20,0),$AB$1161:$AF$1169,4,FALSE))</f>
        <v>#REF!</v>
      </c>
      <c r="L20" s="74" t="e">
        <f>IF(H20="","",VLOOKUP(ROUND($H20,0),$AB$1161:$AF$1169,5,FALSE))</f>
        <v>#REF!</v>
      </c>
      <c r="M20" s="254" t="e">
        <f>IF(H20="","",IF(I20&lt;16,"auffällig","unauffällig"))</f>
        <v>#REF!</v>
      </c>
      <c r="N20" s="236"/>
    </row>
    <row r="21" spans="2:14" ht="13.15" x14ac:dyDescent="0.25">
      <c r="B21" s="62"/>
      <c r="C21" s="288" t="s">
        <v>27</v>
      </c>
      <c r="D21" s="289"/>
      <c r="E21" s="290"/>
      <c r="F21" s="241" t="e">
        <f>IF(#REF!="","",#REF!)</f>
        <v>#REF!</v>
      </c>
      <c r="G21" s="98" t="s">
        <v>22</v>
      </c>
      <c r="H21" s="101" t="str">
        <f>IF(ISERROR(S1046)=TRUE,"",IF(OR(C5="",C6="",C7="",C8="",E7="")=TRUE,"",S1046))</f>
        <v/>
      </c>
      <c r="I21" s="253" t="str">
        <f>IF(H21="","",VLOOKUP(ROUND($H21,0),$AB$1177:$AF$1191,2,FALSE))</f>
        <v/>
      </c>
      <c r="J21" s="75" t="str">
        <f>IF(H21="","",VLOOKUP(ROUND($H21,0),$AB$1177:$AF$1191,3,FALSE))</f>
        <v/>
      </c>
      <c r="K21" s="74" t="str">
        <f>IF(H21="","",VLOOKUP(ROUND($H21,0),$AB$1177:$AF$1191,4,FALSE))</f>
        <v/>
      </c>
      <c r="L21" s="74" t="str">
        <f>IF(H21="","",VLOOKUP(ROUND($H21,0),$AB$1177:$AF$1191,5,FALSE))</f>
        <v/>
      </c>
      <c r="M21" s="76"/>
      <c r="N21" s="236"/>
    </row>
    <row r="22" spans="2:14" ht="13.15" x14ac:dyDescent="0.25">
      <c r="B22" s="62"/>
      <c r="C22" s="288" t="s">
        <v>28</v>
      </c>
      <c r="D22" s="289"/>
      <c r="E22" s="290"/>
      <c r="F22" s="241" t="e">
        <f>IF(#REF!="","",#REF!)</f>
        <v>#REF!</v>
      </c>
      <c r="G22" s="98" t="s">
        <v>22</v>
      </c>
      <c r="H22" s="101" t="str">
        <f>IF(ISERROR(S1047)=TRUE,"",IF(OR(C5="",C6="",C7="",C8="",E7="")=TRUE,"",S1047))</f>
        <v/>
      </c>
      <c r="I22" s="253" t="str">
        <f>IF(H22="","",VLOOKUP(ROUND($H22,0),$AB$1199:$AF$1212,2,FALSE))</f>
        <v/>
      </c>
      <c r="J22" s="75" t="str">
        <f>IF(H22="","",VLOOKUP(ROUND($H22,0),$AB$1199:$AF$1212,3,FALSE))</f>
        <v/>
      </c>
      <c r="K22" s="74" t="str">
        <f>IF(H22="","",VLOOKUP(ROUND($H22,0),$AB$1199:$AF$1212,4,FALSE))</f>
        <v/>
      </c>
      <c r="L22" s="74" t="str">
        <f>IF(H22="","",VLOOKUP(ROUND($H22,0),$AB$1199:$AF$1212,5,FALSE))</f>
        <v/>
      </c>
      <c r="M22" s="76"/>
      <c r="N22" s="236"/>
    </row>
    <row r="23" spans="2:14" ht="13.15" x14ac:dyDescent="0.25">
      <c r="B23" s="62"/>
      <c r="C23" s="288" t="s">
        <v>129</v>
      </c>
      <c r="D23" s="289"/>
      <c r="E23" s="290"/>
      <c r="F23" s="241" t="e">
        <f>IF(#REF!="","",#REF!)</f>
        <v>#REF!</v>
      </c>
      <c r="G23" s="98" t="s">
        <v>22</v>
      </c>
      <c r="H23" s="101" t="str">
        <f>IF(ISERROR(S1048)=TRUE,"",IF(OR(C5="",C6="",C7="",C8="",E7="")=TRUE,"",S1048))</f>
        <v/>
      </c>
      <c r="I23" s="253" t="str">
        <f>IF(H23="","",VLOOKUP(ROUND($H23,0),$AB$1367:$AF$1382,2,FALSE))</f>
        <v/>
      </c>
      <c r="J23" s="75" t="str">
        <f>IF(H23="","",VLOOKUP(ROUND($H23,0),$AB$1367:$AF$1382,3,FALSE))</f>
        <v/>
      </c>
      <c r="K23" s="74" t="str">
        <f>IF(H23="","",VLOOKUP(ROUND($H23,0),$AB$1367:$AF$1382,4,FALSE))</f>
        <v/>
      </c>
      <c r="L23" s="74" t="str">
        <f>IF(H23="","",VLOOKUP(ROUND($H23,0),$AB$1367:$AF$1382,5,FALSE))</f>
        <v/>
      </c>
      <c r="M23" s="76"/>
      <c r="N23" s="236"/>
    </row>
    <row r="24" spans="2:14" ht="13.15" x14ac:dyDescent="0.25">
      <c r="B24" s="62"/>
      <c r="C24" s="288" t="s">
        <v>130</v>
      </c>
      <c r="D24" s="289"/>
      <c r="E24" s="290"/>
      <c r="F24" s="241" t="e">
        <f>IF(#REF!="","",#REF!)</f>
        <v>#REF!</v>
      </c>
      <c r="G24" s="98" t="s">
        <v>22</v>
      </c>
      <c r="H24" s="101" t="str">
        <f>IF(ISERROR(S1049)=TRUE,"",IF(OR(C5="",C6="",C7="",C8="",E7="")=TRUE,"",S1049))</f>
        <v/>
      </c>
      <c r="I24" s="253" t="str">
        <f>IF(H24="","",VLOOKUP(ROUND($H24,0),$AB$1390:$AF$1405,2,FALSE))</f>
        <v/>
      </c>
      <c r="J24" s="75" t="str">
        <f>IF(H24="","",VLOOKUP(ROUND($H24,0),$AB$1390:$AF$1405,3,FALSE))</f>
        <v/>
      </c>
      <c r="K24" s="74" t="str">
        <f>IF(H24="","",VLOOKUP(ROUND($H24,0),$AB$1390:$AF$1405,4,FALSE))</f>
        <v/>
      </c>
      <c r="L24" s="74" t="str">
        <f>IF(H24="","",VLOOKUP(ROUND($H24,0),$AB$1390:$AF$1405,5,FALSE))</f>
        <v/>
      </c>
      <c r="M24" s="76"/>
      <c r="N24" s="236"/>
    </row>
    <row r="25" spans="2:14" ht="13.15" x14ac:dyDescent="0.25">
      <c r="B25" s="62"/>
      <c r="C25" s="288" t="s">
        <v>131</v>
      </c>
      <c r="D25" s="289"/>
      <c r="E25" s="290"/>
      <c r="F25" s="241" t="e">
        <f>IF(#REF!="","",#REF!)</f>
        <v>#REF!</v>
      </c>
      <c r="G25" s="98" t="s">
        <v>22</v>
      </c>
      <c r="H25" s="101" t="str">
        <f>IF(ISERROR(S1050)=TRUE,"",IF(OR(C5="",C6="",C7="",C8="",E7="")=TRUE,"",S1050))</f>
        <v/>
      </c>
      <c r="I25" s="253" t="str">
        <f>IF(H25="","",VLOOKUP(ROUND($H25,0),$AB$1413:$AF$1428,2,FALSE))</f>
        <v/>
      </c>
      <c r="J25" s="75" t="str">
        <f>IF(H25="","",VLOOKUP(ROUND($H25,0),$AB$1413:$AF$1428,3,FALSE))</f>
        <v/>
      </c>
      <c r="K25" s="74" t="str">
        <f>IF(H25="","",VLOOKUP(ROUND($H25,0),$AB$1413:$AF$1428,4,FALSE))</f>
        <v/>
      </c>
      <c r="L25" s="74" t="str">
        <f>IF(H25="","",VLOOKUP(ROUND($H25,0),$AB$1413:$AF$1428,5,FALSE))</f>
        <v/>
      </c>
      <c r="M25" s="76"/>
      <c r="N25" s="236"/>
    </row>
    <row r="26" spans="2:14" ht="13.15" x14ac:dyDescent="0.25">
      <c r="B26" s="62"/>
      <c r="C26" s="288" t="s">
        <v>29</v>
      </c>
      <c r="D26" s="289"/>
      <c r="E26" s="290"/>
      <c r="F26" s="241" t="e">
        <f>IF(#REF!="","",#REF!)</f>
        <v>#REF!</v>
      </c>
      <c r="G26" s="98" t="s">
        <v>22</v>
      </c>
      <c r="H26" s="101" t="str">
        <f>IF(ISERROR(S1051)=TRUE,"",IF(OR(C5="",C6="",C7="",C8="",E7="")=TRUE,"",S1051))</f>
        <v/>
      </c>
      <c r="I26" s="253" t="str">
        <f>IF(H26="","",VLOOKUP(ROUND($H26,0),$AB$1220:$AF$1231,2,FALSE))</f>
        <v/>
      </c>
      <c r="J26" s="75" t="str">
        <f>IF(H26="","",VLOOKUP(ROUND($H26,0),$AB$1220:$AF$1231,3,FALSE))</f>
        <v/>
      </c>
      <c r="K26" s="74" t="str">
        <f>IF(H26="","",VLOOKUP(ROUND($H26,0),$AB$1220:$AF$1231,4,FALSE))</f>
        <v/>
      </c>
      <c r="L26" s="74" t="str">
        <f>IF(H26="","",VLOOKUP(ROUND($H26,0),$AB$1220:$AF$1231,5,FALSE))</f>
        <v/>
      </c>
      <c r="M26" s="76"/>
      <c r="N26" s="236"/>
    </row>
    <row r="27" spans="2:14" ht="13.15" x14ac:dyDescent="0.25">
      <c r="B27" s="62"/>
      <c r="C27" s="288" t="s">
        <v>30</v>
      </c>
      <c r="D27" s="289"/>
      <c r="E27" s="290"/>
      <c r="F27" s="241" t="e">
        <f>IF(#REF!="","",#REF!)</f>
        <v>#REF!</v>
      </c>
      <c r="G27" s="98" t="s">
        <v>31</v>
      </c>
      <c r="H27" s="101" t="str">
        <f>IF(ISERROR(S1052)=TRUE,"",IF(OR(C5="",C6="",C7="",C8="",E7="")=TRUE,"",S1052))</f>
        <v/>
      </c>
      <c r="I27" s="253" t="str">
        <f>IF(H27="","",VLOOKUP(ROUND($H27,0),$AB$1239:$AF$1255,2,FALSE))</f>
        <v/>
      </c>
      <c r="J27" s="75" t="str">
        <f>IF(H27="","",VLOOKUP(ROUND($H27,0),$AB$1239:$AF$1255,3,FALSE))</f>
        <v/>
      </c>
      <c r="K27" s="74" t="str">
        <f>IF(H27="","",VLOOKUP(ROUND($H27,0),$AB$1239:$AF$1255,4,FALSE))</f>
        <v/>
      </c>
      <c r="L27" s="74" t="str">
        <f>IF(H27="","",VLOOKUP(ROUND($H27,0),$AB$1239:$AF$1255,5,FALSE))</f>
        <v/>
      </c>
      <c r="M27" s="76"/>
      <c r="N27" s="236"/>
    </row>
    <row r="28" spans="2:14" ht="13.15" x14ac:dyDescent="0.25">
      <c r="B28" s="62"/>
      <c r="C28" s="288" t="s">
        <v>32</v>
      </c>
      <c r="D28" s="289"/>
      <c r="E28" s="290"/>
      <c r="F28" s="241" t="e">
        <f>IF(#REF!="","",#REF!)</f>
        <v>#REF!</v>
      </c>
      <c r="G28" s="98" t="s">
        <v>31</v>
      </c>
      <c r="H28" s="101" t="str">
        <f>IF(ISERROR(S1053)=TRUE,"",IF(OR(C5="",C6="",C7="",C8="",E7="")=TRUE,"",S1053))</f>
        <v/>
      </c>
      <c r="I28" s="253" t="str">
        <f>IF(H28="","",VLOOKUP(ROUND($H28,0),$AB$1263:$AF$1276,2,FALSE))</f>
        <v/>
      </c>
      <c r="J28" s="75" t="str">
        <f>IF(H28="","",VLOOKUP(ROUND($H28,0),$AB$1263:$AF$1276,3,FALSE))</f>
        <v/>
      </c>
      <c r="K28" s="74" t="str">
        <f>IF(H28="","",VLOOKUP(ROUND($H28,0),$AB$1263:$AF$1276,4,FALSE))</f>
        <v/>
      </c>
      <c r="L28" s="74" t="str">
        <f>IF(H28="","",VLOOKUP(ROUND($H28,0),$AB$1263:$AF$1276,5,FALSE))</f>
        <v/>
      </c>
      <c r="M28" s="76"/>
      <c r="N28" s="236"/>
    </row>
    <row r="29" spans="2:14" ht="13.15" x14ac:dyDescent="0.25">
      <c r="B29" s="62"/>
      <c r="C29" s="288" t="s">
        <v>33</v>
      </c>
      <c r="D29" s="289"/>
      <c r="E29" s="290"/>
      <c r="F29" s="241" t="e">
        <f>IF(#REF!="","",#REF!)</f>
        <v>#REF!</v>
      </c>
      <c r="G29" s="98" t="s">
        <v>22</v>
      </c>
      <c r="H29" s="101" t="str">
        <f>IF(ISERROR(S1054)=TRUE,"",IF(OR(C5="",C6="",C7="",C8="",E7="")=TRUE,"",S1054))</f>
        <v/>
      </c>
      <c r="I29" s="253" t="str">
        <f>IF(H29="","",VLOOKUP(ROUND($H29,0),$AB$1284:$AF$1308,2,FALSE))</f>
        <v/>
      </c>
      <c r="J29" s="75" t="str">
        <f>IF(H29="","",VLOOKUP(ROUND($H29,0),$AB$1284:$AF$1308,3,FALSE))</f>
        <v/>
      </c>
      <c r="K29" s="74" t="str">
        <f>IF(H29="","",VLOOKUP(ROUND($H29,0),$AB$1284:$AF$1308,4,FALSE))</f>
        <v/>
      </c>
      <c r="L29" s="74" t="str">
        <f>IF(H29="","",VLOOKUP(ROUND($H29,0),$AB$1284:$AF$1308,5,FALSE))</f>
        <v/>
      </c>
      <c r="M29" s="76"/>
      <c r="N29" s="236"/>
    </row>
    <row r="30" spans="2:14" ht="13.15" x14ac:dyDescent="0.25">
      <c r="B30" s="62"/>
      <c r="C30" s="288" t="s">
        <v>34</v>
      </c>
      <c r="D30" s="289"/>
      <c r="E30" s="290"/>
      <c r="F30" s="241" t="e">
        <f>IF(#REF!="","",#REF!)</f>
        <v>#REF!</v>
      </c>
      <c r="G30" s="98" t="s">
        <v>22</v>
      </c>
      <c r="H30" s="101" t="str">
        <f>IF(ISERROR(S1055)=TRUE,"",IF(OR(C5="",C6="",C7="",C8="",E7="")=TRUE,"",S1055))</f>
        <v/>
      </c>
      <c r="I30" s="253" t="str">
        <f>IF(H30="","",VLOOKUP(ROUND($H30,0),$AB$1316:$AF$1333,2,FALSE))</f>
        <v/>
      </c>
      <c r="J30" s="75" t="str">
        <f>IF(H30="","",VLOOKUP(ROUND($H30,0),$AB$1316:$AF$1333,3,FALSE))</f>
        <v/>
      </c>
      <c r="K30" s="74" t="str">
        <f>IF(H30="","",VLOOKUP(ROUND($H30,0),$AB$1316:$AF$1333,4,FALSE))</f>
        <v/>
      </c>
      <c r="L30" s="74" t="str">
        <f>IF(H30="","",VLOOKUP(ROUND($H30,0),$AB$1316:$AF$1333,5,FALSE))</f>
        <v/>
      </c>
      <c r="M30" s="76"/>
      <c r="N30" s="236"/>
    </row>
    <row r="31" spans="2:14" ht="13.15" x14ac:dyDescent="0.25">
      <c r="B31" s="62"/>
      <c r="C31" s="288" t="s">
        <v>35</v>
      </c>
      <c r="D31" s="289"/>
      <c r="E31" s="290"/>
      <c r="F31" s="241" t="e">
        <f>IF(#REF!="","",#REF!)</f>
        <v>#REF!</v>
      </c>
      <c r="G31" s="98" t="s">
        <v>22</v>
      </c>
      <c r="H31" s="101" t="e">
        <f>IF(F31="","",IF(OR(C5="",C6="",C7="",C8="",E7="")=TRUE,"",S1056))</f>
        <v>#REF!</v>
      </c>
      <c r="I31" s="74" t="e">
        <f>IF(H31="","",VLOOKUP(ROUND($H31,0),$AB$1341:$AF$1348,2,FALSE))</f>
        <v>#REF!</v>
      </c>
      <c r="J31" s="75" t="e">
        <f>IF(H31="","",VLOOKUP(ROUND($H31,0),$AB$1341:$AF$1348,3,FALSE))</f>
        <v>#REF!</v>
      </c>
      <c r="K31" s="74" t="e">
        <f>IF(H31="","",VLOOKUP(ROUND($H31,0),$AB$1341:$AF$1348,4,FALSE))</f>
        <v>#REF!</v>
      </c>
      <c r="L31" s="74" t="e">
        <f>IF(H31="","",VLOOKUP(ROUND($H31,0),$AB$1341:$AF$1348,5,FALSE))</f>
        <v>#REF!</v>
      </c>
      <c r="M31" s="254" t="e">
        <f>IF(H31="","",IF(I31&lt;16,"auffällig","unauffällig"))</f>
        <v>#REF!</v>
      </c>
      <c r="N31" s="236"/>
    </row>
    <row r="32" spans="2:14" ht="13.15" x14ac:dyDescent="0.25">
      <c r="B32" s="62"/>
      <c r="C32" s="309" t="s">
        <v>36</v>
      </c>
      <c r="D32" s="310"/>
      <c r="E32" s="311"/>
      <c r="F32" s="241" t="e">
        <f>IF(#REF!="","",#REF!)</f>
        <v>#REF!</v>
      </c>
      <c r="G32" s="97" t="s">
        <v>22</v>
      </c>
      <c r="H32" s="102" t="e">
        <f>IF(F32="","",IF(OR(C5="",C6="",C7="",C8="",E7="")=TRUE,"",S1057))</f>
        <v>#REF!</v>
      </c>
      <c r="I32" s="68" t="e">
        <f>IF(H32="","",VLOOKUP(ROUND($H32,0),$AB$1356:$AF$1359,2,FALSE))</f>
        <v>#REF!</v>
      </c>
      <c r="J32" s="16" t="e">
        <f>IF(H32="","",VLOOKUP(ROUND($H32,0),$AB$1356:$AF$1359,3,FALSE))</f>
        <v>#REF!</v>
      </c>
      <c r="K32" s="68" t="e">
        <f>IF(H32="","",VLOOKUP(ROUND($H32,0),$AB$1356:$AF$1359,4,FALSE))</f>
        <v>#REF!</v>
      </c>
      <c r="L32" s="68" t="e">
        <f>IF(H32="","",VLOOKUP(ROUND($H32,0),$AB$1356:$AF$1359,5,FALSE))</f>
        <v>#REF!</v>
      </c>
      <c r="M32" s="255" t="e">
        <f>IF(H32="","",IF(I32&lt;16,"auffällig","unauffällig"))</f>
        <v>#REF!</v>
      </c>
      <c r="N32" s="236"/>
    </row>
    <row r="33" spans="2:14" ht="8.15" customHeight="1" x14ac:dyDescent="0.25">
      <c r="B33" s="84"/>
      <c r="C33" s="13"/>
      <c r="D33" s="13"/>
      <c r="E33" s="13"/>
      <c r="F33" s="190"/>
      <c r="G33" s="85"/>
      <c r="H33" s="85"/>
      <c r="I33" s="85"/>
      <c r="J33" s="85"/>
      <c r="K33" s="85"/>
      <c r="L33" s="85"/>
      <c r="M33" s="14"/>
      <c r="N33" s="236"/>
    </row>
    <row r="34" spans="2:14" ht="13.15" x14ac:dyDescent="0.2">
      <c r="B34" s="134" t="s">
        <v>353</v>
      </c>
      <c r="C34" s="8"/>
      <c r="D34" s="8"/>
      <c r="E34" s="8"/>
      <c r="F34" s="83"/>
      <c r="G34" s="9"/>
      <c r="H34" s="86"/>
      <c r="I34" s="87"/>
      <c r="J34" s="88"/>
      <c r="K34" s="88"/>
      <c r="L34" s="87"/>
      <c r="M34" s="89"/>
      <c r="N34" s="236"/>
    </row>
    <row r="35" spans="2:14" ht="13.15" x14ac:dyDescent="0.25">
      <c r="B35" s="62"/>
      <c r="C35" s="291" t="s">
        <v>18</v>
      </c>
      <c r="D35" s="292"/>
      <c r="E35" s="293"/>
      <c r="F35" s="26" t="e">
        <f>IF(#REF!="","",#REF!)</f>
        <v>#REF!</v>
      </c>
      <c r="G35" s="97" t="s">
        <v>19</v>
      </c>
      <c r="H35" s="99" t="s">
        <v>12</v>
      </c>
      <c r="I35" s="10" t="s">
        <v>13</v>
      </c>
      <c r="J35" s="11" t="s">
        <v>14</v>
      </c>
      <c r="K35" s="11" t="s">
        <v>15</v>
      </c>
      <c r="L35" s="10" t="s">
        <v>16</v>
      </c>
      <c r="M35" s="66" t="s">
        <v>316</v>
      </c>
      <c r="N35" s="236"/>
    </row>
    <row r="36" spans="2:14" ht="13.15" x14ac:dyDescent="0.25">
      <c r="B36" s="62"/>
      <c r="C36" s="294" t="s">
        <v>20</v>
      </c>
      <c r="D36" s="295"/>
      <c r="E36" s="296"/>
      <c r="F36" s="259" t="e">
        <f>IF(#REF!="","",#REF!)</f>
        <v>#REF!</v>
      </c>
      <c r="G36" s="97"/>
      <c r="H36" s="100"/>
      <c r="I36" s="10"/>
      <c r="J36" s="11"/>
      <c r="K36" s="11"/>
      <c r="L36" s="10"/>
      <c r="M36" s="66"/>
      <c r="N36" s="236"/>
    </row>
    <row r="37" spans="2:14" ht="13.15" x14ac:dyDescent="0.25">
      <c r="B37" s="62"/>
      <c r="C37" s="288" t="s">
        <v>24</v>
      </c>
      <c r="D37" s="289"/>
      <c r="E37" s="290"/>
      <c r="F37" s="26" t="e">
        <f>IF(#REF!="","",#REF!)</f>
        <v>#REF!</v>
      </c>
      <c r="G37" s="98" t="s">
        <v>22</v>
      </c>
      <c r="H37" s="103" t="e">
        <f>IF(F37="","",IF(ISERROR(S1061)=TRUE,"",IF(OR(C5="",C6="",C7="",C8="",E7="")=TRUE,"",S1061)))</f>
        <v>#REF!</v>
      </c>
      <c r="I37" s="74" t="e">
        <f>IF(H37="","",VLOOKUP(ROUND($H37*2,0),$AG$1033:$AL$1077,3,FALSE))</f>
        <v>#REF!</v>
      </c>
      <c r="J37" s="75" t="e">
        <f>IF(H37="","",VLOOKUP(ROUND($H37*2,0),$AG$1033:$AL$1077,4,FALSE))</f>
        <v>#REF!</v>
      </c>
      <c r="K37" s="74" t="e">
        <f>IF(H37="","",VLOOKUP(ROUND($H37*2,0),$AG$1033:$AL$1077,5,FALSE))</f>
        <v>#REF!</v>
      </c>
      <c r="L37" s="253" t="e">
        <f>IF(H37="","",VLOOKUP(ROUND($H37*2,0),$AG$1033:$AL$1077,6,FALSE))</f>
        <v>#REF!</v>
      </c>
      <c r="M37" s="76"/>
      <c r="N37" s="236"/>
    </row>
    <row r="38" spans="2:14" ht="13.15" x14ac:dyDescent="0.25">
      <c r="B38" s="62"/>
      <c r="C38" s="288" t="s">
        <v>38</v>
      </c>
      <c r="D38" s="289"/>
      <c r="E38" s="290"/>
      <c r="F38" s="26" t="e">
        <f>IF(#REF!="","",#REF!)</f>
        <v>#REF!</v>
      </c>
      <c r="G38" s="98" t="s">
        <v>22</v>
      </c>
      <c r="H38" s="103" t="e">
        <f>IF(F38="","",IF(ISERROR(S1062)=TRUE,"",IF(OR(C5="",C6="",C7="",C8="",E7="")=TRUE,"",S1062)))</f>
        <v>#REF!</v>
      </c>
      <c r="I38" s="74" t="e">
        <f>IF(H38="","",VLOOKUP(ROUND($H38*2,0),$AG$1085:$AL$1131,3,FALSE))</f>
        <v>#REF!</v>
      </c>
      <c r="J38" s="75" t="e">
        <f>IF(H38="","",VLOOKUP(ROUND($H38*2,0),$AG$1085:$AL$1131,4,FALSE))</f>
        <v>#REF!</v>
      </c>
      <c r="K38" s="74" t="e">
        <f>IF(H38="","",VLOOKUP(ROUND($H38*2,0),$AG$1085:$AL$1131,5,FALSE))</f>
        <v>#REF!</v>
      </c>
      <c r="L38" s="253" t="e">
        <f>IF(H38="","",VLOOKUP(ROUND($H38*2,0),$AG$1085:$AL$1131,6,FALSE))</f>
        <v>#REF!</v>
      </c>
      <c r="M38" s="76"/>
      <c r="N38" s="236"/>
    </row>
    <row r="39" spans="2:14" ht="13.15" x14ac:dyDescent="0.25">
      <c r="B39" s="62"/>
      <c r="C39" s="288" t="s">
        <v>25</v>
      </c>
      <c r="D39" s="289"/>
      <c r="E39" s="290"/>
      <c r="F39" s="26" t="e">
        <f>IF(#REF!="","",#REF!)</f>
        <v>#REF!</v>
      </c>
      <c r="G39" s="98" t="s">
        <v>22</v>
      </c>
      <c r="H39" s="103" t="e">
        <f>IF(F39="","",IF(ISERROR(S1063)=TRUE,"",IF(OR(C5="",C6="",C7="",C8="",E7="")=TRUE,"",S1063)))</f>
        <v>#REF!</v>
      </c>
      <c r="I39" s="74" t="e">
        <f>IF(H39="","",VLOOKUP(ROUND($H39*2,0),$AG$1139:$AL$1181,3,FALSE))</f>
        <v>#REF!</v>
      </c>
      <c r="J39" s="75" t="e">
        <f>IF(H39="","",VLOOKUP(ROUND($H39*2,0),$AG$1139:$AL$1181,4,FALSE))</f>
        <v>#REF!</v>
      </c>
      <c r="K39" s="74" t="e">
        <f>IF(H39="","",VLOOKUP(ROUND($H39*2,0),$AG$1139:$AL$1181,5,FALSE))</f>
        <v>#REF!</v>
      </c>
      <c r="L39" s="253" t="e">
        <f>IF(H39="","",VLOOKUP(ROUND($H39*2,0),$AG$1139:$AL$1181,6,FALSE))</f>
        <v>#REF!</v>
      </c>
      <c r="M39" s="76"/>
      <c r="N39" s="236"/>
    </row>
    <row r="40" spans="2:14" ht="13.15" x14ac:dyDescent="0.25">
      <c r="B40" s="63"/>
      <c r="C40" s="309" t="s">
        <v>39</v>
      </c>
      <c r="D40" s="310"/>
      <c r="E40" s="311"/>
      <c r="F40" s="26" t="e">
        <f>IF(#REF!="","",#REF!)</f>
        <v>#REF!</v>
      </c>
      <c r="G40" s="46" t="s">
        <v>22</v>
      </c>
      <c r="H40" s="104" t="e">
        <f>IF(F40="","",IF(ISERROR(S1064)=TRUE,"",IF(OR(C5="",C6="",C7="",C8="",E7="")=TRUE,"",S1064)))</f>
        <v>#REF!</v>
      </c>
      <c r="I40" s="18" t="e">
        <f>IF(H40="","",VLOOKUP(ROUND($H40*2,0),$AG$1189:$AL$1235,3,FALSE))</f>
        <v>#REF!</v>
      </c>
      <c r="J40" s="10" t="e">
        <f>IF(H40="","",VLOOKUP(ROUND($H40*2,0),$AG$1189:$AL$1235,4,FALSE))</f>
        <v>#REF!</v>
      </c>
      <c r="K40" s="18" t="e">
        <f>IF(H40="","",VLOOKUP(ROUND($H40*2,0),$AG$1189:$AL$1235,5,FALSE))</f>
        <v>#REF!</v>
      </c>
      <c r="L40" s="256" t="e">
        <f>IF(H40="","",VLOOKUP(ROUND($H40*2,0),$AG$1189:$AL$1235,6,FALSE))</f>
        <v>#REF!</v>
      </c>
      <c r="M40" s="67"/>
      <c r="N40" s="236"/>
    </row>
    <row r="41" spans="2:14" ht="8.15" customHeight="1" x14ac:dyDescent="0.25">
      <c r="B41" s="84"/>
      <c r="C41" s="13"/>
      <c r="D41" s="13"/>
      <c r="E41" s="13"/>
      <c r="F41" s="190"/>
      <c r="G41" s="85"/>
      <c r="H41" s="85"/>
      <c r="I41" s="85"/>
      <c r="J41" s="85"/>
      <c r="K41" s="85"/>
      <c r="L41" s="85"/>
      <c r="M41" s="14"/>
      <c r="N41" s="236"/>
    </row>
    <row r="42" spans="2:14" ht="13.15" x14ac:dyDescent="0.2">
      <c r="B42" s="134" t="s">
        <v>40</v>
      </c>
      <c r="C42" s="8"/>
      <c r="D42" s="8"/>
      <c r="E42" s="8"/>
      <c r="F42" s="83"/>
      <c r="G42" s="9"/>
      <c r="H42" s="86"/>
      <c r="I42" s="87"/>
      <c r="J42" s="88"/>
      <c r="K42" s="88"/>
      <c r="L42" s="87"/>
      <c r="M42" s="89"/>
      <c r="N42" s="236"/>
    </row>
    <row r="43" spans="2:14" ht="13.15" x14ac:dyDescent="0.25">
      <c r="B43" s="62"/>
      <c r="C43" s="291" t="s">
        <v>18</v>
      </c>
      <c r="D43" s="292"/>
      <c r="E43" s="293"/>
      <c r="F43" s="26" t="e">
        <f>IF(#REF!="","",#REF!)</f>
        <v>#REF!</v>
      </c>
      <c r="G43" s="97" t="s">
        <v>19</v>
      </c>
      <c r="H43" s="99" t="s">
        <v>12</v>
      </c>
      <c r="I43" s="10" t="s">
        <v>13</v>
      </c>
      <c r="J43" s="11" t="s">
        <v>14</v>
      </c>
      <c r="K43" s="11" t="s">
        <v>15</v>
      </c>
      <c r="L43" s="10" t="s">
        <v>16</v>
      </c>
      <c r="M43" s="66" t="s">
        <v>316</v>
      </c>
      <c r="N43" s="236"/>
    </row>
    <row r="44" spans="2:14" ht="13.15" x14ac:dyDescent="0.25">
      <c r="B44" s="62"/>
      <c r="C44" s="294" t="s">
        <v>20</v>
      </c>
      <c r="D44" s="295"/>
      <c r="E44" s="296"/>
      <c r="F44" s="259" t="e">
        <f>IF(#REF!="","",#REF!)</f>
        <v>#REF!</v>
      </c>
      <c r="G44" s="97"/>
      <c r="H44" s="100"/>
      <c r="I44" s="10"/>
      <c r="J44" s="11"/>
      <c r="K44" s="11"/>
      <c r="L44" s="10"/>
      <c r="M44" s="66"/>
      <c r="N44" s="236"/>
    </row>
    <row r="45" spans="2:14" ht="13.15" x14ac:dyDescent="0.25">
      <c r="B45" s="62"/>
      <c r="C45" s="288" t="s">
        <v>21</v>
      </c>
      <c r="D45" s="289"/>
      <c r="E45" s="290"/>
      <c r="F45" s="26" t="e">
        <f>IF(OR(#REF!="",C5="",C6="",C7="",C8="",E7="")=TRUE,"",#REF!)</f>
        <v>#REF!</v>
      </c>
      <c r="G45" s="98" t="s">
        <v>22</v>
      </c>
      <c r="H45" s="101" t="e">
        <f>IF(F45="","",IF(ISERROR(S1068)=TRUE,"",IF(OR(C5="",C6="",C7="",C8="",E7="")=TRUE,"",S1068)))</f>
        <v>#REF!</v>
      </c>
      <c r="I45" s="74" t="e">
        <f>IF(H45="","",VLOOKUP(ROUND($H45,0),$AN$1033:$AR$1095,2,FALSE))</f>
        <v>#REF!</v>
      </c>
      <c r="J45" s="75" t="e">
        <f>IF(H45="","",VLOOKUP(ROUND($H45,0),$AN$1033:$AR$1095,3,FALSE))</f>
        <v>#REF!</v>
      </c>
      <c r="K45" s="74" t="e">
        <f>IF(H45="","",VLOOKUP(ROUND($H45,0),$AN$1033:$AR$1095,4,FALSE))</f>
        <v>#REF!</v>
      </c>
      <c r="L45" s="253" t="e">
        <f>IF(H45="","",VLOOKUP(ROUND($H45,0),$AN$1033:$AR$1095,5,FALSE))</f>
        <v>#REF!</v>
      </c>
      <c r="M45" s="76"/>
      <c r="N45" s="236"/>
    </row>
    <row r="46" spans="2:14" ht="13.15" x14ac:dyDescent="0.25">
      <c r="B46" s="62"/>
      <c r="C46" s="288" t="s">
        <v>23</v>
      </c>
      <c r="D46" s="289"/>
      <c r="E46" s="290"/>
      <c r="F46" s="26" t="e">
        <f>IF(OR(#REF!="",C5="",C6="",C7="",C8="",E7="")=TRUE,"",#REF!)</f>
        <v>#REF!</v>
      </c>
      <c r="G46" s="98" t="s">
        <v>22</v>
      </c>
      <c r="H46" s="103" t="str">
        <f>IF(ISERROR(S1069)=TRUE,"",IF(OR(C5="",C6="",C7="",C8="",E7="")=TRUE,"",S1069))</f>
        <v/>
      </c>
      <c r="I46" s="74" t="str">
        <f>IF(H46="","",VLOOKUP(ROUND($H46*2,0),$AM$1103:$AR$1129,3,FALSE))</f>
        <v/>
      </c>
      <c r="J46" s="75" t="str">
        <f>IF(H46="","",VLOOKUP(ROUND($H46*2,0),$AM$1103:$AR$1129,4,FALSE))</f>
        <v/>
      </c>
      <c r="K46" s="253" t="str">
        <f>IF(H46="","",VLOOKUP(ROUND($H46*2,0),$AM$1103:$AR$1129,5,FALSE))</f>
        <v/>
      </c>
      <c r="L46" s="74" t="str">
        <f>IF(H46="","",VLOOKUP(ROUND($H46*2,0),$AM$1103:$AR$1129,6,FALSE))</f>
        <v/>
      </c>
      <c r="M46" s="76"/>
      <c r="N46" s="236"/>
    </row>
    <row r="47" spans="2:14" ht="13.15" x14ac:dyDescent="0.25">
      <c r="B47" s="62"/>
      <c r="C47" s="288" t="s">
        <v>24</v>
      </c>
      <c r="D47" s="289"/>
      <c r="E47" s="290"/>
      <c r="F47" s="26" t="e">
        <f>IF(OR(#REF!="",C5="",C6="",C7="",C8="",E7="")=TRUE,"",#REF!)</f>
        <v>#REF!</v>
      </c>
      <c r="G47" s="98" t="s">
        <v>22</v>
      </c>
      <c r="H47" s="103" t="str">
        <f>IF(ISERROR(S1070)=TRUE,"",IF(OR(C5="",C6="",C7="",C8="",E7="")=TRUE,"",S1070))</f>
        <v/>
      </c>
      <c r="I47" s="74" t="str">
        <f>IF(H47="","",VLOOKUP(ROUND($H47*2,0),$AM$1137:$AR$1162,3,FALSE))</f>
        <v/>
      </c>
      <c r="J47" s="75" t="str">
        <f>IF(H47="","",VLOOKUP(ROUND($H47*2,0),$AM$1137:$AR$1162,4,FALSE))</f>
        <v/>
      </c>
      <c r="K47" s="74" t="str">
        <f>IF(H47="","",VLOOKUP(ROUND($H47*2,0),$AM$1137:$AR$1162,5,FALSE))</f>
        <v/>
      </c>
      <c r="L47" s="253" t="str">
        <f>IF(H47="","",VLOOKUP(ROUND($H47*2,0),$AM$1137:$AR$1162,6,FALSE))</f>
        <v/>
      </c>
      <c r="M47" s="76"/>
      <c r="N47" s="236"/>
    </row>
    <row r="48" spans="2:14" ht="13.15" x14ac:dyDescent="0.25">
      <c r="B48" s="62"/>
      <c r="C48" s="288" t="s">
        <v>25</v>
      </c>
      <c r="D48" s="289"/>
      <c r="E48" s="290"/>
      <c r="F48" s="26" t="e">
        <f>IF(OR(#REF!="",C5="",C6="",C7="",C8="",E7="")=TRUE,"",#REF!)</f>
        <v>#REF!</v>
      </c>
      <c r="G48" s="98" t="s">
        <v>22</v>
      </c>
      <c r="H48" s="103" t="str">
        <f>IF(ISERROR(S1071)=TRUE,"",IF(OR(C5="",C6="",C7="",C8="",E7="")=TRUE,"",S1071))</f>
        <v/>
      </c>
      <c r="I48" s="74" t="str">
        <f>IF(H48="","",VLOOKUP(ROUND($H48*2,0),$AM$1170:$AR$1197,3,FALSE))</f>
        <v/>
      </c>
      <c r="J48" s="75" t="str">
        <f>IF(H48="","",VLOOKUP(ROUND($H48*2,0),$AM$1170:$AR$1197,4,FALSE))</f>
        <v/>
      </c>
      <c r="K48" s="74" t="str">
        <f>IF(H48="","",VLOOKUP(ROUND($H48*2,0),$AM$1170:$AR$1197,5,FALSE))</f>
        <v/>
      </c>
      <c r="L48" s="253" t="str">
        <f>IF(H48="","",VLOOKUP(ROUND($H48*2,0),$AM$1170:$AR$1197,6,FALSE))</f>
        <v/>
      </c>
      <c r="M48" s="76"/>
      <c r="N48" s="236"/>
    </row>
    <row r="49" spans="2:14" ht="13.15" x14ac:dyDescent="0.25">
      <c r="B49" s="62"/>
      <c r="C49" s="288" t="s">
        <v>26</v>
      </c>
      <c r="D49" s="289"/>
      <c r="E49" s="290"/>
      <c r="F49" s="26" t="e">
        <f>IF(OR(#REF!="",C5="",C6="",C7="",C8="",E7="")=TRUE,"",#REF!)</f>
        <v>#REF!</v>
      </c>
      <c r="G49" s="98" t="s">
        <v>22</v>
      </c>
      <c r="H49" s="101" t="str">
        <f>IF(ISERROR(S1072)=TRUE,"",IF(OR(C5="",C6="",C7="",C8="",E7="")=TRUE,"",S1072))</f>
        <v/>
      </c>
      <c r="I49" s="253" t="str">
        <f>IF(H49="","",VLOOKUP(ROUND($H49,0),$AN$1205:$AR$1214,2,FALSE))</f>
        <v/>
      </c>
      <c r="J49" s="75" t="str">
        <f>IF(H49="","",VLOOKUP(ROUND($H49,0),$AN$1205:$AR$1214,3,FALSE))</f>
        <v/>
      </c>
      <c r="K49" s="74" t="str">
        <f>IF(H49="","",VLOOKUP(ROUND($H49,0),$AN$1205:$AR$1214,4,FALSE))</f>
        <v/>
      </c>
      <c r="L49" s="74" t="str">
        <f>IF(H49="","",VLOOKUP(ROUND($H49,0),$AN$1205:$AR$1214,5,FALSE))</f>
        <v/>
      </c>
      <c r="M49" s="76"/>
      <c r="N49" s="236"/>
    </row>
    <row r="50" spans="2:14" ht="13.15" x14ac:dyDescent="0.25">
      <c r="B50" s="62"/>
      <c r="C50" s="288" t="s">
        <v>27</v>
      </c>
      <c r="D50" s="289"/>
      <c r="E50" s="290"/>
      <c r="F50" s="26" t="e">
        <f>IF(OR(#REF!="",C5="",C6="",C7="",C8="",E7="")=TRUE,"",#REF!)</f>
        <v>#REF!</v>
      </c>
      <c r="G50" s="98" t="s">
        <v>22</v>
      </c>
      <c r="H50" s="101" t="str">
        <f>IF(ISERROR(S1073)=TRUE,"",IF(OR(C5="",C6="",C7="",C8="",E7="")=TRUE,"",S1073))</f>
        <v/>
      </c>
      <c r="I50" s="253" t="str">
        <f>IF(H50="","",VLOOKUP(ROUND($H50,0),$AN$1222:$AR$1236,2,FALSE))</f>
        <v/>
      </c>
      <c r="J50" s="75" t="str">
        <f>IF(H50="","",VLOOKUP(ROUND($H50,0),$AN$1222:$AR$1236,3,FALSE))</f>
        <v/>
      </c>
      <c r="K50" s="74" t="str">
        <f>IF(H50="","",VLOOKUP(ROUND($H50,0),$AN$1222:$AR$1236,4,FALSE))</f>
        <v/>
      </c>
      <c r="L50" s="74" t="str">
        <f>IF(H50="","",VLOOKUP(ROUND($H50,0),$AN$1222:$AR$1236,5,FALSE))</f>
        <v/>
      </c>
      <c r="M50" s="76"/>
      <c r="N50" s="236"/>
    </row>
    <row r="51" spans="2:14" ht="13.15" x14ac:dyDescent="0.25">
      <c r="B51" s="62"/>
      <c r="C51" s="288" t="s">
        <v>28</v>
      </c>
      <c r="D51" s="289"/>
      <c r="E51" s="290"/>
      <c r="F51" s="26" t="e">
        <f>IF(OR(#REF!="",C5="",C6="",C7="",C8="",E7="")=TRUE,"",#REF!)</f>
        <v>#REF!</v>
      </c>
      <c r="G51" s="98" t="s">
        <v>22</v>
      </c>
      <c r="H51" s="103" t="str">
        <f>IF(ISERROR(S1074)=TRUE,"",IF(OR(C5="",C6="",C7="",C8="",E7="")=TRUE,"",S1074))</f>
        <v/>
      </c>
      <c r="I51" s="74" t="str">
        <f>IF(H51="","",VLOOKUP(ROUND($H51*2,0),$AM$1244:$AR$1270,3,FALSE))</f>
        <v/>
      </c>
      <c r="J51" s="75" t="str">
        <f>IF(H51="","",VLOOKUP(ROUND($H51*2,0),$AM$1244:$AR$1270,4,FALSE))</f>
        <v/>
      </c>
      <c r="K51" s="253" t="str">
        <f>IF(H51="","",VLOOKUP(ROUND($H51*2,0),$AM$1244:$AR$1270,5,FALSE))</f>
        <v/>
      </c>
      <c r="L51" s="74" t="str">
        <f>IF(H51="","",VLOOKUP(ROUND($H51*2,0),$AM$1244:$AR$1270,6,FALSE))</f>
        <v/>
      </c>
      <c r="M51" s="76"/>
      <c r="N51" s="236"/>
    </row>
    <row r="52" spans="2:14" ht="13.15" x14ac:dyDescent="0.25">
      <c r="B52" s="62"/>
      <c r="C52" s="288" t="s">
        <v>129</v>
      </c>
      <c r="D52" s="289"/>
      <c r="E52" s="290"/>
      <c r="F52" s="26" t="e">
        <f>IF(OR(#REF!="",C5="",C6="",C7="",C8="",E7="")=TRUE,"",#REF!)</f>
        <v>#REF!</v>
      </c>
      <c r="G52" s="98" t="s">
        <v>22</v>
      </c>
      <c r="H52" s="103" t="str">
        <f>IF(ISERROR(S1075)=TRUE,"",IF(OR(C5="",C6="",C7="",C8="",E7="")=TRUE,"",S1075))</f>
        <v/>
      </c>
      <c r="I52" s="74" t="str">
        <f>IF(H52="","",VLOOKUP(ROUND($H52*2,0),$AM$1637:$AR$1667,3,FALSE))</f>
        <v/>
      </c>
      <c r="J52" s="75" t="str">
        <f>IF(H52="","",VLOOKUP(ROUND($H52*2,0),$AM$1637:$AR$1667,4,FALSE))</f>
        <v/>
      </c>
      <c r="K52" s="253" t="str">
        <f>IF(H52="","",VLOOKUP(ROUND($H52*2,0),$AM$1637:$AR$1667,5,FALSE))</f>
        <v/>
      </c>
      <c r="L52" s="74" t="str">
        <f>IF(H52="","",VLOOKUP(ROUND($H52*2,0),$AM$1637:$AR$1667,6,FALSE))</f>
        <v/>
      </c>
      <c r="M52" s="76"/>
      <c r="N52" s="236"/>
    </row>
    <row r="53" spans="2:14" ht="13.15" x14ac:dyDescent="0.25">
      <c r="B53" s="62"/>
      <c r="C53" s="288" t="s">
        <v>130</v>
      </c>
      <c r="D53" s="289"/>
      <c r="E53" s="290"/>
      <c r="F53" s="26" t="e">
        <f>IF(OR(#REF!="",C5="",C6="",C7="",C8="",E7="")=TRUE,"",#REF!)</f>
        <v>#REF!</v>
      </c>
      <c r="G53" s="98" t="s">
        <v>22</v>
      </c>
      <c r="H53" s="103" t="str">
        <f>IF(ISERROR(S1076)=TRUE,"",IF(OR(C5="",C6="",C7="",C8="",E7="")=TRUE,"",S1076))</f>
        <v/>
      </c>
      <c r="I53" s="74" t="str">
        <f>IF(H53="","",VLOOKUP(ROUND($H53*2,0),$AM$1675:$AR$1705,3,FALSE))</f>
        <v/>
      </c>
      <c r="J53" s="75" t="str">
        <f>IF(H53="","",VLOOKUP(ROUND($H53*2,0),$AM$1675:$AR$1705,4,FALSE))</f>
        <v/>
      </c>
      <c r="K53" s="253" t="str">
        <f>IF(H53="","",VLOOKUP(ROUND($H53*2,0),$AM$1675:$AR$1705,5,FALSE))</f>
        <v/>
      </c>
      <c r="L53" s="74" t="str">
        <f>IF(H53="","",VLOOKUP(ROUND($H53*2,0),$AM$1675:$AR$1705,6,FALSE))</f>
        <v/>
      </c>
      <c r="M53" s="76"/>
      <c r="N53" s="236"/>
    </row>
    <row r="54" spans="2:14" ht="13.15" x14ac:dyDescent="0.25">
      <c r="B54" s="62"/>
      <c r="C54" s="288" t="s">
        <v>131</v>
      </c>
      <c r="D54" s="289"/>
      <c r="E54" s="290"/>
      <c r="F54" s="26" t="e">
        <f>IF(OR(#REF!="",C5="",C6="",C7="",C8="",E7="")=TRUE,"",#REF!)</f>
        <v>#REF!</v>
      </c>
      <c r="G54" s="98" t="s">
        <v>22</v>
      </c>
      <c r="H54" s="103" t="str">
        <f>IF(ISERROR(S1077)=TRUE,"",IF(OR(C5="",C6="",C7="",C8="",E7="")=TRUE,"",S1077))</f>
        <v/>
      </c>
      <c r="I54" s="74" t="str">
        <f>IF(H54="","",VLOOKUP(ROUND($H54*2,0),$AM$1713:$AR$1743,3,FALSE))</f>
        <v/>
      </c>
      <c r="J54" s="75" t="str">
        <f>IF(H54="","",VLOOKUP(ROUND($H54*2,0),$AM$1713:$AR$1743,4,FALSE))</f>
        <v/>
      </c>
      <c r="K54" s="253" t="str">
        <f>IF(H54="","",VLOOKUP(ROUND($H54*2,0),$AM$1713:$AR$1743,5,FALSE))</f>
        <v/>
      </c>
      <c r="L54" s="74" t="str">
        <f>IF(H54="","",VLOOKUP(ROUND($H54*2,0),$AM$1713:$AR$1743,6,FALSE))</f>
        <v/>
      </c>
      <c r="M54" s="76"/>
      <c r="N54" s="236"/>
    </row>
    <row r="55" spans="2:14" ht="13.15" x14ac:dyDescent="0.25">
      <c r="B55" s="62"/>
      <c r="C55" s="288" t="s">
        <v>29</v>
      </c>
      <c r="D55" s="289"/>
      <c r="E55" s="290"/>
      <c r="F55" s="26" t="e">
        <f>IF(OR(#REF!="",C5="",C6="",C7="",C8="",E7="")=TRUE,"",#REF!)</f>
        <v>#REF!</v>
      </c>
      <c r="G55" s="98" t="s">
        <v>22</v>
      </c>
      <c r="H55" s="103" t="str">
        <f>IF(ISERROR(S1078)=TRUE,"",IF(OR(C5="",C6="",C7="",C8="",E7="")=TRUE,"",S1078))</f>
        <v/>
      </c>
      <c r="I55" s="74" t="str">
        <f>IF(H55="","",VLOOKUP(ROUND($H55*2,0),$AM$1278:$AR$1303,3,FALSE))</f>
        <v/>
      </c>
      <c r="J55" s="75" t="str">
        <f>IF(H55="","",VLOOKUP(ROUND($H55*2,0),$AM$1278:$AR$1303,4,FALSE))</f>
        <v/>
      </c>
      <c r="K55" s="253" t="str">
        <f>IF(H55="","",VLOOKUP(ROUND($H55*2,0),$AM$1278:$AR$1303,5,FALSE))</f>
        <v/>
      </c>
      <c r="L55" s="74" t="str">
        <f>IF(H55="","",VLOOKUP(ROUND($H55*2,0),$AM$1278:$AR$1303,6,FALSE))</f>
        <v/>
      </c>
      <c r="M55" s="76"/>
      <c r="N55" s="236"/>
    </row>
    <row r="56" spans="2:14" ht="13.15" x14ac:dyDescent="0.25">
      <c r="B56" s="62"/>
      <c r="C56" s="288" t="s">
        <v>30</v>
      </c>
      <c r="D56" s="289"/>
      <c r="E56" s="290"/>
      <c r="F56" s="26" t="e">
        <f>IF(OR(#REF!="",C5="",C6="",C7="",C8="",E7="")=TRUE,"",#REF!)</f>
        <v>#REF!</v>
      </c>
      <c r="G56" s="98" t="s">
        <v>31</v>
      </c>
      <c r="H56" s="103" t="str">
        <f>IF(ISERROR(S1079)=TRUE,"",IF(OR(C5="",C6="",C7="",C8="",E7="")=TRUE,"",S1079))</f>
        <v/>
      </c>
      <c r="I56" s="253" t="str">
        <f>IF(H56="","",VLOOKUP(ROUND($H56*2,0),$AM$1311:$AR$1327,3,FALSE))</f>
        <v/>
      </c>
      <c r="J56" s="75" t="str">
        <f>IF(H56="","",VLOOKUP(ROUND($H56*2,0),$AM$1311:$AR$1327,4,FALSE))</f>
        <v/>
      </c>
      <c r="K56" s="74" t="str">
        <f>IF(H56="","",VLOOKUP(ROUND($H56*2,0),$AM$1311:$AR$1327,5,FALSE))</f>
        <v/>
      </c>
      <c r="L56" s="74" t="str">
        <f>IF(H56="","",VLOOKUP(ROUND($H56*2,0),$AM$1311:$AR$1327,6,FALSE))</f>
        <v/>
      </c>
      <c r="M56" s="76"/>
      <c r="N56" s="236"/>
    </row>
    <row r="57" spans="2:14" ht="13.15" x14ac:dyDescent="0.25">
      <c r="B57" s="62"/>
      <c r="C57" s="288" t="s">
        <v>32</v>
      </c>
      <c r="D57" s="289"/>
      <c r="E57" s="290"/>
      <c r="F57" s="26" t="e">
        <f>IF(OR(#REF!="",C5="",C6="",C7="",C8="",E7="")=TRUE,"",#REF!)</f>
        <v>#REF!</v>
      </c>
      <c r="G57" s="98" t="s">
        <v>31</v>
      </c>
      <c r="H57" s="103" t="str">
        <f>IF(ISERROR(S1080)=TRUE,"",IF(OR(C5="",C6="",C7="",C8="",E7="")=TRUE,"",S1080))</f>
        <v/>
      </c>
      <c r="I57" s="253" t="str">
        <f>IF(H57="","",VLOOKUP(ROUND($H57*2,0),$AM$1335:$AR$1355,3,FALSE))</f>
        <v/>
      </c>
      <c r="J57" s="75" t="str">
        <f>IF(H57="","",VLOOKUP(ROUND($H57*2,0),$AM$1335:$AR$1355,4,FALSE))</f>
        <v/>
      </c>
      <c r="K57" s="74" t="str">
        <f>IF(H57="","",VLOOKUP(ROUND($H57*2,0),$AM$1335:$AR$1355,5,FALSE))</f>
        <v/>
      </c>
      <c r="L57" s="74" t="str">
        <f>IF(H57="","",VLOOKUP(ROUND($H57*2,0),$AM$1335:$AR$1355,6,FALSE))</f>
        <v/>
      </c>
      <c r="M57" s="76"/>
      <c r="N57" s="236"/>
    </row>
    <row r="58" spans="2:14" ht="13.15" x14ac:dyDescent="0.25">
      <c r="B58" s="62"/>
      <c r="C58" s="288" t="s">
        <v>41</v>
      </c>
      <c r="D58" s="289"/>
      <c r="E58" s="290"/>
      <c r="F58" s="26" t="e">
        <f>IF(OR(#REF!="",C5="",C6="",C7="",C8="",E7="")=TRUE,"",#REF!)</f>
        <v>#REF!</v>
      </c>
      <c r="G58" s="98" t="s">
        <v>22</v>
      </c>
      <c r="H58" s="101" t="str">
        <f>IF(ISERROR(S1081)=TRUE,"",IF(OR(C5="",C6="",C7="",C8="",E7="")=TRUE,"",S1081))</f>
        <v/>
      </c>
      <c r="I58" s="78" t="str">
        <f>IF(H58="","",VLOOKUP(ROUND($H58,0),$AN$1363:$AR$1401,2,FALSE))</f>
        <v/>
      </c>
      <c r="J58" s="75" t="str">
        <f>IF(H58="","",VLOOKUP(ROUND($H58,0),$AN$1363:$AR$1401,3,FALSE))</f>
        <v/>
      </c>
      <c r="K58" s="253" t="str">
        <f>IF(H58="","",VLOOKUP(ROUND($H58,0),$AN$1363:$AR$1401,4,FALSE))</f>
        <v/>
      </c>
      <c r="L58" s="74" t="str">
        <f>IF(H58="","",VLOOKUP(ROUND($H58,0),$AN$1363:$AR$1401,5,FALSE))</f>
        <v/>
      </c>
      <c r="M58" s="76"/>
      <c r="N58" s="236"/>
    </row>
    <row r="59" spans="2:14" ht="13.15" x14ac:dyDescent="0.25">
      <c r="B59" s="62"/>
      <c r="C59" s="288" t="s">
        <v>42</v>
      </c>
      <c r="D59" s="289"/>
      <c r="E59" s="290"/>
      <c r="F59" s="26" t="e">
        <f>IF(OR(#REF!="",C5="",C6="",C7="",C8="",E7="")=TRUE,"",#REF!)</f>
        <v>#REF!</v>
      </c>
      <c r="G59" s="98" t="s">
        <v>22</v>
      </c>
      <c r="H59" s="101" t="str">
        <f>IF(ISERROR(S1082)=TRUE,"",IF(OR(C5="",C6="",C7="",C8="",E7="")=TRUE,"",S1082))</f>
        <v/>
      </c>
      <c r="I59" s="253" t="str">
        <f>IF(H59="","",VLOOKUP(ROUND($H59,0),$AN$1409:$AR$1416,2,FALSE))</f>
        <v/>
      </c>
      <c r="J59" s="75" t="str">
        <f>IF(H59="","",VLOOKUP(ROUND($H59,0),$AN$1409:$AR$1416,3,FALSE))</f>
        <v/>
      </c>
      <c r="K59" s="74" t="str">
        <f>IF(H59="","",VLOOKUP(ROUND($H59,0),$AN$1409:$AR$1416,4,FALSE))</f>
        <v/>
      </c>
      <c r="L59" s="74" t="str">
        <f>IF(H59="","",VLOOKUP(ROUND($H59,0),$AN$1409:$AR$1416,5,FALSE))</f>
        <v/>
      </c>
      <c r="M59" s="76"/>
      <c r="N59" s="236"/>
    </row>
    <row r="60" spans="2:14" ht="13.15" x14ac:dyDescent="0.25">
      <c r="B60" s="62"/>
      <c r="C60" s="288" t="s">
        <v>34</v>
      </c>
      <c r="D60" s="289"/>
      <c r="E60" s="290"/>
      <c r="F60" s="26" t="e">
        <f>IF(OR(#REF!="",C5="",C6="",C7="",C8="",E7="")=TRUE,"",#REF!)</f>
        <v>#REF!</v>
      </c>
      <c r="G60" s="98" t="s">
        <v>22</v>
      </c>
      <c r="H60" s="101" t="str">
        <f>IF(ISERROR(S1083)=TRUE,"",IF(OR(C5="",C6="",C7="",C8="",E7="")=TRUE,"",S1083))</f>
        <v/>
      </c>
      <c r="I60" s="78" t="str">
        <f>IF(H60="","",VLOOKUP(ROUND($H60,0),$AN$1424:$AR$1464,2,FALSE))</f>
        <v/>
      </c>
      <c r="J60" s="75" t="str">
        <f>IF(H60="","",VLOOKUP(ROUND($H60,0),$AN$1424:$AR$1464,3,FALSE))</f>
        <v/>
      </c>
      <c r="K60" s="253" t="str">
        <f>IF(H60="","",VLOOKUP(ROUND($H60,0),$AN$1424:$AR$1464,4,FALSE))</f>
        <v/>
      </c>
      <c r="L60" s="74" t="str">
        <f>IF(H60="","",VLOOKUP(ROUND($H60,0),$AN$1424:$AR$1464,5,FALSE))</f>
        <v/>
      </c>
      <c r="M60" s="76"/>
      <c r="N60" s="236"/>
    </row>
    <row r="61" spans="2:14" ht="13.15" x14ac:dyDescent="0.25">
      <c r="B61" s="62"/>
      <c r="C61" s="288" t="s">
        <v>33</v>
      </c>
      <c r="D61" s="289"/>
      <c r="E61" s="290"/>
      <c r="F61" s="26" t="e">
        <f>IF(OR(#REF!="",C5="",C6="",C7="",C8="",E7="")=TRUE,"",#REF!)</f>
        <v>#REF!</v>
      </c>
      <c r="G61" s="98" t="s">
        <v>22</v>
      </c>
      <c r="H61" s="101" t="e">
        <f>IF(F61="","",IF(OR(C5="",C6="",C7="",C8="",E7="")=TRUE,"",S1084))</f>
        <v>#REF!</v>
      </c>
      <c r="I61" s="78" t="e">
        <f>IF(H61="","",VLOOKUP(ROUND($H61,0),$AN$1472:$AR$1477,2,FALSE))</f>
        <v>#REF!</v>
      </c>
      <c r="J61" s="75" t="e">
        <f>IF(H61="","",VLOOKUP(ROUND($H61,0),$AN$1472:$AR$1477,3,FALSE))</f>
        <v>#REF!</v>
      </c>
      <c r="K61" s="74" t="e">
        <f>IF(H61="","",VLOOKUP(ROUND($H61,0),$AN$1472:$AR$1477,4,FALSE))</f>
        <v>#REF!</v>
      </c>
      <c r="L61" s="74" t="e">
        <f>IF(H61="","",VLOOKUP(ROUND($H61,0),$AN$1472:$AR$1477,5,FALSE))</f>
        <v>#REF!</v>
      </c>
      <c r="M61" s="254" t="e">
        <f>IF(H61="","",IF(I61&lt;16,"auffällig","unauffällig"))</f>
        <v>#REF!</v>
      </c>
      <c r="N61" s="236"/>
    </row>
    <row r="62" spans="2:14" ht="13.15" x14ac:dyDescent="0.25">
      <c r="B62" s="62"/>
      <c r="C62" s="288" t="s">
        <v>35</v>
      </c>
      <c r="D62" s="289"/>
      <c r="E62" s="290"/>
      <c r="F62" s="26" t="e">
        <f>IF(OR(#REF!="",C5="",C6="",C7="",C8="",E7="")=TRUE,"",#REF!)</f>
        <v>#REF!</v>
      </c>
      <c r="G62" s="98" t="s">
        <v>22</v>
      </c>
      <c r="H62" s="101" t="e">
        <f>IF(F62="","",IF(OR(C5="",C6="",C7="",C8="",E7="")=TRUE,"",S1085))</f>
        <v>#REF!</v>
      </c>
      <c r="I62" s="78" t="e">
        <f>IF(H62="","",VLOOKUP(ROUND($H62,0),$AN$1485:$AR$1487,2,FALSE))</f>
        <v>#REF!</v>
      </c>
      <c r="J62" s="75" t="e">
        <f>IF(H62="","",VLOOKUP(ROUND($H62,0),$AN$1485:$AR$1487,3,FALSE))</f>
        <v>#REF!</v>
      </c>
      <c r="K62" s="74" t="e">
        <f>IF(H62="","",VLOOKUP(ROUND($H62,0),$AN$1485:$AR$1487,4,FALSE))</f>
        <v>#REF!</v>
      </c>
      <c r="L62" s="74" t="e">
        <f>IF(H62="","",VLOOKUP(ROUND($H62,0),$AN$1485:$AR$1487,5,FALSE))</f>
        <v>#REF!</v>
      </c>
      <c r="M62" s="254" t="e">
        <f>IF(H62="","",IF(I62&lt;16,"auffällig","unauffällig"))</f>
        <v>#REF!</v>
      </c>
      <c r="N62" s="236"/>
    </row>
    <row r="63" spans="2:14" ht="13.15" x14ac:dyDescent="0.25">
      <c r="B63" s="62"/>
      <c r="C63" s="309" t="s">
        <v>36</v>
      </c>
      <c r="D63" s="310"/>
      <c r="E63" s="311"/>
      <c r="F63" s="26" t="e">
        <f>IF(OR(#REF!="",C5="",C6="",C7="",C8="",E7="")=TRUE,"",#REF!)</f>
        <v>#REF!</v>
      </c>
      <c r="G63" s="97" t="s">
        <v>22</v>
      </c>
      <c r="H63" s="102" t="e">
        <f>IF(F63="","",IF(OR(C5="",C6="",C7="",C8="",E7="")=TRUE,"",S1086))</f>
        <v>#REF!</v>
      </c>
      <c r="I63" s="65" t="e">
        <f>IF(H63="","",VLOOKUP(ROUND($H63,0),$AN$1495:$AR$1497,2,FALSE))</f>
        <v>#REF!</v>
      </c>
      <c r="J63" s="10" t="e">
        <f>IF(H63="","",VLOOKUP(ROUND($H63,0),$AN$1495:$AR$1497,3,FALSE))</f>
        <v>#REF!</v>
      </c>
      <c r="K63" s="18" t="e">
        <f>IF(H63="","",VLOOKUP(ROUND($H63,0),$AN$1495:$AR$1497,4,FALSE))</f>
        <v>#REF!</v>
      </c>
      <c r="L63" s="18" t="e">
        <f>IF(H63="","",VLOOKUP(ROUND($H63,0),$AN$1495:$AR$1497,5,FALSE))</f>
        <v>#REF!</v>
      </c>
      <c r="M63" s="257" t="e">
        <f>IF(H63="","",IF(I63&lt;16,"auffällig","unauffällig"))</f>
        <v>#REF!</v>
      </c>
      <c r="N63" s="236"/>
    </row>
    <row r="64" spans="2:14" ht="8.15" customHeight="1" x14ac:dyDescent="0.25">
      <c r="B64" s="84"/>
      <c r="C64" s="13"/>
      <c r="D64" s="13"/>
      <c r="E64" s="13"/>
      <c r="F64" s="190"/>
      <c r="G64" s="85"/>
      <c r="H64" s="85"/>
      <c r="I64" s="85"/>
      <c r="J64" s="85"/>
      <c r="K64" s="85"/>
      <c r="L64" s="85"/>
      <c r="M64" s="14"/>
      <c r="N64" s="236"/>
    </row>
    <row r="65" spans="2:14" ht="13.15" x14ac:dyDescent="0.2">
      <c r="B65" s="134" t="s">
        <v>43</v>
      </c>
      <c r="C65" s="8"/>
      <c r="D65" s="8"/>
      <c r="E65" s="8"/>
      <c r="F65" s="83"/>
      <c r="G65" s="9"/>
      <c r="H65" s="86"/>
      <c r="I65" s="87"/>
      <c r="J65" s="88"/>
      <c r="K65" s="88"/>
      <c r="L65" s="87"/>
      <c r="M65" s="89"/>
      <c r="N65" s="236"/>
    </row>
    <row r="66" spans="2:14" ht="13.15" x14ac:dyDescent="0.25">
      <c r="B66" s="62"/>
      <c r="C66" s="291" t="s">
        <v>18</v>
      </c>
      <c r="D66" s="292"/>
      <c r="E66" s="293"/>
      <c r="F66" s="260" t="e">
        <f>IF(#REF!="","",#REF!)</f>
        <v>#REF!</v>
      </c>
      <c r="G66" s="97" t="s">
        <v>19</v>
      </c>
      <c r="H66" s="99" t="s">
        <v>12</v>
      </c>
      <c r="I66" s="10" t="s">
        <v>13</v>
      </c>
      <c r="J66" s="11" t="s">
        <v>14</v>
      </c>
      <c r="K66" s="11" t="s">
        <v>15</v>
      </c>
      <c r="L66" s="10" t="s">
        <v>16</v>
      </c>
      <c r="M66" s="66" t="s">
        <v>316</v>
      </c>
      <c r="N66" s="236"/>
    </row>
    <row r="67" spans="2:14" ht="13.15" x14ac:dyDescent="0.25">
      <c r="B67" s="62"/>
      <c r="C67" s="294" t="s">
        <v>20</v>
      </c>
      <c r="D67" s="295"/>
      <c r="E67" s="296"/>
      <c r="F67" s="261" t="e">
        <f>IF(#REF!="","",#REF!)</f>
        <v>#REF!</v>
      </c>
      <c r="G67" s="97"/>
      <c r="H67" s="100"/>
      <c r="I67" s="10"/>
      <c r="J67" s="11"/>
      <c r="K67" s="11"/>
      <c r="L67" s="10"/>
      <c r="M67" s="66"/>
      <c r="N67" s="236"/>
    </row>
    <row r="68" spans="2:14" ht="13.15" x14ac:dyDescent="0.25">
      <c r="B68" s="62"/>
      <c r="C68" s="288" t="s">
        <v>21</v>
      </c>
      <c r="D68" s="289"/>
      <c r="E68" s="290"/>
      <c r="F68" s="260" t="e">
        <f>IF(OR(#REF!="",C5="",C6="",C7="",C8="",E7="")=TRUE,"",#REF!)</f>
        <v>#REF!</v>
      </c>
      <c r="G68" s="98" t="s">
        <v>22</v>
      </c>
      <c r="H68" s="103" t="e">
        <f>IF(F68="","",IF(ISERROR(S1090)=TRUE,"",IF(OR(C5="",C6="",C7="",C8="",E7="")=TRUE,"",S1090)))</f>
        <v>#REF!</v>
      </c>
      <c r="I68" s="74" t="e">
        <f>IF(H68="","",VLOOKUP(ROUND($H68,0),$AT$1033:$AX$1093,2,FALSE))</f>
        <v>#REF!</v>
      </c>
      <c r="J68" s="75" t="e">
        <f>IF(H68="","",VLOOKUP(ROUND($H68,0),$AT$1033:$AX$1093,3,FALSE))</f>
        <v>#REF!</v>
      </c>
      <c r="K68" s="74" t="e">
        <f>IF(H68="","",VLOOKUP(ROUND($H68,0),$AT$1033:$AX$1093,4,FALSE))</f>
        <v>#REF!</v>
      </c>
      <c r="L68" s="253" t="e">
        <f>IF(H68="","",VLOOKUP(ROUND($H68,0),$AT$1033:$AX$1093,5,FALSE))</f>
        <v>#REF!</v>
      </c>
      <c r="M68" s="76"/>
      <c r="N68" s="236"/>
    </row>
    <row r="69" spans="2:14" ht="13.15" x14ac:dyDescent="0.25">
      <c r="B69" s="62"/>
      <c r="C69" s="288" t="s">
        <v>44</v>
      </c>
      <c r="D69" s="289"/>
      <c r="E69" s="290"/>
      <c r="F69" s="260" t="e">
        <f>IF(OR(#REF!="",C5="",C6="",C7="",C8="",E7="")=TRUE,"",#REF!)</f>
        <v>#REF!</v>
      </c>
      <c r="G69" s="98" t="s">
        <v>22</v>
      </c>
      <c r="H69" s="103" t="e">
        <f>IF(F69="","",IF(ISERROR(S1091)=TRUE,"",IF(OR(C5="",C6="",C7="",C8="",E7="")=TRUE,"",S1091)))</f>
        <v>#REF!</v>
      </c>
      <c r="I69" s="74" t="e">
        <f>IF(H69="","",VLOOKUP(ROUND($H69*2,0),$AS$1101:$AX$1128,3,FALSE))</f>
        <v>#REF!</v>
      </c>
      <c r="J69" s="75" t="e">
        <f>IF(H69="","",VLOOKUP(ROUND($H69*2,0),$AS$1101:$AX$1128,4,FALSE))</f>
        <v>#REF!</v>
      </c>
      <c r="K69" s="74" t="e">
        <f>IF(H69="","",VLOOKUP(ROUND($H69*2,0),$AS$1101:$AX$1128,5,FALSE))</f>
        <v>#REF!</v>
      </c>
      <c r="L69" s="253" t="e">
        <f>IF(H69="","",VLOOKUP(ROUND($H69*2,0),$AS$1101:$AX$1128,6,FALSE))</f>
        <v>#REF!</v>
      </c>
      <c r="M69" s="76"/>
      <c r="N69" s="236"/>
    </row>
    <row r="70" spans="2:14" ht="13.15" x14ac:dyDescent="0.25">
      <c r="B70" s="62"/>
      <c r="C70" s="288" t="s">
        <v>24</v>
      </c>
      <c r="D70" s="289"/>
      <c r="E70" s="290"/>
      <c r="F70" s="260" t="e">
        <f>IF(OR(#REF!="",C5="",C6="",C7="",C8="",E7="")=TRUE,"",#REF!)</f>
        <v>#REF!</v>
      </c>
      <c r="G70" s="98" t="s">
        <v>22</v>
      </c>
      <c r="H70" s="103" t="str">
        <f>IF(ISERROR(S1092)=TRUE,"",IF(OR(C5="",C6="",C7="",C8="",E7="")=TRUE,"",S1092))</f>
        <v/>
      </c>
      <c r="I70" s="253" t="str">
        <f>IF(H70="","",VLOOKUP(ROUND($H70*2,0),$AS$1136:$AX$1165,3,FALSE))</f>
        <v/>
      </c>
      <c r="J70" s="75" t="str">
        <f>IF(H70="","",VLOOKUP(ROUND($H70*2,0),$AS$1136:$AX$1165,4,FALSE))</f>
        <v/>
      </c>
      <c r="K70" s="74" t="str">
        <f>IF(H70="","",VLOOKUP(ROUND($H70*2,0),$AS$1136:$AX$1165,5,FALSE))</f>
        <v/>
      </c>
      <c r="L70" s="78" t="str">
        <f>IF(H70="","",VLOOKUP(ROUND($H70*2,0),$AS$1136:$AX$1165,6,FALSE))</f>
        <v/>
      </c>
      <c r="M70" s="76"/>
      <c r="N70" s="236"/>
    </row>
    <row r="71" spans="2:14" ht="13.15" x14ac:dyDescent="0.25">
      <c r="B71" s="62"/>
      <c r="C71" s="288" t="s">
        <v>25</v>
      </c>
      <c r="D71" s="289"/>
      <c r="E71" s="290"/>
      <c r="F71" s="260" t="e">
        <f>IF(OR(#REF!="",C5="",C6="",C7="",C8="",E7="")=TRUE,"",#REF!)</f>
        <v>#REF!</v>
      </c>
      <c r="G71" s="98" t="s">
        <v>22</v>
      </c>
      <c r="H71" s="103" t="str">
        <f>IF(ISERROR(S1093)=TRUE,"",IF(OR(C5="",C6="",C7="",C8="",E7="")=TRUE,"",S1093))</f>
        <v/>
      </c>
      <c r="I71" s="253" t="str">
        <f>IF(H71="","",VLOOKUP(ROUND($H71*2,0),$AS$1173:$AX$1200,3,FALSE))</f>
        <v/>
      </c>
      <c r="J71" s="75" t="str">
        <f>IF(H71="","",VLOOKUP(ROUND($H71*2,0),$AS$1173:$AX$1200,4,FALSE))</f>
        <v/>
      </c>
      <c r="K71" s="74" t="str">
        <f>IF(H71="","",VLOOKUP(ROUND($H71*2,0),$AS$1173:$AX$1200,5,FALSE))</f>
        <v/>
      </c>
      <c r="L71" s="78" t="str">
        <f>IF(H71="","",VLOOKUP(ROUND($H71*2,0),$AS$1173:$AX$1200,6,FALSE))</f>
        <v/>
      </c>
      <c r="M71" s="76"/>
      <c r="N71" s="236"/>
    </row>
    <row r="72" spans="2:14" ht="13.15" x14ac:dyDescent="0.25">
      <c r="B72" s="62"/>
      <c r="C72" s="288" t="s">
        <v>28</v>
      </c>
      <c r="D72" s="289"/>
      <c r="E72" s="290"/>
      <c r="F72" s="260" t="e">
        <f>IF(OR(#REF!="",C5="",C6="",C7="",C8="",E7="")=TRUE,"",#REF!)</f>
        <v>#REF!</v>
      </c>
      <c r="G72" s="98" t="s">
        <v>22</v>
      </c>
      <c r="H72" s="103" t="e">
        <f>IF(F72="","",IF(ISERROR(S1094)=TRUE,"",IF(OR(C5="",C6="",C7="",C8="",E7="")=TRUE,"",S1094)))</f>
        <v>#REF!</v>
      </c>
      <c r="I72" s="78" t="e">
        <f>IF(H72="","",VLOOKUP(ROUND($H72*2,0),$AS$1208:$AX$1238,3,FALSE))</f>
        <v>#REF!</v>
      </c>
      <c r="J72" s="75" t="e">
        <f>IF(H72="","",VLOOKUP(ROUND($H72*2,0),$AS$1208:$AX$1238,4,FALSE))</f>
        <v>#REF!</v>
      </c>
      <c r="K72" s="74" t="e">
        <f>IF(H72="","",VLOOKUP(ROUND($H72*2,0),$AS$1208:$AX$1238,5,FALSE))</f>
        <v>#REF!</v>
      </c>
      <c r="L72" s="253" t="e">
        <f>IF(H72="","",VLOOKUP(ROUND($H72*2,0),$AS$1208:$AX$1238,6,FALSE))</f>
        <v>#REF!</v>
      </c>
      <c r="M72" s="76"/>
      <c r="N72" s="236"/>
    </row>
    <row r="73" spans="2:14" ht="13.15" x14ac:dyDescent="0.25">
      <c r="B73" s="62"/>
      <c r="C73" s="288" t="s">
        <v>129</v>
      </c>
      <c r="D73" s="289"/>
      <c r="E73" s="290"/>
      <c r="F73" s="260" t="e">
        <f>IF(OR(#REF!="",C5="",C6="",C7="",C8="",E7="")=TRUE,"",#REF!)</f>
        <v>#REF!</v>
      </c>
      <c r="G73" s="98" t="s">
        <v>22</v>
      </c>
      <c r="H73" s="103" t="e">
        <f>IF(F73="","",IF(ISERROR(S1095)=TRUE,"",IF(OR(C5="",C6="",C7="",C8="",E7="")=TRUE,"",S1095)))</f>
        <v>#REF!</v>
      </c>
      <c r="I73" s="78" t="e">
        <f>IF(H73="","",VLOOKUP(ROUND($H73*2,0),$AS$1444:$AX$1471,3,FALSE))</f>
        <v>#REF!</v>
      </c>
      <c r="J73" s="75" t="e">
        <f>IF(H73="","",VLOOKUP(ROUND($H73*2,0),$AS$1444:$AX$1471,4,FALSE))</f>
        <v>#REF!</v>
      </c>
      <c r="K73" s="74" t="e">
        <f>IF(H73="","",VLOOKUP(ROUND($H73*2,0),$AS$1444:$AX$1471,5,FALSE))</f>
        <v>#REF!</v>
      </c>
      <c r="L73" s="253" t="e">
        <f>IF(H73="","",VLOOKUP(ROUND($H73*2,0),$AS$1444:$AX$1471,6,FALSE))</f>
        <v>#REF!</v>
      </c>
      <c r="M73" s="76"/>
      <c r="N73" s="236"/>
    </row>
    <row r="74" spans="2:14" ht="13.15" x14ac:dyDescent="0.25">
      <c r="B74" s="62"/>
      <c r="C74" s="288" t="s">
        <v>130</v>
      </c>
      <c r="D74" s="289"/>
      <c r="E74" s="290"/>
      <c r="F74" s="260" t="e">
        <f>IF(OR(#REF!="",C5="",C6="",C7="",C8="",E7="")=TRUE,"",#REF!)</f>
        <v>#REF!</v>
      </c>
      <c r="G74" s="98" t="s">
        <v>22</v>
      </c>
      <c r="H74" s="103" t="e">
        <f>IF(F74="","",IF(ISERROR(S1096)=TRUE,"",IF(OR(C5="",C6="",C7="",C8="",E7="")=TRUE,"",S1096)))</f>
        <v>#REF!</v>
      </c>
      <c r="I74" s="78" t="e">
        <f>IF(H74="","",VLOOKUP(ROUND($H74*2,0),$AS$1486:$AX$1518,3,FALSE))</f>
        <v>#REF!</v>
      </c>
      <c r="J74" s="75" t="e">
        <f>IF(H74="","",VLOOKUP(ROUND($H74*2,0),$AS$1486:$AX$1518,4,FALSE))</f>
        <v>#REF!</v>
      </c>
      <c r="K74" s="74" t="e">
        <f>IF(H74="","",VLOOKUP(ROUND($H74*2,0),$AS$1486:$AX$1518,5,FALSE))</f>
        <v>#REF!</v>
      </c>
      <c r="L74" s="253" t="e">
        <f>IF(H74="","",VLOOKUP(ROUND($H74*2,0),$AS$1486:$AX$1518,6,FALSE))</f>
        <v>#REF!</v>
      </c>
      <c r="M74" s="76"/>
      <c r="N74" s="236"/>
    </row>
    <row r="75" spans="2:14" ht="13.15" x14ac:dyDescent="0.25">
      <c r="B75" s="62"/>
      <c r="C75" s="288" t="s">
        <v>131</v>
      </c>
      <c r="D75" s="289"/>
      <c r="E75" s="290"/>
      <c r="F75" s="260" t="e">
        <f>IF(OR(#REF!="",C5="",C6="",C7="",C8="",E7="")=TRUE,"",#REF!)</f>
        <v>#REF!</v>
      </c>
      <c r="G75" s="98" t="s">
        <v>22</v>
      </c>
      <c r="H75" s="103" t="e">
        <f>IF(F75="","",IF(ISERROR(S1097)=TRUE,"",IF(OR(C5="",C6="",C7="",C8="",E7="")=TRUE,"",S1097)))</f>
        <v>#REF!</v>
      </c>
      <c r="I75" s="78" t="e">
        <f>IF(H75="","",VLOOKUP(ROUND($H75*2,0),$AS$1528:$AX$1560,3,FALSE))</f>
        <v>#REF!</v>
      </c>
      <c r="J75" s="75" t="e">
        <f>IF(H75="","",VLOOKUP(ROUND($H75*2,0),$AS$1528:$AX$1560,4,FALSE))</f>
        <v>#REF!</v>
      </c>
      <c r="K75" s="74" t="e">
        <f>IF(H75="","",VLOOKUP(ROUND($H75*2,0),$AS$1528:$AX$1560,5,FALSE))</f>
        <v>#REF!</v>
      </c>
      <c r="L75" s="253" t="e">
        <f>IF(H75="","",VLOOKUP(ROUND($H75*2,0),$AS$1528:$AX$1560,6,FALSE))</f>
        <v>#REF!</v>
      </c>
      <c r="M75" s="76"/>
      <c r="N75" s="236"/>
    </row>
    <row r="76" spans="2:14" ht="13.15" x14ac:dyDescent="0.25">
      <c r="B76" s="62"/>
      <c r="C76" s="288" t="s">
        <v>29</v>
      </c>
      <c r="D76" s="289"/>
      <c r="E76" s="290"/>
      <c r="F76" s="260" t="e">
        <f>IF(OR(#REF!="",C5="",C6="",C7="",C8="",E7="")=TRUE,"",#REF!)</f>
        <v>#REF!</v>
      </c>
      <c r="G76" s="98" t="s">
        <v>22</v>
      </c>
      <c r="H76" s="103" t="e">
        <f>IF(F76="","",IF(ISERROR(S1098)=TRUE,"",IF(OR(C5="",C6="",C7="",C8="",E7="")=TRUE,"",S1098)))</f>
        <v>#REF!</v>
      </c>
      <c r="I76" s="253" t="e">
        <f>IF(H76="","",VLOOKUP(ROUND($H76*2,0),$AS$1246:$AX$1272,3,FALSE))</f>
        <v>#REF!</v>
      </c>
      <c r="J76" s="75" t="e">
        <f>IF(H76="","",VLOOKUP(ROUND($H76*2,0),$AS$1246:$AX$1272,4,FALSE))</f>
        <v>#REF!</v>
      </c>
      <c r="K76" s="74" t="e">
        <f>IF(H76="","",VLOOKUP(ROUND($H76*2,0),$AS$1246:$AX$1272,5,FALSE))</f>
        <v>#REF!</v>
      </c>
      <c r="L76" s="78" t="e">
        <f>IF(H76="","",VLOOKUP(ROUND($H76*2,0),$AS$1246:$AX$1272,6,FALSE))</f>
        <v>#REF!</v>
      </c>
      <c r="M76" s="76"/>
      <c r="N76" s="236"/>
    </row>
    <row r="77" spans="2:14" ht="13.15" x14ac:dyDescent="0.25">
      <c r="B77" s="62"/>
      <c r="C77" s="288" t="s">
        <v>30</v>
      </c>
      <c r="D77" s="289"/>
      <c r="E77" s="290"/>
      <c r="F77" s="260" t="e">
        <f>IF(OR(#REF!="",C5="",C6="",C7="",C8="",E7="")=TRUE,"",#REF!)</f>
        <v>#REF!</v>
      </c>
      <c r="G77" s="98" t="s">
        <v>31</v>
      </c>
      <c r="H77" s="103" t="str">
        <f>IF(ISERROR(S1099)=TRUE,"",IF(OR(C5="",C6="",C7="",C8="",E7="")=TRUE,"",S1099))</f>
        <v/>
      </c>
      <c r="I77" s="253" t="str">
        <f>IF(H77="","",VLOOKUP(ROUND($H77*2,0),$AS$1280:$AX$1309,3,FALSE))</f>
        <v/>
      </c>
      <c r="J77" s="75" t="str">
        <f>IF(H77="","",VLOOKUP(ROUND($H77*2,0),$AS$1280:$AX$1309,4,FALSE))</f>
        <v/>
      </c>
      <c r="K77" s="74" t="str">
        <f>IF(H77="","",VLOOKUP(ROUND($H77*2,0),$AS$1280:$AX$1309,5,FALSE))</f>
        <v/>
      </c>
      <c r="L77" s="78" t="str">
        <f>IF(H77="","",VLOOKUP(ROUND($H77*2,0),$AS$1280:$AX$1309,6,FALSE))</f>
        <v/>
      </c>
      <c r="M77" s="76"/>
      <c r="N77" s="236"/>
    </row>
    <row r="78" spans="2:14" ht="12.7" customHeight="1" x14ac:dyDescent="0.25">
      <c r="B78" s="62"/>
      <c r="C78" s="288" t="s">
        <v>32</v>
      </c>
      <c r="D78" s="289"/>
      <c r="E78" s="290"/>
      <c r="F78" s="260" t="e">
        <f>IF(OR(#REF!="",C5="",C6="",C7="",C8="",E7="")=TRUE,"",#REF!)</f>
        <v>#REF!</v>
      </c>
      <c r="G78" s="98" t="s">
        <v>31</v>
      </c>
      <c r="H78" s="103" t="str">
        <f>IF(ISERROR(S1100)=TRUE,"",IF(OR(C5="",C6="",C7="",C8="",E7="")=TRUE,"",S1100))</f>
        <v/>
      </c>
      <c r="I78" s="253" t="str">
        <f>IF(H78="","",VLOOKUP(ROUND($H78*2,0),$AS$1317:$AX$1347,3,FALSE))</f>
        <v/>
      </c>
      <c r="J78" s="75" t="str">
        <f>IF(H78="","",VLOOKUP(ROUND($H78*2,0),$AS$1317:$AX$1347,4,FALSE))</f>
        <v/>
      </c>
      <c r="K78" s="74" t="str">
        <f>IF(H78="","",VLOOKUP(ROUND($H78*2,0),$AS$1317:$AX$1347,5,FALSE))</f>
        <v/>
      </c>
      <c r="L78" s="78" t="str">
        <f>IF(H78="","",VLOOKUP(ROUND($H78*2,0),$AS$1317:$AX$1347,6,FALSE))</f>
        <v/>
      </c>
      <c r="M78" s="76"/>
      <c r="N78" s="236"/>
    </row>
    <row r="79" spans="2:14" ht="13.15" x14ac:dyDescent="0.25">
      <c r="B79" s="62"/>
      <c r="C79" s="288" t="s">
        <v>45</v>
      </c>
      <c r="D79" s="289"/>
      <c r="E79" s="290"/>
      <c r="F79" s="260" t="e">
        <f>IF(OR(#REF!="",C5="",C6="",C7="",C8="",E7="")=TRUE,"",#REF!)</f>
        <v>#REF!</v>
      </c>
      <c r="G79" s="98" t="s">
        <v>22</v>
      </c>
      <c r="H79" s="101" t="e">
        <f>IF(F79="","",IF(ISERROR(S1101)=TRUE,"",IF(OR(C5="",C6="",C7="",C8="",E7="")=TRUE,"",S1101)))</f>
        <v>#REF!</v>
      </c>
      <c r="I79" s="74" t="e">
        <f>IF(H79="","",VLOOKUP(ROUND($H79,0),$AT$1355:$AX$1408,2,FALSE))</f>
        <v>#REF!</v>
      </c>
      <c r="J79" s="75" t="e">
        <f>IF(H79="","",VLOOKUP(ROUND($H79,0),$AT$1355:$AX$1408,3,FALSE))</f>
        <v>#REF!</v>
      </c>
      <c r="K79" s="253" t="e">
        <f>IF(H79="","",VLOOKUP(ROUND($H79,0),$AT$1355:$AX$1408,4,FALSE))</f>
        <v>#REF!</v>
      </c>
      <c r="L79" s="78" t="e">
        <f>IF(H79="","",VLOOKUP(ROUND($H79,0),$AT$1355:$AX$1408,5,FALSE))</f>
        <v>#REF!</v>
      </c>
      <c r="M79" s="76"/>
      <c r="N79" s="236"/>
    </row>
    <row r="80" spans="2:14" ht="13.15" x14ac:dyDescent="0.25">
      <c r="B80" s="62"/>
      <c r="C80" s="309" t="s">
        <v>46</v>
      </c>
      <c r="D80" s="310"/>
      <c r="E80" s="311"/>
      <c r="F80" s="260" t="e">
        <f>IF(OR(#REF!="",C5="",C6="",C7="",C8="",E7="")=TRUE,"",#REF!)</f>
        <v>#REF!</v>
      </c>
      <c r="G80" s="97" t="s">
        <v>22</v>
      </c>
      <c r="H80" s="102" t="str">
        <f>IF(ISERROR(S1102)=TRUE,"",IF(OR(C5="",C6="",C7="",C8="",E7="")=TRUE,"",S1102))</f>
        <v/>
      </c>
      <c r="I80" s="256" t="str">
        <f>IF(H80="","",VLOOKUP(ROUND($H80,0),$AT$1416:$AX$1436,2,FALSE))</f>
        <v/>
      </c>
      <c r="J80" s="10" t="str">
        <f>IF(H80="","",VLOOKUP(ROUND($H80,0),$AT$1416:$AX$1436,3,FALSE))</f>
        <v/>
      </c>
      <c r="K80" s="18" t="str">
        <f>IF(H80="","",VLOOKUP(ROUND($H80,0),$AT$1416:$AX$1436,4,FALSE))</f>
        <v/>
      </c>
      <c r="L80" s="65" t="str">
        <f>IF(H80="","",VLOOKUP(ROUND($H80,0),$AT$1416:$AX$1436,5,FALSE))</f>
        <v/>
      </c>
      <c r="M80" s="66"/>
      <c r="N80" s="236"/>
    </row>
    <row r="81" spans="2:14" ht="8.15" customHeight="1" x14ac:dyDescent="0.25">
      <c r="B81" s="84"/>
      <c r="C81" s="13"/>
      <c r="D81" s="13"/>
      <c r="E81" s="13"/>
      <c r="F81" s="190"/>
      <c r="G81" s="85"/>
      <c r="H81" s="85"/>
      <c r="I81" s="85"/>
      <c r="J81" s="85"/>
      <c r="K81" s="85"/>
      <c r="L81" s="85"/>
      <c r="M81" s="14"/>
      <c r="N81" s="236"/>
    </row>
    <row r="82" spans="2:14" ht="13.15" x14ac:dyDescent="0.2">
      <c r="B82" s="134" t="s">
        <v>354</v>
      </c>
      <c r="C82" s="8"/>
      <c r="D82" s="8"/>
      <c r="E82" s="8"/>
      <c r="F82" s="83"/>
      <c r="G82" s="9"/>
      <c r="H82" s="86"/>
      <c r="I82" s="87"/>
      <c r="J82" s="88"/>
      <c r="K82" s="88"/>
      <c r="L82" s="87"/>
      <c r="M82" s="89"/>
      <c r="N82" s="236"/>
    </row>
    <row r="83" spans="2:14" ht="13.15" x14ac:dyDescent="0.25">
      <c r="B83" s="62"/>
      <c r="C83" s="291" t="s">
        <v>18</v>
      </c>
      <c r="D83" s="292"/>
      <c r="E83" s="293"/>
      <c r="F83" s="260" t="e">
        <f>IF(#REF!="","",#REF!)</f>
        <v>#REF!</v>
      </c>
      <c r="G83" s="97" t="s">
        <v>19</v>
      </c>
      <c r="H83" s="99" t="s">
        <v>12</v>
      </c>
      <c r="I83" s="10" t="s">
        <v>13</v>
      </c>
      <c r="J83" s="11" t="s">
        <v>14</v>
      </c>
      <c r="K83" s="11" t="s">
        <v>15</v>
      </c>
      <c r="L83" s="10" t="s">
        <v>16</v>
      </c>
      <c r="M83" s="66" t="s">
        <v>316</v>
      </c>
      <c r="N83" s="236"/>
    </row>
    <row r="84" spans="2:14" ht="13.15" x14ac:dyDescent="0.25">
      <c r="B84" s="62"/>
      <c r="C84" s="294" t="s">
        <v>20</v>
      </c>
      <c r="D84" s="295"/>
      <c r="E84" s="296"/>
      <c r="F84" s="261" t="e">
        <f>IF(#REF!="","",#REF!)</f>
        <v>#REF!</v>
      </c>
      <c r="G84" s="97"/>
      <c r="H84" s="100"/>
      <c r="I84" s="18"/>
      <c r="J84" s="10"/>
      <c r="K84" s="18"/>
      <c r="L84" s="65"/>
      <c r="M84" s="66"/>
      <c r="N84" s="236"/>
    </row>
    <row r="85" spans="2:14" ht="13.15" x14ac:dyDescent="0.25">
      <c r="B85" s="62"/>
      <c r="C85" s="288" t="s">
        <v>47</v>
      </c>
      <c r="D85" s="289"/>
      <c r="E85" s="290"/>
      <c r="F85" s="260" t="e">
        <f>IF(OR(#REF!="",C5="",C6="",C7="",C8="",E7="")=TRUE,"",#REF!)</f>
        <v>#REF!</v>
      </c>
      <c r="G85" s="98" t="s">
        <v>22</v>
      </c>
      <c r="H85" s="103" t="e">
        <f>IF(F85="","",IF(ISERROR(S1106)=TRUE,"",IF(OR(C5="",C6="",C7="",C8="",E7="")=TRUE,"",S1106)))</f>
        <v>#REF!</v>
      </c>
      <c r="I85" s="78" t="e">
        <f>IF(H85="","",VLOOKUP(ROUND($H85*2,0),$AY$1079:$BD$1112,3,FALSE))</f>
        <v>#REF!</v>
      </c>
      <c r="J85" s="75" t="e">
        <f>IF(H85="","",VLOOKUP(ROUND($H85*2,0),$AY$1079:$BD$1112,4,FALSE))</f>
        <v>#REF!</v>
      </c>
      <c r="K85" s="74" t="e">
        <f>IF(H85="","",VLOOKUP(ROUND($H85*2,0),$AY$1079:$BD$1112,5,FALSE))</f>
        <v>#REF!</v>
      </c>
      <c r="L85" s="253" t="e">
        <f>IF(H85="","",VLOOKUP(ROUND($H85*2,0),$AY$1079:$BD$1112,6,FALSE))</f>
        <v>#REF!</v>
      </c>
      <c r="M85" s="76"/>
      <c r="N85" s="236"/>
    </row>
    <row r="86" spans="2:14" ht="13.15" x14ac:dyDescent="0.25">
      <c r="B86" s="62"/>
      <c r="C86" s="288" t="s">
        <v>48</v>
      </c>
      <c r="D86" s="289"/>
      <c r="E86" s="290"/>
      <c r="F86" s="260" t="e">
        <f>IF(OR(#REF!="",C5="",C6="",C7="",C8="",E7="")=TRUE,"",#REF!)</f>
        <v>#REF!</v>
      </c>
      <c r="G86" s="98" t="s">
        <v>22</v>
      </c>
      <c r="H86" s="103" t="str">
        <f>IF(ISERROR(S1107)=TRUE,"",IF(OR(C5="",C6="",C7="",C8="",E7="")=TRUE,"",S1107))</f>
        <v/>
      </c>
      <c r="I86" s="253" t="str">
        <f>IF(H86="","",VLOOKUP(ROUND($H86*2,0),$AY$1120:$BD$1132,3,FALSE))</f>
        <v/>
      </c>
      <c r="J86" s="75" t="str">
        <f>IF(H86="","",VLOOKUP(ROUND($H86*2,0),$AY$1120:$BD$1132,4,FALSE))</f>
        <v/>
      </c>
      <c r="K86" s="74" t="str">
        <f>IF(H86="","",VLOOKUP(ROUND($H86*2,0),$AY$1120:$BD$1132,5,FALSE))</f>
        <v/>
      </c>
      <c r="L86" s="78" t="str">
        <f>IF(H86="","",VLOOKUP(ROUND($H86*2,0),$AY$1120:$BD$1132,6,FALSE))</f>
        <v/>
      </c>
      <c r="M86" s="76"/>
      <c r="N86" s="236"/>
    </row>
    <row r="87" spans="2:14" ht="13.15" x14ac:dyDescent="0.25">
      <c r="B87" s="62"/>
      <c r="C87" s="309" t="s">
        <v>49</v>
      </c>
      <c r="D87" s="310"/>
      <c r="E87" s="311"/>
      <c r="F87" s="260" t="e">
        <f>IF(OR(#REF!="",C5="",C6="",C7="",C8="",E7="")=TRUE,"",#REF!)</f>
        <v>#REF!</v>
      </c>
      <c r="G87" s="97" t="s">
        <v>22</v>
      </c>
      <c r="H87" s="104" t="str">
        <f>IF(ISERROR(S1108)=TRUE,"",IF(OR(C5="",C6="",C7="",C8="",E7="")=TRUE,"",S1108))</f>
        <v/>
      </c>
      <c r="I87" s="256" t="str">
        <f>IF(H87="","",VLOOKUP(ROUND($H87*2,0),$AY$1140:$BD$1154,3,FALSE))</f>
        <v/>
      </c>
      <c r="J87" s="10" t="str">
        <f>IF(H87="","",VLOOKUP(ROUND($H87*2,0),$AY$1140:$BD$1154,4,FALSE))</f>
        <v/>
      </c>
      <c r="K87" s="18" t="str">
        <f>IF(H87="","",VLOOKUP(ROUND($H87*2,0),$AY$1140:$BD$1154,5,FALSE))</f>
        <v/>
      </c>
      <c r="L87" s="65" t="str">
        <f>IF(H87="","",VLOOKUP(ROUND($H87*2,0),$AY$1140:$BD$1154,6,FALSE))</f>
        <v/>
      </c>
      <c r="M87" s="66"/>
      <c r="N87" s="236"/>
    </row>
    <row r="88" spans="2:14" ht="5.2" customHeight="1" x14ac:dyDescent="0.25">
      <c r="B88" s="110"/>
      <c r="C88" s="13"/>
      <c r="D88" s="13"/>
      <c r="E88" s="13"/>
      <c r="F88" s="190"/>
      <c r="G88" s="85"/>
      <c r="H88" s="85"/>
      <c r="I88" s="85"/>
      <c r="J88" s="85"/>
      <c r="K88" s="85"/>
      <c r="L88" s="85"/>
      <c r="M88" s="85"/>
      <c r="N88" s="236"/>
    </row>
    <row r="89" spans="2:14" ht="5.2" customHeight="1" x14ac:dyDescent="0.25">
      <c r="B89" s="93"/>
      <c r="C89" s="95"/>
      <c r="D89" s="95"/>
      <c r="E89" s="95"/>
      <c r="F89" s="191"/>
      <c r="G89" s="96"/>
      <c r="H89" s="96"/>
      <c r="I89" s="96"/>
      <c r="J89" s="96"/>
      <c r="K89" s="96"/>
      <c r="L89" s="96"/>
      <c r="M89" s="96"/>
      <c r="N89" s="236"/>
    </row>
    <row r="90" spans="2:14" ht="17.55" x14ac:dyDescent="0.25">
      <c r="B90" s="243" t="s">
        <v>317</v>
      </c>
      <c r="C90" s="244"/>
      <c r="D90" s="244"/>
      <c r="E90" s="244"/>
      <c r="F90" s="248"/>
      <c r="G90" s="246"/>
      <c r="H90" s="246"/>
      <c r="I90" s="249"/>
      <c r="J90" s="250"/>
      <c r="K90" s="249"/>
      <c r="L90" s="251"/>
      <c r="M90" s="252"/>
      <c r="N90" s="236"/>
    </row>
    <row r="91" spans="2:14" ht="8.15" customHeight="1" x14ac:dyDescent="0.25">
      <c r="B91" s="84"/>
      <c r="C91" s="13"/>
      <c r="D91" s="13"/>
      <c r="E91" s="13"/>
      <c r="F91" s="190"/>
      <c r="G91" s="85"/>
      <c r="H91" s="85"/>
      <c r="I91" s="85"/>
      <c r="J91" s="85"/>
      <c r="K91" s="85"/>
      <c r="L91" s="85"/>
      <c r="M91" s="14"/>
      <c r="N91" s="236"/>
    </row>
    <row r="92" spans="2:14" ht="13.15" x14ac:dyDescent="0.2">
      <c r="B92" s="134" t="s">
        <v>355</v>
      </c>
      <c r="C92" s="8"/>
      <c r="D92" s="8"/>
      <c r="E92" s="8"/>
      <c r="F92" s="83"/>
      <c r="G92" s="9"/>
      <c r="H92" s="86"/>
      <c r="I92" s="87"/>
      <c r="J92" s="88"/>
      <c r="K92" s="88"/>
      <c r="L92" s="87"/>
      <c r="M92" s="89"/>
      <c r="N92" s="236"/>
    </row>
    <row r="93" spans="2:14" ht="13.15" x14ac:dyDescent="0.25">
      <c r="B93" s="62"/>
      <c r="C93" s="291" t="s">
        <v>50</v>
      </c>
      <c r="D93" s="292"/>
      <c r="E93" s="293"/>
      <c r="F93" s="260" t="e">
        <f>IF(#REF!="","",#REF!)</f>
        <v>#REF!</v>
      </c>
      <c r="G93" s="97" t="s">
        <v>19</v>
      </c>
      <c r="H93" s="99" t="s">
        <v>12</v>
      </c>
      <c r="I93" s="10" t="s">
        <v>13</v>
      </c>
      <c r="J93" s="11" t="s">
        <v>14</v>
      </c>
      <c r="K93" s="11" t="s">
        <v>15</v>
      </c>
      <c r="L93" s="10" t="s">
        <v>16</v>
      </c>
      <c r="M93" s="66" t="s">
        <v>316</v>
      </c>
      <c r="N93" s="236"/>
    </row>
    <row r="94" spans="2:14" ht="13.15" x14ac:dyDescent="0.25">
      <c r="B94" s="62"/>
      <c r="C94" s="294" t="s">
        <v>20</v>
      </c>
      <c r="D94" s="295"/>
      <c r="E94" s="296"/>
      <c r="F94" s="261" t="e">
        <f>IF(#REF!="","",#REF!)</f>
        <v>#REF!</v>
      </c>
      <c r="G94" s="97"/>
      <c r="H94" s="100"/>
      <c r="I94" s="18"/>
      <c r="J94" s="10"/>
      <c r="K94" s="18"/>
      <c r="L94" s="65"/>
      <c r="M94" s="66"/>
      <c r="N94" s="236"/>
    </row>
    <row r="95" spans="2:14" ht="13.15" x14ac:dyDescent="0.25">
      <c r="B95" s="62"/>
      <c r="C95" s="288" t="s">
        <v>359</v>
      </c>
      <c r="D95" s="289"/>
      <c r="E95" s="290"/>
      <c r="F95" s="260" t="e">
        <f>IF(OR(#REF!="",C5="",C6="",C7="",C8="",E7="")=TRUE,"",#REF!)</f>
        <v>#REF!</v>
      </c>
      <c r="G95" s="98" t="s">
        <v>52</v>
      </c>
      <c r="H95" s="101" t="str">
        <f>IF(ISERROR(S1113)=TRUE,"",IF(OR(C5="",C6="",C7="",C8="",E7="")=TRUE,"",S1113))</f>
        <v/>
      </c>
      <c r="I95" s="253" t="str">
        <f>IF(H95="","",VLOOKUP(ROUND($H95,0),$BF$1033:$BJ$1038,2,FALSE))</f>
        <v/>
      </c>
      <c r="J95" s="75" t="str">
        <f>IF(H95="","",VLOOKUP(ROUND($H95,0),$BF$1033:$BJ$1038,3,FALSE))</f>
        <v/>
      </c>
      <c r="K95" s="74" t="str">
        <f>IF(H95="","",VLOOKUP(ROUND($H95,0),$BF$1033:$BJ$1038,4,FALSE))</f>
        <v/>
      </c>
      <c r="L95" s="78" t="str">
        <f>IF(H95="","",VLOOKUP(ROUND($H95,0),$BF$1033:$BJ$1038,5,FALSE))</f>
        <v/>
      </c>
      <c r="M95" s="76"/>
      <c r="N95" s="236"/>
    </row>
    <row r="96" spans="2:14" ht="13.15" x14ac:dyDescent="0.25">
      <c r="B96" s="62"/>
      <c r="C96" s="288" t="s">
        <v>360</v>
      </c>
      <c r="D96" s="289"/>
      <c r="E96" s="290"/>
      <c r="F96" s="260" t="e">
        <f>IF(OR(#REF!="",C5="",C6="",C7="",C8="",E7="")=TRUE,"",#REF!)</f>
        <v>#REF!</v>
      </c>
      <c r="G96" s="98" t="s">
        <v>22</v>
      </c>
      <c r="H96" s="101" t="e">
        <f>IF(F96="","",IF(OR(C5="",C6="",C7="",C8="",E7="")=TRUE,"",S1114))</f>
        <v>#REF!</v>
      </c>
      <c r="I96" s="78" t="e">
        <f>IF(H96="","",VLOOKUP(ROUND($H96,0),$BF$1046:$BJ$1049,2,FALSE))</f>
        <v>#REF!</v>
      </c>
      <c r="J96" s="75" t="e">
        <f>IF(H96="","",VLOOKUP(ROUND($H96,0),$BF$1046:$BJ$1049,3,FALSE))</f>
        <v>#REF!</v>
      </c>
      <c r="K96" s="74" t="e">
        <f>IF(H96="","",VLOOKUP(ROUND($H96,0),$BF$1046:$BJ$1049,4,FALSE))</f>
        <v>#REF!</v>
      </c>
      <c r="L96" s="78" t="e">
        <f>IF(H96="","",VLOOKUP(ROUND($H96,0),$BF$1046:$BJ$1049,5,FALSE))</f>
        <v>#REF!</v>
      </c>
      <c r="M96" s="254" t="e">
        <f>IF(H96="","",IF(I96&lt;16,"auffällig","unauffällig"))</f>
        <v>#REF!</v>
      </c>
      <c r="N96" s="236"/>
    </row>
    <row r="97" spans="2:14" ht="17.850000000000001" customHeight="1" x14ac:dyDescent="0.25">
      <c r="B97" s="135" t="s">
        <v>356</v>
      </c>
      <c r="C97" s="73"/>
      <c r="D97" s="6"/>
      <c r="E97" s="6"/>
      <c r="F97" s="71"/>
      <c r="G97" s="105"/>
      <c r="H97" s="101"/>
      <c r="I97" s="78"/>
      <c r="J97" s="75"/>
      <c r="K97" s="74"/>
      <c r="L97" s="78"/>
      <c r="M97" s="76"/>
      <c r="N97" s="236"/>
    </row>
    <row r="98" spans="2:14" ht="13.15" x14ac:dyDescent="0.25">
      <c r="B98" s="62"/>
      <c r="C98" s="288" t="s">
        <v>361</v>
      </c>
      <c r="D98" s="289"/>
      <c r="E98" s="290"/>
      <c r="F98" s="260" t="e">
        <f>IF(OR(#REF!="",C5="",C6="",C7="",C8="",E7="")=TRUE,"",#REF!)</f>
        <v>#REF!</v>
      </c>
      <c r="G98" s="98" t="s">
        <v>52</v>
      </c>
      <c r="H98" s="101" t="str">
        <f>IF(ISERROR(S1115)=TRUE,"",IF(OR(C5="",C6="",C7="",C8="",E7="")=TRUE,"",S1115))</f>
        <v/>
      </c>
      <c r="I98" s="253" t="str">
        <f>IF(H98="","",VLOOKUP(ROUND($H98,0),$BF$1058:$BJ$1064,2,FALSE))</f>
        <v/>
      </c>
      <c r="J98" s="75" t="str">
        <f>IF(H98="","",VLOOKUP(ROUND($H98,0),$BF$1058:$BJ$1064,3,FALSE))</f>
        <v/>
      </c>
      <c r="K98" s="74" t="str">
        <f>IF(H98="","",VLOOKUP(ROUND($H98,0),$BF$1058:$BJ$1064,4,FALSE))</f>
        <v/>
      </c>
      <c r="L98" s="78" t="str">
        <f>IF(H98="","",VLOOKUP(ROUND($H98,0),$BF$1058:$BJ$1064,5,FALSE))</f>
        <v/>
      </c>
      <c r="M98" s="76"/>
      <c r="N98" s="236"/>
    </row>
    <row r="99" spans="2:14" ht="13.15" x14ac:dyDescent="0.25">
      <c r="B99" s="62"/>
      <c r="C99" s="309" t="s">
        <v>362</v>
      </c>
      <c r="D99" s="310"/>
      <c r="E99" s="311"/>
      <c r="F99" s="262" t="e">
        <f>IF(OR(#REF!="",C5="",C6="",C7="",C8="",E7="")=TRUE,"",#REF!)</f>
        <v>#REF!</v>
      </c>
      <c r="G99" s="97" t="s">
        <v>22</v>
      </c>
      <c r="H99" s="102" t="e">
        <f>IF(F99="","",IF(OR(C5="",C6="",C7="",C8="",E7="")=TRUE,"",S1116))</f>
        <v>#REF!</v>
      </c>
      <c r="I99" s="65" t="e">
        <f>IF(H99="","",VLOOKUP(ROUND($H99,0),$BF$1072:$BJ$1075,2,FALSE))</f>
        <v>#REF!</v>
      </c>
      <c r="J99" s="10" t="e">
        <f>IF(H99="","",VLOOKUP(ROUND($H99,0),$BF$1072:$BJ$1075,3,FALSE))</f>
        <v>#REF!</v>
      </c>
      <c r="K99" s="18" t="e">
        <f>IF(H99="","",VLOOKUP(ROUND($H99,0),$BF$1072:$BJ$1075,4,FALSE))</f>
        <v>#REF!</v>
      </c>
      <c r="L99" s="65" t="e">
        <f>IF(H99="","",VLOOKUP(ROUND($H99,0),$BF$1072:$BJ$1075,5,FALSE))</f>
        <v>#REF!</v>
      </c>
      <c r="M99" s="257" t="e">
        <f>IF(H99="","",IF(I99&lt;16,"auffällig","unauffällig"))</f>
        <v>#REF!</v>
      </c>
      <c r="N99" s="236"/>
    </row>
    <row r="100" spans="2:14" ht="8.15" customHeight="1" x14ac:dyDescent="0.25">
      <c r="B100" s="90"/>
      <c r="C100" s="91"/>
      <c r="D100" s="91"/>
      <c r="E100" s="91"/>
      <c r="F100" s="192"/>
      <c r="G100" s="92"/>
      <c r="H100" s="92"/>
      <c r="I100" s="92"/>
      <c r="J100" s="92"/>
      <c r="K100" s="92"/>
      <c r="L100" s="92"/>
      <c r="M100" s="92"/>
      <c r="N100" s="236"/>
    </row>
    <row r="101" spans="2:14" ht="17.55" x14ac:dyDescent="0.25">
      <c r="B101" s="243" t="s">
        <v>54</v>
      </c>
      <c r="C101" s="244"/>
      <c r="D101" s="244"/>
      <c r="E101" s="244"/>
      <c r="F101" s="248"/>
      <c r="G101" s="246"/>
      <c r="H101" s="246"/>
      <c r="I101" s="249"/>
      <c r="J101" s="250"/>
      <c r="K101" s="249"/>
      <c r="L101" s="251"/>
      <c r="M101" s="252"/>
      <c r="N101" s="236"/>
    </row>
    <row r="102" spans="2:14" ht="8.15" customHeight="1" x14ac:dyDescent="0.25">
      <c r="B102" s="84"/>
      <c r="C102" s="13"/>
      <c r="D102" s="13"/>
      <c r="E102" s="13"/>
      <c r="F102" s="190"/>
      <c r="G102" s="85"/>
      <c r="H102" s="85"/>
      <c r="I102" s="85"/>
      <c r="J102" s="85"/>
      <c r="K102" s="85"/>
      <c r="L102" s="85"/>
      <c r="M102" s="14"/>
      <c r="N102" s="236"/>
    </row>
    <row r="103" spans="2:14" ht="13.15" x14ac:dyDescent="0.2">
      <c r="B103" s="134" t="s">
        <v>357</v>
      </c>
      <c r="C103" s="8"/>
      <c r="D103" s="8"/>
      <c r="E103" s="8"/>
      <c r="F103" s="83"/>
      <c r="G103" s="9"/>
      <c r="H103" s="86"/>
      <c r="I103" s="87"/>
      <c r="J103" s="88"/>
      <c r="K103" s="88"/>
      <c r="L103" s="87"/>
      <c r="M103" s="89"/>
      <c r="N103" s="236"/>
    </row>
    <row r="104" spans="2:14" ht="13.15" x14ac:dyDescent="0.25">
      <c r="B104" s="62"/>
      <c r="C104" s="291" t="s">
        <v>50</v>
      </c>
      <c r="D104" s="292"/>
      <c r="E104" s="293"/>
      <c r="F104" s="260" t="str">
        <f>IF(T2B!E18="","",T2B!E18)</f>
        <v>A</v>
      </c>
      <c r="G104" s="22" t="s">
        <v>19</v>
      </c>
      <c r="H104" s="99" t="s">
        <v>12</v>
      </c>
      <c r="I104" s="10" t="s">
        <v>13</v>
      </c>
      <c r="J104" s="11" t="s">
        <v>14</v>
      </c>
      <c r="K104" s="11" t="s">
        <v>15</v>
      </c>
      <c r="L104" s="10" t="s">
        <v>16</v>
      </c>
      <c r="M104" s="66" t="s">
        <v>316</v>
      </c>
      <c r="N104" s="236"/>
    </row>
    <row r="105" spans="2:14" ht="13.15" x14ac:dyDescent="0.25">
      <c r="B105" s="62"/>
      <c r="C105" s="291" t="s">
        <v>20</v>
      </c>
      <c r="D105" s="292"/>
      <c r="E105" s="293"/>
      <c r="F105" s="261" t="str">
        <f>IF(T2B!E19="","",T2B!E19)</f>
        <v/>
      </c>
      <c r="G105" s="22"/>
      <c r="H105" s="100"/>
      <c r="I105" s="18"/>
      <c r="J105" s="10"/>
      <c r="K105" s="18"/>
      <c r="L105" s="65"/>
      <c r="M105" s="66"/>
      <c r="N105" s="236"/>
    </row>
    <row r="106" spans="2:14" ht="13.15" x14ac:dyDescent="0.25">
      <c r="B106" s="62"/>
      <c r="C106" s="291" t="s">
        <v>55</v>
      </c>
      <c r="D106" s="292"/>
      <c r="E106" s="293"/>
      <c r="F106" s="260" t="str">
        <f ca="1">IF(OR(T2B!N14="",C5="",C6="",C7="",C8="",E7="")=TRUE,"",T2B!N14)</f>
        <v/>
      </c>
      <c r="G106" s="22" t="s">
        <v>22</v>
      </c>
      <c r="H106" s="106"/>
      <c r="I106" s="18"/>
      <c r="J106" s="10"/>
      <c r="K106" s="18"/>
      <c r="L106" s="65"/>
      <c r="M106" s="66"/>
      <c r="N106" s="236"/>
    </row>
    <row r="107" spans="2:14" ht="13.15" x14ac:dyDescent="0.25">
      <c r="B107" s="62"/>
      <c r="C107" s="291" t="s">
        <v>56</v>
      </c>
      <c r="D107" s="292"/>
      <c r="E107" s="293"/>
      <c r="F107" s="260" t="str">
        <f ca="1">IF(OR(T2B!M14="",C5="",C6="",C7="",C8="",E7="")=TRUE,"",T2B!M14)</f>
        <v/>
      </c>
      <c r="G107" s="22" t="s">
        <v>22</v>
      </c>
      <c r="H107" s="106"/>
      <c r="I107" s="18"/>
      <c r="J107" s="10"/>
      <c r="K107" s="18"/>
      <c r="L107" s="65"/>
      <c r="M107" s="66"/>
      <c r="N107" s="236"/>
    </row>
    <row r="108" spans="2:14" ht="13.15" x14ac:dyDescent="0.25">
      <c r="B108" s="62"/>
      <c r="C108" s="291" t="s">
        <v>57</v>
      </c>
      <c r="D108" s="292"/>
      <c r="E108" s="293"/>
      <c r="F108" s="260" t="str">
        <f ca="1">IF(OR(T2B!L14="",C5="",C6="",C7="",C8="",E7="")=TRUE,"",T2B!L14)</f>
        <v/>
      </c>
      <c r="G108" s="22" t="s">
        <v>22</v>
      </c>
      <c r="H108" s="106"/>
      <c r="I108" s="18"/>
      <c r="J108" s="10"/>
      <c r="K108" s="18"/>
      <c r="L108" s="65"/>
      <c r="M108" s="66"/>
      <c r="N108" s="236"/>
    </row>
    <row r="109" spans="2:14" ht="13.15" x14ac:dyDescent="0.25">
      <c r="B109" s="62"/>
      <c r="C109" s="294" t="s">
        <v>58</v>
      </c>
      <c r="D109" s="295"/>
      <c r="E109" s="296"/>
      <c r="F109" s="260" t="str">
        <f ca="1">IF(OR(T2B!K14="",C5="",C6="",C7="",C8="",E7="")=TRUE,"",T2B!K14)</f>
        <v/>
      </c>
      <c r="G109" s="22" t="s">
        <v>22</v>
      </c>
      <c r="H109" s="107"/>
      <c r="I109" s="18"/>
      <c r="J109" s="10"/>
      <c r="K109" s="18"/>
      <c r="L109" s="65"/>
      <c r="M109" s="66"/>
      <c r="N109" s="236"/>
    </row>
    <row r="110" spans="2:14" ht="13.15" x14ac:dyDescent="0.25">
      <c r="B110" s="62"/>
      <c r="C110" s="288" t="s">
        <v>59</v>
      </c>
      <c r="D110" s="289"/>
      <c r="E110" s="290"/>
      <c r="F110" s="263" t="str">
        <f>IF(OR(T2B!B5="",C5="",C6="",C7="",C8="",E7="")=TRUE,"",T2B!E21)</f>
        <v/>
      </c>
      <c r="G110" s="98" t="s">
        <v>61</v>
      </c>
      <c r="H110" s="103" t="str">
        <f>IF(ISERROR(S1125)=TRUE,"",IF(OR(C5="",C6="",C7="",C8="",E7="")=TRUE,"",S1125))</f>
        <v/>
      </c>
      <c r="I110" s="74" t="str">
        <f>IF(H110="","",VLOOKUP(ROUND($H110*10,0),$BK$1033:$BP$1079,3,FALSE))</f>
        <v/>
      </c>
      <c r="J110" s="75" t="str">
        <f>IF(H110="","",VLOOKUP(ROUND($H110*10,0),$BK$1033:$BP$1079,4,FALSE))</f>
        <v/>
      </c>
      <c r="K110" s="74" t="str">
        <f>IF(H110="","",VLOOKUP(ROUND($H110*10,0),$BK$1033:$BP$1079,5,FALSE))</f>
        <v/>
      </c>
      <c r="L110" s="253" t="str">
        <f>IF(H110="","",VLOOKUP(ROUND($H110*10,0),$BK$1033:$BP$1079,6,FALSE))</f>
        <v/>
      </c>
      <c r="M110" s="76"/>
      <c r="N110" s="236"/>
    </row>
    <row r="111" spans="2:14" ht="13.15" x14ac:dyDescent="0.25">
      <c r="B111" s="62"/>
      <c r="C111" s="288" t="s">
        <v>62</v>
      </c>
      <c r="D111" s="289"/>
      <c r="E111" s="290"/>
      <c r="F111" s="263" t="str">
        <f ca="1">IF(OR(T2B!E23="",C5="",C6="",C7="",C8="",E7="")=TRUE,"",T2B!E23)</f>
        <v/>
      </c>
      <c r="G111" s="98" t="s">
        <v>64</v>
      </c>
      <c r="H111" s="103" t="str">
        <f ca="1">IF(ISERROR(S1126)=TRUE,"",IF(OR(C5="",C6="",C7="",C8="",E7="")=TRUE,"",S1126))</f>
        <v/>
      </c>
      <c r="I111" s="78" t="str">
        <f ca="1">IF(H111="","",VLOOKUP(ROUND($H111,0),$BL$1087:$BP$1119,2,FALSE))</f>
        <v/>
      </c>
      <c r="J111" s="75" t="str">
        <f ca="1">IF(H111="","",VLOOKUP(ROUND($H111,0),$BL$1087:$BP$1119,3,FALSE))</f>
        <v/>
      </c>
      <c r="K111" s="74" t="str">
        <f ca="1">IF(H111="","",VLOOKUP(ROUND($H111,0),$BL$1087:$BP$1119,4,FALSE))</f>
        <v/>
      </c>
      <c r="L111" s="253" t="str">
        <f ca="1">IF(H111="","",VLOOKUP(ROUND($H111,0),$BL$1087:$BP$1119,5,FALSE))</f>
        <v/>
      </c>
      <c r="M111" s="76"/>
      <c r="N111" s="236"/>
    </row>
    <row r="112" spans="2:14" ht="13.15" x14ac:dyDescent="0.25">
      <c r="B112" s="62"/>
      <c r="C112" s="288" t="s">
        <v>65</v>
      </c>
      <c r="D112" s="289"/>
      <c r="E112" s="290"/>
      <c r="F112" s="263" t="str">
        <f ca="1">IF(OR(T2B!E26="",C5="",C6="",C7="",C8="",E7="")=TRUE,"",T2B!E26)</f>
        <v/>
      </c>
      <c r="G112" s="98" t="s">
        <v>64</v>
      </c>
      <c r="H112" s="103" t="str">
        <f ca="1">IF(ISERROR(S1127)=TRUE,"",IF(OR(C5="",C6="",C7="",C8="",E7="")=TRUE,"",S1127))</f>
        <v/>
      </c>
      <c r="I112" s="74" t="str">
        <f ca="1">IF(H112="","",VLOOKUP(ROUND($H112*10,0),$BK$1127:$BP$1212,3,FALSE))</f>
        <v/>
      </c>
      <c r="J112" s="75" t="str">
        <f ca="1">IF(H112="","",VLOOKUP(ROUND($H112*10,0),$BK$1127:$BP$1212,4,FALSE))</f>
        <v/>
      </c>
      <c r="K112" s="253" t="str">
        <f ca="1">IF(H112="","",VLOOKUP(ROUND($H112*10,0),$BK$1127:$BP$1212,5,FALSE))</f>
        <v/>
      </c>
      <c r="L112" s="78" t="str">
        <f ca="1">IF(H112="","",VLOOKUP(ROUND($H112*10,0),$BK$1127:$BP$1212,6,FALSE))</f>
        <v/>
      </c>
      <c r="M112" s="76"/>
      <c r="N112" s="236"/>
    </row>
    <row r="113" spans="2:14" ht="13.15" x14ac:dyDescent="0.25">
      <c r="B113" s="62"/>
      <c r="C113" s="288" t="s">
        <v>67</v>
      </c>
      <c r="D113" s="289"/>
      <c r="E113" s="290"/>
      <c r="F113" s="260" t="str">
        <f ca="1">IF(OR(T2B!E25="",C5="",C6="",C7="",C8="",E7="")=TRUE,"",T2B!E25)</f>
        <v/>
      </c>
      <c r="G113" s="98" t="s">
        <v>64</v>
      </c>
      <c r="H113" s="103" t="str">
        <f ca="1">IF(ISERROR(S1128)=TRUE,"",IF(OR(C5="",C6="",C7="",C8="",E7="")=TRUE,"",S1128))</f>
        <v/>
      </c>
      <c r="I113" s="253" t="str">
        <f ca="1">IF(H113="","",VLOOKUP(ROUND($H113*10,0),$BK$1220:$BP$1238,3,FALSE))</f>
        <v/>
      </c>
      <c r="J113" s="75" t="str">
        <f ca="1">IF(H113="","",VLOOKUP(ROUND($H113*10,0),$BK$1220:$BP$1238,4,FALSE))</f>
        <v/>
      </c>
      <c r="K113" s="74" t="str">
        <f ca="1">IF(H113="","",VLOOKUP(ROUND($H113*10,0),$BK$1220:$BP$1238,5,FALSE))</f>
        <v/>
      </c>
      <c r="L113" s="78" t="str">
        <f ca="1">IF(H113="","",VLOOKUP(ROUND($H113*10,0),$BK$1220:$BP$1238,6,FALSE))</f>
        <v/>
      </c>
      <c r="M113" s="76"/>
      <c r="N113" s="236"/>
    </row>
    <row r="114" spans="2:14" ht="13.15" x14ac:dyDescent="0.25">
      <c r="B114" s="62"/>
      <c r="C114" s="288" t="s">
        <v>69</v>
      </c>
      <c r="D114" s="289"/>
      <c r="E114" s="290"/>
      <c r="F114" s="263" t="str">
        <f ca="1">IF(OR(T2B!E24="",C5="",C6="",C7="",C8="",E7="")=TRUE,"",T2B!E24)</f>
        <v/>
      </c>
      <c r="G114" s="98" t="s">
        <v>64</v>
      </c>
      <c r="H114" s="103" t="str">
        <f ca="1">IF(ISERROR(S1129)=TRUE,"",IF(OR(C5="",C6="",C7="",C8="",E7="")=TRUE,"",S1129))</f>
        <v/>
      </c>
      <c r="I114" s="78" t="str">
        <f ca="1">IF(H114="","",VLOOKUP(ROUND($H114*10,0),$BK$1246:$BP$1331,3,FALSE))</f>
        <v/>
      </c>
      <c r="J114" s="75" t="str">
        <f ca="1">IF(H114="","",VLOOKUP(ROUND($H114*10,0),$BK$1246:$BP$1331,4,FALSE))</f>
        <v/>
      </c>
      <c r="K114" s="74" t="str">
        <f ca="1">IF(H114="","",VLOOKUP(ROUND($H114*10,0),$BK$1246:$BP$1331,5,FALSE))</f>
        <v/>
      </c>
      <c r="L114" s="253" t="str">
        <f ca="1">IF(H114="","",VLOOKUP(ROUND($H114*10,0),$BK$1246:$BP$1331,6,FALSE))</f>
        <v/>
      </c>
      <c r="M114" s="76"/>
      <c r="N114" s="236"/>
    </row>
    <row r="115" spans="2:14" ht="13.15" x14ac:dyDescent="0.25">
      <c r="B115" s="62"/>
      <c r="C115" s="288" t="s">
        <v>71</v>
      </c>
      <c r="D115" s="289"/>
      <c r="E115" s="290"/>
      <c r="F115" s="263" t="str">
        <f ca="1">IF(OR(T2B!E22="",C5="",C6="",C7="",C8="",E7="")=TRUE,"",T2B!E22)</f>
        <v/>
      </c>
      <c r="G115" s="98" t="s">
        <v>73</v>
      </c>
      <c r="H115" s="103" t="str">
        <f ca="1">IF(ISERROR(S1130)=TRUE,"",IF(OR(C5="",C6="",C7="",C8="",E7="")=TRUE,"",S1130))</f>
        <v/>
      </c>
      <c r="I115" s="78" t="str">
        <f ca="1">IF(H115="","",VLOOKUP(ROUND($H115,0),$BL$1339:$BP$1370,2,FALSE))</f>
        <v/>
      </c>
      <c r="J115" s="75" t="str">
        <f ca="1">IF(H115="","",VLOOKUP(ROUND($H115,0),$BL$1339:$BP$1370,3,FALSE))</f>
        <v/>
      </c>
      <c r="K115" s="74" t="str">
        <f ca="1">IF(H115="","",VLOOKUP(ROUND($H115,0),$BL$1339:$BP$1370,4,FALSE))</f>
        <v/>
      </c>
      <c r="L115" s="253" t="str">
        <f ca="1">IF(H115="","",VLOOKUP(ROUND($H115,0),$BL$1339:$BP$1370,5,FALSE))</f>
        <v/>
      </c>
      <c r="M115" s="76"/>
      <c r="N115" s="236"/>
    </row>
    <row r="116" spans="2:14" ht="13.15" x14ac:dyDescent="0.25">
      <c r="B116" s="62"/>
      <c r="C116" s="309" t="s">
        <v>74</v>
      </c>
      <c r="D116" s="310"/>
      <c r="E116" s="311"/>
      <c r="F116" s="260" t="str">
        <f ca="1">IF(OR(T2B!E30="",C5="",C6="",C7="",C8="",E7="")=TRUE,"",T2B!E30)</f>
        <v/>
      </c>
      <c r="G116" s="22" t="s">
        <v>75</v>
      </c>
      <c r="H116" s="102" t="str">
        <f ca="1">IF(ISERROR(S1131)=TRUE,"",IF(OR(C5="",C6="",C7="",C8="",E7="")=TRUE,"",S1131))</f>
        <v/>
      </c>
      <c r="I116" s="65" t="str">
        <f ca="1">IF(H116="","",VLOOKUP(ROUND($H116,0),$BL$1378:$BP$1414,2,FALSE))</f>
        <v/>
      </c>
      <c r="J116" s="10" t="str">
        <f ca="1">IF(H116="","",VLOOKUP(ROUND($H116,0),$BL$1378:$BP$1414,3,FALSE))</f>
        <v/>
      </c>
      <c r="K116" s="18" t="str">
        <f ca="1">IF(H116="","",VLOOKUP(ROUND($H116,0),$BL$1378:$BP$1414,4,FALSE))</f>
        <v/>
      </c>
      <c r="L116" s="256" t="str">
        <f ca="1">IF(H116="","",VLOOKUP(ROUND($H116,0),$BL$1378:$BP$1414,5,FALSE))</f>
        <v/>
      </c>
      <c r="M116" s="66"/>
      <c r="N116" s="236"/>
    </row>
    <row r="117" spans="2:14" ht="8.15" customHeight="1" x14ac:dyDescent="0.25">
      <c r="B117" s="90"/>
      <c r="C117" s="91"/>
      <c r="D117" s="91"/>
      <c r="E117" s="91"/>
      <c r="F117" s="192"/>
      <c r="G117" s="92"/>
      <c r="H117" s="92"/>
      <c r="I117" s="92"/>
      <c r="J117" s="92"/>
      <c r="K117" s="92"/>
      <c r="L117" s="92"/>
      <c r="M117" s="92"/>
      <c r="N117" s="236"/>
    </row>
    <row r="118" spans="2:14" ht="17.55" x14ac:dyDescent="0.25">
      <c r="B118" s="243" t="s">
        <v>76</v>
      </c>
      <c r="C118" s="244"/>
      <c r="D118" s="244"/>
      <c r="E118" s="244"/>
      <c r="F118" s="248"/>
      <c r="G118" s="246"/>
      <c r="H118" s="246"/>
      <c r="I118" s="249"/>
      <c r="J118" s="250"/>
      <c r="K118" s="249"/>
      <c r="L118" s="251"/>
      <c r="M118" s="252"/>
      <c r="N118" s="236"/>
    </row>
    <row r="119" spans="2:14" ht="8.15" customHeight="1" x14ac:dyDescent="0.25">
      <c r="B119" s="84"/>
      <c r="C119" s="13"/>
      <c r="D119" s="13"/>
      <c r="E119" s="13"/>
      <c r="F119" s="190"/>
      <c r="G119" s="85"/>
      <c r="H119" s="85"/>
      <c r="I119" s="85"/>
      <c r="J119" s="85"/>
      <c r="K119" s="85"/>
      <c r="L119" s="85"/>
      <c r="M119" s="14"/>
      <c r="N119" s="236"/>
    </row>
    <row r="120" spans="2:14" ht="13.15" x14ac:dyDescent="0.2">
      <c r="B120" s="134" t="s">
        <v>358</v>
      </c>
      <c r="C120" s="8"/>
      <c r="D120" s="8"/>
      <c r="E120" s="8"/>
      <c r="F120" s="83"/>
      <c r="G120" s="9"/>
      <c r="H120" s="86"/>
      <c r="I120" s="87"/>
      <c r="J120" s="88"/>
      <c r="K120" s="88"/>
      <c r="L120" s="87"/>
      <c r="M120" s="89"/>
      <c r="N120" s="236"/>
    </row>
    <row r="121" spans="2:14" ht="13.15" x14ac:dyDescent="0.25">
      <c r="B121" s="62"/>
      <c r="C121" s="291" t="s">
        <v>18</v>
      </c>
      <c r="D121" s="292"/>
      <c r="E121" s="293"/>
      <c r="F121" s="260" t="e">
        <f>IF(#REF!="","",#REF!)</f>
        <v>#REF!</v>
      </c>
      <c r="G121" s="97" t="s">
        <v>19</v>
      </c>
      <c r="H121" s="99" t="s">
        <v>12</v>
      </c>
      <c r="I121" s="10" t="s">
        <v>13</v>
      </c>
      <c r="J121" s="11" t="s">
        <v>14</v>
      </c>
      <c r="K121" s="11" t="s">
        <v>15</v>
      </c>
      <c r="L121" s="10" t="s">
        <v>16</v>
      </c>
      <c r="M121" s="66" t="s">
        <v>316</v>
      </c>
      <c r="N121" s="236"/>
    </row>
    <row r="122" spans="2:14" ht="13.15" x14ac:dyDescent="0.25">
      <c r="B122" s="62"/>
      <c r="C122" s="294" t="s">
        <v>20</v>
      </c>
      <c r="D122" s="295"/>
      <c r="E122" s="296"/>
      <c r="F122" s="261" t="e">
        <f>IF(#REF!="","",#REF!)</f>
        <v>#REF!</v>
      </c>
      <c r="G122" s="97"/>
      <c r="H122" s="100"/>
      <c r="I122" s="18"/>
      <c r="J122" s="10"/>
      <c r="K122" s="18"/>
      <c r="L122" s="65"/>
      <c r="M122" s="66"/>
      <c r="N122" s="236"/>
    </row>
    <row r="123" spans="2:14" ht="13.15" x14ac:dyDescent="0.25">
      <c r="B123" s="62"/>
      <c r="C123" s="288" t="s">
        <v>77</v>
      </c>
      <c r="D123" s="289"/>
      <c r="E123" s="290"/>
      <c r="F123" s="260" t="e">
        <f>IF(OR(#REF!="",C5="",C6="",C7="",C8="",E7="")=TRUE,"",#REF!)</f>
        <v>#REF!</v>
      </c>
      <c r="G123" s="98" t="s">
        <v>22</v>
      </c>
      <c r="H123" s="103" t="str">
        <f>IF(ISERROR(S1136)=TRUE,"",IF(OR(C5="",C6="",C7="",C8="",E7="")=TRUE,"",S1136))</f>
        <v/>
      </c>
      <c r="I123" s="253" t="str">
        <f>IF(H123="","",VLOOKUP(ROUND($H123*2,0),$AY$1033:$BD$1040,3,FALSE))</f>
        <v/>
      </c>
      <c r="J123" s="75" t="str">
        <f>IF(H123="","",VLOOKUP(ROUND($H123*2,0),$AY$1033:$BD$1040,4,FALSE))</f>
        <v/>
      </c>
      <c r="K123" s="74" t="str">
        <f>IF(H123="","",VLOOKUP(ROUND($H123*2,0),$AY$1033:$BD$1040,5,FALSE))</f>
        <v/>
      </c>
      <c r="L123" s="78" t="str">
        <f>IF(H123="","",VLOOKUP(ROUND($H123*2,0),$AY$1033:$BD$1040,6,FALSE))</f>
        <v/>
      </c>
      <c r="M123" s="76"/>
      <c r="N123" s="236"/>
    </row>
    <row r="124" spans="2:14" ht="13.15" x14ac:dyDescent="0.25">
      <c r="B124" s="62"/>
      <c r="C124" s="288" t="s">
        <v>78</v>
      </c>
      <c r="D124" s="289"/>
      <c r="E124" s="290"/>
      <c r="F124" s="260" t="e">
        <f>IF(OR(#REF!="",C5="",C6="",C7="",C8="",E7="")=TRUE,"",#REF!)</f>
        <v>#REF!</v>
      </c>
      <c r="G124" s="98" t="s">
        <v>22</v>
      </c>
      <c r="H124" s="103" t="e">
        <f>IF(F124="","",IF(OR(C5="",C6="",C7="",C8="",E7="")=TRUE,"",S1137))</f>
        <v>#REF!</v>
      </c>
      <c r="I124" s="78" t="e">
        <f>IF(H124="","",VLOOKUP(ROUND($H124*2,0),$AY$1048:$BD$1053,3,FALSE))</f>
        <v>#REF!</v>
      </c>
      <c r="J124" s="75" t="e">
        <f>IF(H124="","",VLOOKUP(ROUND($H124*2,0),$AY$1048:$BD$1053,4,FALSE))</f>
        <v>#REF!</v>
      </c>
      <c r="K124" s="74" t="e">
        <f>IF(H124="","",VLOOKUP(ROUND($H124*2,0),$AY$1048:$BD$1053,5,FALSE))</f>
        <v>#REF!</v>
      </c>
      <c r="L124" s="78" t="e">
        <f>IF(H124="","",VLOOKUP(ROUND($H124*2,0),$AY$1048:$BD$1053,6,FALSE))</f>
        <v>#REF!</v>
      </c>
      <c r="M124" s="254" t="e">
        <f>IF(H124="","",IF(I124&lt;16,"auffällig","unauffällig"))</f>
        <v>#REF!</v>
      </c>
      <c r="N124" s="236"/>
    </row>
    <row r="125" spans="2:14" ht="13.15" x14ac:dyDescent="0.25">
      <c r="B125" s="62"/>
      <c r="C125" s="309" t="s">
        <v>79</v>
      </c>
      <c r="D125" s="310"/>
      <c r="E125" s="311"/>
      <c r="F125" s="260" t="e">
        <f>IF(OR(#REF!="",C5="",C6="",C7="",C8="",E7="")=TRUE,"",#REF!)</f>
        <v>#REF!</v>
      </c>
      <c r="G125" s="97" t="s">
        <v>22</v>
      </c>
      <c r="H125" s="104" t="str">
        <f>IF(ISERROR(S1138)=TRUE,"",IF(OR(C5="",C6="",C7="",C8="",E7="")=TRUE,"",S1138))</f>
        <v/>
      </c>
      <c r="I125" s="256" t="str">
        <f>IF(H125="","",VLOOKUP(ROUND($H125*2,0),$AY$1061:$BD$1071,3,FALSE))</f>
        <v/>
      </c>
      <c r="J125" s="10" t="str">
        <f>IF(H125="","",VLOOKUP(ROUND($H125*2,0),$AY$1061:$BD$1071,4,FALSE))</f>
        <v/>
      </c>
      <c r="K125" s="18" t="str">
        <f>IF(H125="","",VLOOKUP(ROUND($H125*2,0),$AY$1061:$BD$1071,5,FALSE))</f>
        <v/>
      </c>
      <c r="L125" s="65" t="str">
        <f>IF(H125="","",VLOOKUP(ROUND($H125*2,0),$AY$1061:$BD$1071,6,FALSE))</f>
        <v/>
      </c>
      <c r="M125" s="66"/>
      <c r="N125" s="236"/>
    </row>
    <row r="126" spans="2:14" ht="8.15" customHeight="1" x14ac:dyDescent="0.25">
      <c r="B126" s="84"/>
      <c r="C126" s="13"/>
      <c r="D126" s="13"/>
      <c r="E126" s="13"/>
      <c r="F126" s="190"/>
      <c r="G126" s="85"/>
      <c r="H126" s="85"/>
      <c r="I126" s="85"/>
      <c r="J126" s="85"/>
      <c r="K126" s="85"/>
      <c r="L126" s="85"/>
      <c r="M126" s="14"/>
      <c r="N126" s="236"/>
    </row>
    <row r="127" spans="2:14" ht="13.15" x14ac:dyDescent="0.2">
      <c r="B127" s="134" t="s">
        <v>363</v>
      </c>
      <c r="C127" s="8"/>
      <c r="D127" s="8"/>
      <c r="E127" s="8"/>
      <c r="F127" s="83"/>
      <c r="G127" s="9"/>
      <c r="H127" s="86"/>
      <c r="I127" s="87"/>
      <c r="J127" s="88"/>
      <c r="K127" s="88"/>
      <c r="L127" s="87"/>
      <c r="M127" s="89"/>
      <c r="N127" s="236"/>
    </row>
    <row r="128" spans="2:14" ht="13.15" x14ac:dyDescent="0.25">
      <c r="B128" s="62"/>
      <c r="C128" s="291" t="s">
        <v>50</v>
      </c>
      <c r="D128" s="292"/>
      <c r="E128" s="293"/>
      <c r="F128" s="260" t="e">
        <f>IF(#REF!="","",#REF!)</f>
        <v>#REF!</v>
      </c>
      <c r="G128" s="97" t="s">
        <v>19</v>
      </c>
      <c r="H128" s="99" t="s">
        <v>12</v>
      </c>
      <c r="I128" s="10" t="s">
        <v>13</v>
      </c>
      <c r="J128" s="11" t="s">
        <v>14</v>
      </c>
      <c r="K128" s="11" t="s">
        <v>15</v>
      </c>
      <c r="L128" s="10" t="s">
        <v>16</v>
      </c>
      <c r="M128" s="66" t="s">
        <v>316</v>
      </c>
      <c r="N128" s="236"/>
    </row>
    <row r="129" spans="2:14" ht="13.15" x14ac:dyDescent="0.25">
      <c r="B129" s="62"/>
      <c r="C129" s="294" t="s">
        <v>20</v>
      </c>
      <c r="D129" s="295"/>
      <c r="E129" s="296"/>
      <c r="F129" s="261" t="e">
        <f>IF(#REF!="","",#REF!)</f>
        <v>#REF!</v>
      </c>
      <c r="G129" s="97"/>
      <c r="H129" s="100"/>
      <c r="I129" s="18"/>
      <c r="J129" s="10"/>
      <c r="K129" s="18"/>
      <c r="L129" s="65"/>
      <c r="M129" s="66"/>
      <c r="N129" s="236"/>
    </row>
    <row r="130" spans="2:14" ht="13.15" x14ac:dyDescent="0.25">
      <c r="B130" s="62"/>
      <c r="C130" s="288" t="s">
        <v>80</v>
      </c>
      <c r="D130" s="289"/>
      <c r="E130" s="290"/>
      <c r="F130" s="260" t="e">
        <f>IF(OR(#REF!="",C5="",C6="",C7="",C8="",E7="")=TRUE,"",#REF!)</f>
        <v>#REF!</v>
      </c>
      <c r="G130" s="98" t="s">
        <v>22</v>
      </c>
      <c r="H130" s="101" t="str">
        <f>IF(ISERROR(S1142)=TRUE,"",IF(OR(C5="",C6="",C7="",C8="",E7="")=TRUE,"",S1142))</f>
        <v/>
      </c>
      <c r="I130" s="253" t="str">
        <f>IF(H130="","",VLOOKUP(ROUND($H130,0),$BR$1033:$BV$1037,2,FALSE))</f>
        <v/>
      </c>
      <c r="J130" s="75" t="str">
        <f>IF(H130="","",VLOOKUP(ROUND($H130,0),$BR$1033:$BV$1037,3,FALSE))</f>
        <v/>
      </c>
      <c r="K130" s="74" t="str">
        <f>IF(H130="","",VLOOKUP(ROUND($H130,0),$BR$1033:$BV$1037,4,FALSE))</f>
        <v/>
      </c>
      <c r="L130" s="78" t="str">
        <f>IF(H130="","",VLOOKUP(ROUND($H130,0),$BR$1033:$BV$1037,5,FALSE))</f>
        <v/>
      </c>
      <c r="M130" s="76"/>
      <c r="N130" s="236"/>
    </row>
    <row r="131" spans="2:14" ht="13.15" x14ac:dyDescent="0.25">
      <c r="B131" s="62"/>
      <c r="C131" s="288" t="s">
        <v>81</v>
      </c>
      <c r="D131" s="289"/>
      <c r="E131" s="290"/>
      <c r="F131" s="260" t="e">
        <f>IF(OR(#REF!="",C5="",C6="",C7="",C8="",E7="")=TRUE,"",#REF!)</f>
        <v>#REF!</v>
      </c>
      <c r="G131" s="98" t="s">
        <v>22</v>
      </c>
      <c r="H131" s="101" t="e">
        <f>IF(F131="","",IF(OR(C5="",C6="",C7="",C8="",E7="")=TRUE,"",S1143))</f>
        <v>#REF!</v>
      </c>
      <c r="I131" s="74" t="e">
        <f>IF(H131="","",VLOOKUP(ROUND($H131,0),$BR$1045:$BV$1047,2,FALSE))</f>
        <v>#REF!</v>
      </c>
      <c r="J131" s="75" t="e">
        <f>IF(H131="","",VLOOKUP(ROUND($H131,0),$BR$1045:$BV$1047,3,FALSE))</f>
        <v>#REF!</v>
      </c>
      <c r="K131" s="74" t="e">
        <f>IF(H131="","",VLOOKUP(ROUND($H131,0),$BR$1045:$BV$1047,4,FALSE))</f>
        <v>#REF!</v>
      </c>
      <c r="L131" s="78" t="e">
        <f>IF(H131="","",VLOOKUP(ROUND($H131,0),$BR$1045:$BV$1047,5,FALSE))</f>
        <v>#REF!</v>
      </c>
      <c r="M131" s="254" t="e">
        <f>IF(H131="","",IF(I131&lt;16,"auffällig","unauffällig"))</f>
        <v>#REF!</v>
      </c>
      <c r="N131" s="236"/>
    </row>
    <row r="132" spans="2:14" ht="13.15" x14ac:dyDescent="0.25">
      <c r="B132" s="62"/>
      <c r="C132" s="309" t="s">
        <v>82</v>
      </c>
      <c r="D132" s="310"/>
      <c r="E132" s="311"/>
      <c r="F132" s="260" t="e">
        <f>IF(OR(#REF!="",C5="",C6="",C7="",C8="",E7="")=TRUE,"",#REF!)</f>
        <v>#REF!</v>
      </c>
      <c r="G132" s="97" t="s">
        <v>22</v>
      </c>
      <c r="H132" s="102" t="e">
        <f>IF(F132="","",IF(OR(C5="",C6="",C7="",C8="",E7="")=TRUE,"",S1144))</f>
        <v>#REF!</v>
      </c>
      <c r="I132" s="18" t="e">
        <f>IF(H132="","",VLOOKUP(ROUND($H132,0),$BR$1055:$BV$1058,2,FALSE))</f>
        <v>#REF!</v>
      </c>
      <c r="J132" s="10" t="e">
        <f>IF(H132="","",VLOOKUP(ROUND($H132,0),$BR$1055:$BV$1058,3,FALSE))</f>
        <v>#REF!</v>
      </c>
      <c r="K132" s="18" t="e">
        <f>IF(H132="","",VLOOKUP(ROUND($H132,0),$BR$1055:$BV$1058,4,FALSE))</f>
        <v>#REF!</v>
      </c>
      <c r="L132" s="65" t="e">
        <f>IF(H132="","",VLOOKUP(ROUND($H132,0),$BR$1055:$BV$1058,5,FALSE))</f>
        <v>#REF!</v>
      </c>
      <c r="M132" s="257" t="e">
        <f>IF(H132="","",IF(I132&lt;16,"auffällig","unauffällig"))</f>
        <v>#REF!</v>
      </c>
      <c r="N132" s="236"/>
    </row>
    <row r="133" spans="2:14" ht="8.15" customHeight="1" x14ac:dyDescent="0.25">
      <c r="B133" s="84"/>
      <c r="C133" s="13"/>
      <c r="D133" s="13"/>
      <c r="E133" s="13"/>
      <c r="F133" s="190"/>
      <c r="G133" s="85"/>
      <c r="H133" s="85"/>
      <c r="I133" s="85"/>
      <c r="J133" s="85"/>
      <c r="K133" s="85"/>
      <c r="L133" s="85"/>
      <c r="M133" s="14"/>
      <c r="N133" s="236"/>
    </row>
    <row r="134" spans="2:14" ht="13.15" x14ac:dyDescent="0.2">
      <c r="B134" s="134" t="s">
        <v>364</v>
      </c>
      <c r="C134" s="8"/>
      <c r="D134" s="8"/>
      <c r="E134" s="8"/>
      <c r="F134" s="83"/>
      <c r="G134" s="9"/>
      <c r="H134" s="86"/>
      <c r="I134" s="87"/>
      <c r="J134" s="88"/>
      <c r="K134" s="88"/>
      <c r="L134" s="87"/>
      <c r="M134" s="89"/>
      <c r="N134" s="236"/>
    </row>
    <row r="135" spans="2:14" ht="13.15" x14ac:dyDescent="0.25">
      <c r="B135" s="62"/>
      <c r="C135" s="291" t="s">
        <v>50</v>
      </c>
      <c r="D135" s="292"/>
      <c r="E135" s="293"/>
      <c r="F135" s="260" t="e">
        <f>IF(#REF!="","",#REF!)</f>
        <v>#REF!</v>
      </c>
      <c r="G135" s="97" t="s">
        <v>19</v>
      </c>
      <c r="H135" s="99" t="s">
        <v>12</v>
      </c>
      <c r="I135" s="10" t="s">
        <v>13</v>
      </c>
      <c r="J135" s="11" t="s">
        <v>14</v>
      </c>
      <c r="K135" s="11" t="s">
        <v>15</v>
      </c>
      <c r="L135" s="10" t="s">
        <v>16</v>
      </c>
      <c r="M135" s="66" t="s">
        <v>316</v>
      </c>
      <c r="N135" s="236"/>
    </row>
    <row r="136" spans="2:14" ht="13.15" x14ac:dyDescent="0.25">
      <c r="B136" s="62"/>
      <c r="C136" s="6" t="s">
        <v>20</v>
      </c>
      <c r="D136" s="6"/>
      <c r="E136" s="6"/>
      <c r="F136" s="261" t="e">
        <f>IF(#REF!="","",#REF!)</f>
        <v>#REF!</v>
      </c>
      <c r="G136" s="97"/>
      <c r="H136" s="100"/>
      <c r="I136" s="18"/>
      <c r="J136" s="10"/>
      <c r="K136" s="18"/>
      <c r="L136" s="65"/>
      <c r="M136" s="66"/>
      <c r="N136" s="236"/>
    </row>
    <row r="137" spans="2:14" ht="13.15" x14ac:dyDescent="0.25">
      <c r="B137" s="62"/>
      <c r="C137" s="288" t="s">
        <v>80</v>
      </c>
      <c r="D137" s="289"/>
      <c r="E137" s="290"/>
      <c r="F137" s="260" t="e">
        <f>IF(OR(#REF!="",C5="",C6="",C7="",C8="",E7="")=TRUE,"",#REF!)</f>
        <v>#REF!</v>
      </c>
      <c r="G137" s="98" t="s">
        <v>22</v>
      </c>
      <c r="H137" s="101" t="str">
        <f>IF(ISERROR(S1148)=TRUE,"",IF(OR(C5="",C6="",C7="",C8="",E7="")=TRUE,"",S1148))</f>
        <v/>
      </c>
      <c r="I137" s="253" t="str">
        <f>IF(H137="","",VLOOKUP(ROUND($H137,0),$BX$1033:$CB$1046,2,FALSE))</f>
        <v/>
      </c>
      <c r="J137" s="75" t="str">
        <f>IF(H137="","",VLOOKUP(ROUND($H137,0),$BX$1033:$CB$1046,3,FALSE))</f>
        <v/>
      </c>
      <c r="K137" s="74" t="str">
        <f>IF(H137="","",VLOOKUP(ROUND($H137,0),$BX$1033:$CB$1046,4,FALSE))</f>
        <v/>
      </c>
      <c r="L137" s="78" t="str">
        <f>IF(H137="","",VLOOKUP(ROUND($H137,0),$BX$1033:$CB$1046,5,FALSE))</f>
        <v/>
      </c>
      <c r="M137" s="76"/>
      <c r="N137" s="236"/>
    </row>
    <row r="138" spans="2:14" ht="13.15" x14ac:dyDescent="0.25">
      <c r="B138" s="62"/>
      <c r="C138" s="288" t="s">
        <v>82</v>
      </c>
      <c r="D138" s="289"/>
      <c r="E138" s="290"/>
      <c r="F138" s="260" t="e">
        <f>IF(OR(#REF!="",C5="",C6="",C7="",C8="",E7="")=TRUE,"",#REF!)</f>
        <v>#REF!</v>
      </c>
      <c r="G138" s="98" t="s">
        <v>22</v>
      </c>
      <c r="H138" s="101" t="str">
        <f>IF(ISERROR(S1149)=TRUE,"",IF(OR(C5="",C6="",C7="",C8="",E7="")=TRUE,"",S1149))</f>
        <v/>
      </c>
      <c r="I138" s="253" t="str">
        <f>IF(H138="","",VLOOKUP(ROUND($H138,0),$BX$1054:$CB$1069,2,FALSE))</f>
        <v/>
      </c>
      <c r="J138" s="75" t="str">
        <f>IF(H138="","",VLOOKUP(ROUND($H138,0),$BX$1054:$CB$1069,3,FALSE))</f>
        <v/>
      </c>
      <c r="K138" s="74" t="str">
        <f>IF(H138="","",VLOOKUP(ROUND($H138,0),$BX$1054:$CB$1069,4,FALSE))</f>
        <v/>
      </c>
      <c r="L138" s="78" t="str">
        <f>IF(H138="","",VLOOKUP(ROUND($H138,0),$BX$1054:$CB$1069,5,FALSE))</f>
        <v/>
      </c>
      <c r="M138" s="76"/>
      <c r="N138" s="236"/>
    </row>
    <row r="139" spans="2:14" ht="13.15" x14ac:dyDescent="0.25">
      <c r="B139" s="62"/>
      <c r="C139" s="309" t="s">
        <v>59</v>
      </c>
      <c r="D139" s="310"/>
      <c r="E139" s="311"/>
      <c r="F139" s="260" t="e">
        <f>IF(OR(#REF!="",C5="",C6="",C7="",C8="",E7="")=TRUE,"",#REF!)</f>
        <v>#REF!</v>
      </c>
      <c r="G139" s="97" t="s">
        <v>84</v>
      </c>
      <c r="H139" s="102" t="e">
        <f>IF(F139="","",IF(ISERROR(S1150)=TRUE,"",IF(OR(C5="",C6="",C7="",C8="",E7="")=TRUE,"",S1150)))</f>
        <v>#REF!</v>
      </c>
      <c r="I139" s="18" t="e">
        <f>IF(H139="","",VLOOKUP(ROUND($H139,0),$BX$1077:$CB$1777,2,FALSE))</f>
        <v>#REF!</v>
      </c>
      <c r="J139" s="10" t="e">
        <f>IF(H139="","",VLOOKUP(ROUND($H139,0),$BX$1077:$CB$1777,3,FALSE))</f>
        <v>#REF!</v>
      </c>
      <c r="K139" s="18" t="e">
        <f>IF(H139="","",VLOOKUP(ROUND($H139,0),$BX$1077:$CB$1777,4,FALSE))</f>
        <v>#REF!</v>
      </c>
      <c r="L139" s="256" t="e">
        <f>IF(H139="","",VLOOKUP(ROUND($H139,0),$BX$1077:$CB$1777,5,FALSE))</f>
        <v>#REF!</v>
      </c>
      <c r="M139" s="66"/>
      <c r="N139" s="236"/>
    </row>
    <row r="140" spans="2:14" ht="8.15" customHeight="1" x14ac:dyDescent="0.25">
      <c r="B140" s="90"/>
      <c r="C140" s="91"/>
      <c r="D140" s="91"/>
      <c r="E140" s="91"/>
      <c r="F140" s="192"/>
      <c r="G140" s="92"/>
      <c r="H140" s="92"/>
      <c r="I140" s="92"/>
      <c r="J140" s="92"/>
      <c r="K140" s="92"/>
      <c r="L140" s="92"/>
      <c r="M140" s="92"/>
      <c r="N140" s="236"/>
    </row>
    <row r="141" spans="2:14" ht="17.55" x14ac:dyDescent="0.25">
      <c r="B141" s="243" t="s">
        <v>85</v>
      </c>
      <c r="C141" s="244"/>
      <c r="D141" s="244"/>
      <c r="E141" s="244"/>
      <c r="F141" s="248"/>
      <c r="G141" s="246"/>
      <c r="H141" s="246"/>
      <c r="I141" s="249"/>
      <c r="J141" s="250"/>
      <c r="K141" s="249"/>
      <c r="L141" s="251"/>
      <c r="M141" s="252"/>
      <c r="N141" s="236"/>
    </row>
    <row r="142" spans="2:14" ht="8.15" customHeight="1" x14ac:dyDescent="0.25">
      <c r="B142" s="84"/>
      <c r="C142" s="13"/>
      <c r="D142" s="13"/>
      <c r="E142" s="13"/>
      <c r="F142" s="190"/>
      <c r="G142" s="85"/>
      <c r="H142" s="85"/>
      <c r="I142" s="85"/>
      <c r="J142" s="85"/>
      <c r="K142" s="85"/>
      <c r="L142" s="85"/>
      <c r="M142" s="14"/>
      <c r="N142" s="236"/>
    </row>
    <row r="143" spans="2:14" ht="13.15" x14ac:dyDescent="0.2">
      <c r="B143" s="134" t="s">
        <v>365</v>
      </c>
      <c r="C143" s="8"/>
      <c r="D143" s="8"/>
      <c r="E143" s="8"/>
      <c r="F143" s="83"/>
      <c r="G143" s="9"/>
      <c r="H143" s="86"/>
      <c r="I143" s="87"/>
      <c r="J143" s="88"/>
      <c r="K143" s="88"/>
      <c r="L143" s="87"/>
      <c r="M143" s="89"/>
      <c r="N143" s="236"/>
    </row>
    <row r="144" spans="2:14" ht="13.15" x14ac:dyDescent="0.25">
      <c r="B144" s="62"/>
      <c r="C144" s="291" t="s">
        <v>50</v>
      </c>
      <c r="D144" s="292"/>
      <c r="E144" s="293"/>
      <c r="F144" s="260" t="e">
        <f>IF(#REF!="","",#REF!)</f>
        <v>#REF!</v>
      </c>
      <c r="G144" s="97" t="s">
        <v>19</v>
      </c>
      <c r="H144" s="99" t="s">
        <v>12</v>
      </c>
      <c r="I144" s="10" t="s">
        <v>13</v>
      </c>
      <c r="J144" s="11" t="s">
        <v>14</v>
      </c>
      <c r="K144" s="11" t="s">
        <v>15</v>
      </c>
      <c r="L144" s="10" t="s">
        <v>16</v>
      </c>
      <c r="M144" s="66" t="s">
        <v>316</v>
      </c>
      <c r="N144" s="236"/>
    </row>
    <row r="145" spans="2:14" ht="13.15" x14ac:dyDescent="0.25">
      <c r="B145" s="62"/>
      <c r="C145" s="294" t="s">
        <v>20</v>
      </c>
      <c r="D145" s="295"/>
      <c r="E145" s="296"/>
      <c r="F145" s="261" t="e">
        <f>IF(#REF!="","",#REF!)</f>
        <v>#REF!</v>
      </c>
      <c r="G145" s="97"/>
      <c r="H145" s="100"/>
      <c r="I145" s="18"/>
      <c r="J145" s="10"/>
      <c r="K145" s="18"/>
      <c r="L145" s="65"/>
      <c r="M145" s="66"/>
      <c r="N145" s="236"/>
    </row>
    <row r="146" spans="2:14" ht="13.15" x14ac:dyDescent="0.25">
      <c r="B146" s="62"/>
      <c r="C146" s="288" t="s">
        <v>86</v>
      </c>
      <c r="D146" s="289"/>
      <c r="E146" s="290"/>
      <c r="F146" s="260" t="e">
        <f>IF(OR(#REF!="",C5="",C6="",C7="",C8="",E7="")=TRUE,"",#REF!)</f>
        <v>#REF!</v>
      </c>
      <c r="G146" s="98" t="s">
        <v>22</v>
      </c>
      <c r="H146" s="101" t="e">
        <f>IF(F146="","",IF(ISERROR(S1155)=TRUE,"",IF(OR(C5="",C6="",C7="",C8="",E7="")=TRUE,"",S1155)))</f>
        <v>#REF!</v>
      </c>
      <c r="I146" s="74" t="e">
        <f>IF(H146="","",VLOOKUP(ROUND($H146,0),$CD$1033:$CH$1087,2,FALSE))</f>
        <v>#REF!</v>
      </c>
      <c r="J146" s="75" t="e">
        <f>IF(H146="","",VLOOKUP(ROUND($H146,0),$CD$1033:$CH$1087,3,FALSE))</f>
        <v>#REF!</v>
      </c>
      <c r="K146" s="74" t="e">
        <f>IF(H146="","",VLOOKUP(ROUND($H146,0),$CD$1033:$CH$1087,4,FALSE))</f>
        <v>#REF!</v>
      </c>
      <c r="L146" s="253" t="e">
        <f>IF(H146="","",VLOOKUP(ROUND($H146,0),$CD$1033:$CH$1087,5,FALSE))</f>
        <v>#REF!</v>
      </c>
      <c r="M146" s="76"/>
      <c r="N146" s="236"/>
    </row>
    <row r="147" spans="2:14" ht="13.15" x14ac:dyDescent="0.25">
      <c r="B147" s="62"/>
      <c r="C147" s="288" t="s">
        <v>87</v>
      </c>
      <c r="D147" s="289"/>
      <c r="E147" s="290"/>
      <c r="F147" s="260" t="e">
        <f>IF(OR(#REF!="",C5="",C6="",C7="",C8="",E7="")=TRUE,"",#REF!)</f>
        <v>#REF!</v>
      </c>
      <c r="G147" s="98" t="s">
        <v>22</v>
      </c>
      <c r="H147" s="101" t="str">
        <f>IF(ISERROR(S1156)=TRUE,"",IF(OR(C5="",C6="",C7="",C8="",E7="")=TRUE,"",S1156))</f>
        <v/>
      </c>
      <c r="I147" s="253" t="str">
        <f>IF(H147="","",VLOOKUP(ROUND($H147,0),$CD$1095:$CH$1105,2,FALSE))</f>
        <v/>
      </c>
      <c r="J147" s="75" t="str">
        <f>IF(H147="","",VLOOKUP(ROUND($H147,0),$CD$1095:$CH$1105,3,FALSE))</f>
        <v/>
      </c>
      <c r="K147" s="74" t="str">
        <f>IF(H147="","",VLOOKUP(ROUND($H147,0),$CD$1095:$CH$1105,4,FALSE))</f>
        <v/>
      </c>
      <c r="L147" s="78" t="str">
        <f>IF(H147="","",VLOOKUP(ROUND($H147,0),$CD$1095:$CH$1105,5,FALSE))</f>
        <v/>
      </c>
      <c r="M147" s="76"/>
      <c r="N147" s="236"/>
    </row>
    <row r="148" spans="2:14" ht="13.15" x14ac:dyDescent="0.25">
      <c r="B148" s="62"/>
      <c r="C148" s="288" t="s">
        <v>89</v>
      </c>
      <c r="D148" s="289"/>
      <c r="E148" s="290"/>
      <c r="F148" s="260" t="e">
        <f>IF(OR(#REF!="",C5="",C6="",C7="",C8="",E7="")=TRUE,"",#REF!)</f>
        <v>#REF!</v>
      </c>
      <c r="G148" s="98" t="s">
        <v>22</v>
      </c>
      <c r="H148" s="101" t="e">
        <f>IF(F148="","",IF(OR(C5="",C6="",C7="",C8="",E7="")=TRUE,"",S1157))</f>
        <v>#REF!</v>
      </c>
      <c r="I148" s="78" t="e">
        <f>IF(H148="","",VLOOKUP(ROUND($H148,0),$CD$1113:$CH$1118,2,FALSE))</f>
        <v>#REF!</v>
      </c>
      <c r="J148" s="75" t="e">
        <f>IF(H148="","",VLOOKUP(ROUND($H148,0),$CD$1113:$CH$1118,3,FALSE))</f>
        <v>#REF!</v>
      </c>
      <c r="K148" s="74" t="e">
        <f>IF(H148="","",VLOOKUP(ROUND($H148,0),$CD$1113:$CH$1118,4,FALSE))</f>
        <v>#REF!</v>
      </c>
      <c r="L148" s="78" t="e">
        <f>IF(H148="","",VLOOKUP(ROUND($H148,0),$CD$1113:$CH$1118,5,FALSE))</f>
        <v>#REF!</v>
      </c>
      <c r="M148" s="254" t="e">
        <f>IF(H148="","",IF(I148&lt;16,"auffällig","unauffällig"))</f>
        <v>#REF!</v>
      </c>
      <c r="N148" s="236"/>
    </row>
    <row r="149" spans="2:14" ht="13.15" x14ac:dyDescent="0.25">
      <c r="B149" s="62"/>
      <c r="C149" s="288" t="s">
        <v>91</v>
      </c>
      <c r="D149" s="289"/>
      <c r="E149" s="290"/>
      <c r="F149" s="264" t="e">
        <f>IF(OR(#REF!="",C5="",C6="",C7="",C8="",E7="")=TRUE,"",#REF!*100)</f>
        <v>#REF!</v>
      </c>
      <c r="G149" s="98" t="s">
        <v>93</v>
      </c>
      <c r="H149" s="101" t="e">
        <f>IF(F149="","",IF(OR(C5="",C6="",C7="",C8="",E7="")=TRUE,"",S1158))</f>
        <v>#REF!</v>
      </c>
      <c r="I149" s="78" t="e">
        <f>IF(H149="","",VLOOKUP(ROUND($H149,0),$CD$1126:$CH$1193,2,FALSE))</f>
        <v>#REF!</v>
      </c>
      <c r="J149" s="75" t="e">
        <f>IF(H149="","",VLOOKUP(ROUND($H149,0),$CD$1126:$CH$1193,3,FALSE))</f>
        <v>#REF!</v>
      </c>
      <c r="K149" s="74" t="e">
        <f>IF(H149="","",VLOOKUP(ROUND($H149,0),$CD$1126:$CH$1193,4,FALSE))</f>
        <v>#REF!</v>
      </c>
      <c r="L149" s="253" t="e">
        <f>IF(H149="","",VLOOKUP(ROUND($H149,0),$CD$1126:$CH$1193,5,FALSE))</f>
        <v>#REF!</v>
      </c>
      <c r="M149" s="76"/>
      <c r="N149" s="236"/>
    </row>
    <row r="150" spans="2:14" ht="17.850000000000001" customHeight="1" x14ac:dyDescent="0.25">
      <c r="B150" s="135" t="s">
        <v>366</v>
      </c>
      <c r="C150" s="6"/>
      <c r="D150" s="6"/>
      <c r="E150" s="6"/>
      <c r="F150" s="71"/>
      <c r="G150" s="22"/>
      <c r="H150" s="108"/>
      <c r="I150" s="65"/>
      <c r="J150" s="10"/>
      <c r="K150" s="18"/>
      <c r="L150" s="65"/>
      <c r="M150" s="66"/>
      <c r="N150" s="236"/>
    </row>
    <row r="151" spans="2:14" ht="13.15" x14ac:dyDescent="0.25">
      <c r="B151" s="62"/>
      <c r="C151" s="288" t="s">
        <v>94</v>
      </c>
      <c r="D151" s="289"/>
      <c r="E151" s="290"/>
      <c r="F151" s="260" t="e">
        <f>IF(OR(#REF!="",C5="",C6="",C7="",C8="",E7="")=TRUE,"",#REF!)</f>
        <v>#REF!</v>
      </c>
      <c r="G151" s="98" t="s">
        <v>22</v>
      </c>
      <c r="H151" s="101" t="str">
        <f>IF(ISERROR(S1160)=TRUE,"",IF(OR(C5="",C6="",C7="",C8="",E7="")=TRUE,"",S1160))</f>
        <v/>
      </c>
      <c r="I151" s="78" t="str">
        <f>IF(H151="","",VLOOKUP(ROUND($H151,0),$CJ$1033:$CN$1088,2,FALSE))</f>
        <v/>
      </c>
      <c r="J151" s="75" t="str">
        <f>IF(H151="","",VLOOKUP(ROUND($H151,0),$CJ$1033:$CN$1088,3,FALSE))</f>
        <v/>
      </c>
      <c r="K151" s="74" t="str">
        <f>IF(H151="","",VLOOKUP(ROUND($H151,0),$CJ$1033:$CN$1088,4,FALSE))</f>
        <v/>
      </c>
      <c r="L151" s="253" t="str">
        <f>IF(H151="","",VLOOKUP(ROUND($H151,0),$CJ$1033:$CN$1088,5,FALSE))</f>
        <v/>
      </c>
      <c r="M151" s="76"/>
      <c r="N151" s="236"/>
    </row>
    <row r="152" spans="2:14" ht="13.15" x14ac:dyDescent="0.25">
      <c r="B152" s="62"/>
      <c r="C152" s="288" t="s">
        <v>95</v>
      </c>
      <c r="D152" s="289"/>
      <c r="E152" s="290"/>
      <c r="F152" s="260" t="e">
        <f>IF(OR(#REF!="",C5="",C6="",C7="",C8="",E7="")=TRUE,"",#REF!)</f>
        <v>#REF!</v>
      </c>
      <c r="G152" s="98" t="s">
        <v>22</v>
      </c>
      <c r="H152" s="101" t="str">
        <f>IF(ISERROR(S1161)=TRUE,"",IF(OR(C5="",C6="",C7="",C8="",E7="")=TRUE,"",S1161))</f>
        <v/>
      </c>
      <c r="I152" s="253" t="str">
        <f>IF(H152="","",VLOOKUP(ROUND($H152,0),$CJ$1096:$CN$1123,2,FALSE))</f>
        <v/>
      </c>
      <c r="J152" s="75" t="str">
        <f>IF(H152="","",VLOOKUP(ROUND($H152,0),$CJ$1096:$CN$1123,3,FALSE))</f>
        <v/>
      </c>
      <c r="K152" s="74" t="str">
        <f>IF(H152="","",VLOOKUP(ROUND($H152,0),$CJ$1096:$CN$1123,4,FALSE))</f>
        <v/>
      </c>
      <c r="L152" s="78" t="str">
        <f>IF(H152="","",VLOOKUP(ROUND($H152,0),$CJ$1096:$CN$1123,5,FALSE))</f>
        <v/>
      </c>
      <c r="M152" s="76"/>
      <c r="N152" s="236"/>
    </row>
    <row r="153" spans="2:14" ht="13.15" x14ac:dyDescent="0.25">
      <c r="B153" s="62"/>
      <c r="C153" s="288" t="s">
        <v>96</v>
      </c>
      <c r="D153" s="289"/>
      <c r="E153" s="290"/>
      <c r="F153" s="260" t="e">
        <f>IF(OR(#REF!="",C5="",C6="",C7="",C8="",E7="")=TRUE,"",#REF!)</f>
        <v>#REF!</v>
      </c>
      <c r="G153" s="98" t="s">
        <v>22</v>
      </c>
      <c r="H153" s="101" t="e">
        <f>IF(F153="","",IF(OR(C5="",C6="",C7="",C8="",E7="")=TRUE,"",S1162))</f>
        <v>#REF!</v>
      </c>
      <c r="I153" s="78" t="e">
        <f>IF(H153="","",VLOOKUP(ROUND($H153,0),$CJ1131:$CN$1146,2,FALSE))</f>
        <v>#REF!</v>
      </c>
      <c r="J153" s="75" t="e">
        <f>IF(H153="","",VLOOKUP(ROUND($H153,0),$CJ1131:$CN$1146,3,FALSE))</f>
        <v>#REF!</v>
      </c>
      <c r="K153" s="74" t="e">
        <f>IF(H153="","",VLOOKUP(ROUND($H153,0),$CJ1131:$CN$1146,4,FALSE))</f>
        <v>#REF!</v>
      </c>
      <c r="L153" s="78" t="e">
        <f>IF(H153="","",VLOOKUP(ROUND($H153,0),$CJ1131:$CN$1146,5,FALSE))</f>
        <v>#REF!</v>
      </c>
      <c r="M153" s="254" t="e">
        <f>IF(H153="","",IF(I153&lt;16,"auffällig","unauffällig"))</f>
        <v>#REF!</v>
      </c>
      <c r="N153" s="236"/>
    </row>
    <row r="154" spans="2:14" ht="13.15" x14ac:dyDescent="0.25">
      <c r="B154" s="62"/>
      <c r="C154" s="309" t="s">
        <v>97</v>
      </c>
      <c r="D154" s="310"/>
      <c r="E154" s="311"/>
      <c r="F154" s="264" t="e">
        <f>IF(OR(#REF!="",C5="",C6="",C7="",C8="",E7="")=TRUE,"",#REF!*100)</f>
        <v>#REF!</v>
      </c>
      <c r="G154" s="97" t="s">
        <v>93</v>
      </c>
      <c r="H154" s="102" t="e">
        <f>IF(F154="","",IF(OR(C5="",C6="",C7="",C8="",E7="")=TRUE,"",S1163))</f>
        <v>#REF!</v>
      </c>
      <c r="I154" s="65" t="e">
        <f>IF(H154="","",VLOOKUP(ROUND($H154,0),$CJ1154:$CN$1196,2,FALSE))</f>
        <v>#REF!</v>
      </c>
      <c r="J154" s="10" t="e">
        <f>IF(H154="","",VLOOKUP(ROUND($H154,0),$CJ1154:$CN$1196,3,FALSE))</f>
        <v>#REF!</v>
      </c>
      <c r="K154" s="18" t="e">
        <f>IF(H154="","",VLOOKUP(ROUND($H154,0),$CJ1154:$CN$1196,4,FALSE))</f>
        <v>#REF!</v>
      </c>
      <c r="L154" s="256" t="e">
        <f>IF(H154="","",VLOOKUP(ROUND($H154,0),$CJ1154:$CN$1196,5,FALSE))</f>
        <v>#REF!</v>
      </c>
      <c r="M154" s="66"/>
      <c r="N154" s="236"/>
    </row>
    <row r="155" spans="2:14" ht="8.15" customHeight="1" x14ac:dyDescent="0.25">
      <c r="B155" s="84"/>
      <c r="C155" s="13"/>
      <c r="D155" s="13"/>
      <c r="E155" s="13"/>
      <c r="F155" s="190"/>
      <c r="G155" s="85"/>
      <c r="H155" s="85"/>
      <c r="I155" s="85"/>
      <c r="J155" s="85"/>
      <c r="K155" s="85"/>
      <c r="L155" s="85"/>
      <c r="M155" s="14"/>
      <c r="N155" s="236"/>
    </row>
    <row r="156" spans="2:14" ht="13.15" x14ac:dyDescent="0.2">
      <c r="B156" s="134" t="s">
        <v>367</v>
      </c>
      <c r="C156" s="8"/>
      <c r="D156" s="8"/>
      <c r="E156" s="8"/>
      <c r="F156" s="83"/>
      <c r="G156" s="9"/>
      <c r="H156" s="86"/>
      <c r="I156" s="87"/>
      <c r="J156" s="88"/>
      <c r="K156" s="88"/>
      <c r="L156" s="87"/>
      <c r="M156" s="89"/>
      <c r="N156" s="236"/>
    </row>
    <row r="157" spans="2:14" ht="13.15" x14ac:dyDescent="0.25">
      <c r="B157" s="62"/>
      <c r="C157" s="291" t="s">
        <v>50</v>
      </c>
      <c r="D157" s="292"/>
      <c r="E157" s="293"/>
      <c r="F157" s="260" t="e">
        <f>IF(#REF!="","",#REF!)</f>
        <v>#REF!</v>
      </c>
      <c r="G157" s="97" t="s">
        <v>19</v>
      </c>
      <c r="H157" s="99" t="s">
        <v>12</v>
      </c>
      <c r="I157" s="10" t="s">
        <v>13</v>
      </c>
      <c r="J157" s="11" t="s">
        <v>14</v>
      </c>
      <c r="K157" s="11" t="s">
        <v>15</v>
      </c>
      <c r="L157" s="10" t="s">
        <v>16</v>
      </c>
      <c r="M157" s="66" t="s">
        <v>316</v>
      </c>
      <c r="N157" s="236"/>
    </row>
    <row r="158" spans="2:14" ht="13.15" x14ac:dyDescent="0.25">
      <c r="B158" s="62"/>
      <c r="C158" s="294" t="s">
        <v>20</v>
      </c>
      <c r="D158" s="295"/>
      <c r="E158" s="296"/>
      <c r="F158" s="261" t="e">
        <f>IF(#REF!="","",#REF!)</f>
        <v>#REF!</v>
      </c>
      <c r="G158" s="97"/>
      <c r="H158" s="100"/>
      <c r="I158" s="18"/>
      <c r="J158" s="10"/>
      <c r="K158" s="18"/>
      <c r="L158" s="65"/>
      <c r="M158" s="66"/>
      <c r="N158" s="236"/>
    </row>
    <row r="159" spans="2:14" ht="13.15" x14ac:dyDescent="0.25">
      <c r="B159" s="62"/>
      <c r="C159" s="288" t="s">
        <v>80</v>
      </c>
      <c r="D159" s="289"/>
      <c r="E159" s="290"/>
      <c r="F159" s="260" t="e">
        <f>IF(OR(#REF!="",C5="",C6="",C7="",C8="",E7="")=TRUE,"",#REF!)</f>
        <v>#REF!</v>
      </c>
      <c r="G159" s="98" t="s">
        <v>22</v>
      </c>
      <c r="H159" s="101" t="str">
        <f>IF(ISERROR(S1167)=TRUE,"",IF(OR(C5="",C6="",C7="",C8="",E7="")=TRUE,"",S1167))</f>
        <v/>
      </c>
      <c r="I159" s="253" t="str">
        <f>IF(H159="","",VLOOKUP(ROUND($H159,0),$CP$1033:$CT$1039,2,FALSE))</f>
        <v/>
      </c>
      <c r="J159" s="75" t="str">
        <f>IF(H159="","",VLOOKUP(ROUND($H159,0),$CP$1033:$CT$1039,3,FALSE))</f>
        <v/>
      </c>
      <c r="K159" s="74" t="str">
        <f>IF(H159="","",VLOOKUP(ROUND($H159,0),$CP$1033:$CT$1039,4,FALSE))</f>
        <v/>
      </c>
      <c r="L159" s="78" t="str">
        <f>IF(H159="","",VLOOKUP(ROUND($H159,0),$CP$1033:$CT$1039,5,FALSE))</f>
        <v/>
      </c>
      <c r="M159" s="76"/>
      <c r="N159" s="236"/>
    </row>
    <row r="160" spans="2:14" ht="13.15" x14ac:dyDescent="0.25">
      <c r="B160" s="62"/>
      <c r="C160" s="288" t="s">
        <v>99</v>
      </c>
      <c r="D160" s="289"/>
      <c r="E160" s="290"/>
      <c r="F160" s="260" t="e">
        <f>IF(OR(#REF!="",C5="",C6="",C7="",C8="",E7="")=TRUE,"",#REF!)</f>
        <v>#REF!</v>
      </c>
      <c r="G160" s="98" t="s">
        <v>22</v>
      </c>
      <c r="H160" s="101" t="e">
        <f>IF(F160="","",IF(OR(C5="",C6="",C7="",C8="",E7="")=TRUE,"",S1168))</f>
        <v>#REF!</v>
      </c>
      <c r="I160" s="74" t="e">
        <f>IF(H160="","",VLOOKUP(ROUND($H160,0),$CP$1047:$CT$1052,2,FALSE))</f>
        <v>#REF!</v>
      </c>
      <c r="J160" s="75" t="e">
        <f>IF(H160="","",VLOOKUP(ROUND($H160,0),$CP$1047:$CT$1052,3,FALSE))</f>
        <v>#REF!</v>
      </c>
      <c r="K160" s="74" t="e">
        <f>IF(H160="","",VLOOKUP(ROUND($H160,0),$CP$1047:$CT$1052,4,FALSE))</f>
        <v>#REF!</v>
      </c>
      <c r="L160" s="78" t="e">
        <f>IF(H160="","",VLOOKUP(ROUND($H160,0),$CP$1047:$CT$1052,5,FALSE))</f>
        <v>#REF!</v>
      </c>
      <c r="M160" s="254" t="e">
        <f>IF(H160="","",IF(I160&lt;16,"auffällig","unauffällig"))</f>
        <v>#REF!</v>
      </c>
      <c r="N160" s="236"/>
    </row>
    <row r="161" spans="2:14" ht="13.15" x14ac:dyDescent="0.25">
      <c r="B161" s="62"/>
      <c r="C161" s="288" t="s">
        <v>100</v>
      </c>
      <c r="D161" s="289"/>
      <c r="E161" s="290"/>
      <c r="F161" s="260" t="e">
        <f>IF(OR(#REF!="",C5="",C6="",C7="",C8="",E7="")=TRUE,"",#REF!)</f>
        <v>#REF!</v>
      </c>
      <c r="G161" s="98" t="s">
        <v>22</v>
      </c>
      <c r="H161" s="101" t="e">
        <f>IF(F161="","",IF(OR(C5="",C6="",C7="",C8="",E7="")=TRUE,"",S1169))</f>
        <v>#REF!</v>
      </c>
      <c r="I161" s="74" t="e">
        <f>IF(H161="","",VLOOKUP(ROUND($H161,0),$CP$1060:$CT$1063,2,FALSE))</f>
        <v>#REF!</v>
      </c>
      <c r="J161" s="75" t="e">
        <f>IF(H161="","",VLOOKUP(ROUND($H161,0),$CP$1060:$CT$1063,3,FALSE))</f>
        <v>#REF!</v>
      </c>
      <c r="K161" s="74" t="e">
        <f>IF(H161="","",VLOOKUP(ROUND($H161,0),$CP$1060:$CT$1063,4,FALSE))</f>
        <v>#REF!</v>
      </c>
      <c r="L161" s="78" t="e">
        <f>IF(H161="","",VLOOKUP(ROUND($H161,0),$CP$1060:$CT$1063,5,FALSE))</f>
        <v>#REF!</v>
      </c>
      <c r="M161" s="254" t="e">
        <f>IF(H161="","",IF(I161&lt;16,"auffällig","unauffällig"))</f>
        <v>#REF!</v>
      </c>
      <c r="N161" s="236"/>
    </row>
    <row r="162" spans="2:14" ht="13.15" x14ac:dyDescent="0.25">
      <c r="B162" s="62"/>
      <c r="C162" s="309" t="s">
        <v>101</v>
      </c>
      <c r="D162" s="310"/>
      <c r="E162" s="311"/>
      <c r="F162" s="260" t="e">
        <f>IF(OR(#REF!="",C5="",C6="",C7="",C8="",E7="")=TRUE,"",#REF!)</f>
        <v>#REF!</v>
      </c>
      <c r="G162" s="97" t="s">
        <v>84</v>
      </c>
      <c r="H162" s="102" t="str">
        <f>IF(ISERROR(S1170)=TRUE,"",IF(OR(C5="",C6="",C7="",C8="",E7="")=TRUE,"",S1170))</f>
        <v/>
      </c>
      <c r="I162" s="18" t="str">
        <f>IF(H162="","",VLOOKUP(ROUND($H162,0),$CP$1071:$CT$1611,2,FALSE))</f>
        <v/>
      </c>
      <c r="J162" s="10" t="str">
        <f>IF(H162="","",VLOOKUP(ROUND($H162,0),$CP$1071:$CT$1611,3,FALSE))</f>
        <v/>
      </c>
      <c r="K162" s="18" t="str">
        <f>IF(H162="","",VLOOKUP(ROUND($H162,0),$CP$1071:$CT$1611,4,FALSE))</f>
        <v/>
      </c>
      <c r="L162" s="256" t="str">
        <f>IF(H162="","",VLOOKUP(ROUND($H162,0),$CP$1071:$CT$1611,5,FALSE))</f>
        <v/>
      </c>
      <c r="M162" s="66"/>
      <c r="N162" s="236"/>
    </row>
    <row r="163" spans="2:14" ht="8.15" customHeight="1" x14ac:dyDescent="0.25">
      <c r="B163" s="84"/>
      <c r="C163" s="13"/>
      <c r="D163" s="13"/>
      <c r="E163" s="13"/>
      <c r="F163" s="190"/>
      <c r="G163" s="85"/>
      <c r="H163" s="85"/>
      <c r="I163" s="85"/>
      <c r="J163" s="85"/>
      <c r="K163" s="85"/>
      <c r="L163" s="85"/>
      <c r="M163" s="14"/>
      <c r="N163" s="236"/>
    </row>
    <row r="164" spans="2:14" ht="13.15" x14ac:dyDescent="0.2">
      <c r="B164" s="134" t="s">
        <v>368</v>
      </c>
      <c r="C164" s="8"/>
      <c r="D164" s="8"/>
      <c r="E164" s="8"/>
      <c r="F164" s="83"/>
      <c r="G164" s="9"/>
      <c r="H164" s="86"/>
      <c r="I164" s="87"/>
      <c r="J164" s="88"/>
      <c r="K164" s="88"/>
      <c r="L164" s="87"/>
      <c r="M164" s="89"/>
      <c r="N164" s="236"/>
    </row>
    <row r="165" spans="2:14" ht="13.15" x14ac:dyDescent="0.25">
      <c r="B165" s="62"/>
      <c r="C165" s="291" t="s">
        <v>50</v>
      </c>
      <c r="D165" s="292"/>
      <c r="E165" s="293"/>
      <c r="F165" s="260" t="e">
        <f>IF(#REF!="","",#REF!)</f>
        <v>#REF!</v>
      </c>
      <c r="G165" s="97" t="s">
        <v>19</v>
      </c>
      <c r="H165" s="99" t="s">
        <v>12</v>
      </c>
      <c r="I165" s="10" t="s">
        <v>13</v>
      </c>
      <c r="J165" s="11" t="s">
        <v>14</v>
      </c>
      <c r="K165" s="11" t="s">
        <v>15</v>
      </c>
      <c r="L165" s="10" t="s">
        <v>16</v>
      </c>
      <c r="M165" s="66" t="s">
        <v>316</v>
      </c>
      <c r="N165" s="236"/>
    </row>
    <row r="166" spans="2:14" ht="13.15" x14ac:dyDescent="0.25">
      <c r="B166" s="62"/>
      <c r="C166" s="294" t="s">
        <v>20</v>
      </c>
      <c r="D166" s="295"/>
      <c r="E166" s="296"/>
      <c r="F166" s="261" t="e">
        <f>IF(#REF!="","",#REF!)</f>
        <v>#REF!</v>
      </c>
      <c r="G166" s="97"/>
      <c r="H166" s="100"/>
      <c r="I166" s="10"/>
      <c r="J166" s="10"/>
      <c r="K166" s="18"/>
      <c r="L166" s="65"/>
      <c r="M166" s="66"/>
      <c r="N166" s="236"/>
    </row>
    <row r="167" spans="2:14" ht="13.15" x14ac:dyDescent="0.25">
      <c r="B167" s="62"/>
      <c r="C167" s="288" t="s">
        <v>103</v>
      </c>
      <c r="D167" s="289"/>
      <c r="E167" s="290"/>
      <c r="F167" s="260" t="e">
        <f>IF(OR(#REF!="",C5="",C6="",C7="",C8="",E7="")=TRUE,"",#REF!)</f>
        <v>#REF!</v>
      </c>
      <c r="G167" s="98" t="s">
        <v>84</v>
      </c>
      <c r="H167" s="101" t="e">
        <f>IF(F167="","",IF(ISERROR(S1174)=TRUE,"",IF(OR(C5="",C6="",C7="",C8="",E7="")=TRUE,"",S1174)))</f>
        <v>#REF!</v>
      </c>
      <c r="I167" s="74" t="e">
        <f>IF(H167="","",VLOOKUP(ROUND($H167,0),$CV$1033:$CZ$1065,2,FALSE))</f>
        <v>#REF!</v>
      </c>
      <c r="J167" s="75" t="e">
        <f>IF(H167="","",VLOOKUP(ROUND($H167,0),$CV$1033:$CZ$1065,3,FALSE))</f>
        <v>#REF!</v>
      </c>
      <c r="K167" s="253" t="e">
        <f>IF(H167="","",VLOOKUP(ROUND($H167,0),$CV$1033:$CZ$1065,4,FALSE))</f>
        <v>#REF!</v>
      </c>
      <c r="L167" s="78" t="e">
        <f>IF(H167="","",VLOOKUP(ROUND($H167,0),$CV$1033:$CZ$1065,5,FALSE))</f>
        <v>#REF!</v>
      </c>
      <c r="M167" s="76"/>
      <c r="N167" s="236"/>
    </row>
    <row r="168" spans="2:14" ht="13.15" x14ac:dyDescent="0.25">
      <c r="B168" s="62"/>
      <c r="C168" s="288" t="s">
        <v>104</v>
      </c>
      <c r="D168" s="289"/>
      <c r="E168" s="290"/>
      <c r="F168" s="260" t="e">
        <f>IF(OR(#REF!="",C5="",C6="",C7="",C8="",E7="")=TRUE,"",#REF!)</f>
        <v>#REF!</v>
      </c>
      <c r="G168" s="98" t="s">
        <v>22</v>
      </c>
      <c r="H168" s="101" t="e">
        <f>IF(F168="","",IF(OR(C5="",C6="",C7="",C8="",E7="")=TRUE,"",S1175))</f>
        <v>#REF!</v>
      </c>
      <c r="I168" s="74" t="e">
        <f>IF(H168="","",VLOOKUP(ROUND($H168,0),$CV$1073:$CZ$1076,2,FALSE))</f>
        <v>#REF!</v>
      </c>
      <c r="J168" s="75" t="e">
        <f>IF(H168="","",VLOOKUP(ROUND($H168,0),$CV$1073:$CZ$1076,3,FALSE))</f>
        <v>#REF!</v>
      </c>
      <c r="K168" s="74" t="e">
        <f>IF(H168="","",VLOOKUP(ROUND($H168,0),$CV$1073:$CZ$1076,4,FALSE))</f>
        <v>#REF!</v>
      </c>
      <c r="L168" s="78" t="e">
        <f>IF(H168="","",VLOOKUP(ROUND($H168,0),$CV$1073:$CZ$1076,5,FALSE))</f>
        <v>#REF!</v>
      </c>
      <c r="M168" s="254" t="e">
        <f>IF(H168="","",IF(I168&lt;16,"auffällig","unauffällig"))</f>
        <v>#REF!</v>
      </c>
      <c r="N168" s="236"/>
    </row>
    <row r="169" spans="2:14" ht="13.15" x14ac:dyDescent="0.25">
      <c r="B169" s="62"/>
      <c r="C169" s="288" t="s">
        <v>106</v>
      </c>
      <c r="D169" s="289"/>
      <c r="E169" s="290"/>
      <c r="F169" s="260" t="e">
        <f>IF(OR(#REF!="",C5="",C6="",C7="",C8="",E7="")=TRUE,"",#REF!)</f>
        <v>#REF!</v>
      </c>
      <c r="G169" s="98" t="s">
        <v>84</v>
      </c>
      <c r="H169" s="101" t="e">
        <f>IF(F169="","",IF(ISERROR(S1176)=TRUE,"",IF(OR(C5="",C6="",C7="",C8="",E7="")=TRUE,"",S1176)))</f>
        <v>#REF!</v>
      </c>
      <c r="I169" s="74" t="e">
        <f>IF(H169="","",VLOOKUP(ROUND($H169,0),$CV$1084:$CZ$1132,2,FALSE))</f>
        <v>#REF!</v>
      </c>
      <c r="J169" s="75" t="e">
        <f>IF(H169="","",VLOOKUP(ROUND($H169,0),$CV$1084:$CZ$1132,3,FALSE))</f>
        <v>#REF!</v>
      </c>
      <c r="K169" s="74" t="e">
        <f>IF(H169="","",VLOOKUP(ROUND($H169,0),$CV$1084:$CZ$1132,4,FALSE))</f>
        <v>#REF!</v>
      </c>
      <c r="L169" s="253" t="e">
        <f>IF(H169="","",VLOOKUP(ROUND($H169,0),$CV$1084:$CZ$1132,5,FALSE))</f>
        <v>#REF!</v>
      </c>
      <c r="M169" s="76"/>
      <c r="N169" s="236"/>
    </row>
    <row r="170" spans="2:14" ht="13.15" x14ac:dyDescent="0.25">
      <c r="B170" s="62"/>
      <c r="C170" s="288" t="s">
        <v>107</v>
      </c>
      <c r="D170" s="289"/>
      <c r="E170" s="290"/>
      <c r="F170" s="260" t="e">
        <f>IF(OR(#REF!="",C5="",C6="",C7="",C8="",E7="")=TRUE,"",#REF!)</f>
        <v>#REF!</v>
      </c>
      <c r="G170" s="98" t="s">
        <v>22</v>
      </c>
      <c r="H170" s="101" t="e">
        <f>IF(F170="","",IF(OR(C5="",C6="",C7="",C8="",E7="")=TRUE,"",S1177))</f>
        <v>#REF!</v>
      </c>
      <c r="I170" s="74" t="e">
        <f>IF(H170="","",VLOOKUP(ROUND($H170,0),$CV$1140:$CZ$1143,2,FALSE))</f>
        <v>#REF!</v>
      </c>
      <c r="J170" s="75" t="e">
        <f>IF(H170="","",VLOOKUP(ROUND($H170,0),$CV$1140:$CZ$1143,3,FALSE))</f>
        <v>#REF!</v>
      </c>
      <c r="K170" s="74" t="e">
        <f>IF(H170="","",VLOOKUP(ROUND($H170,0),$CV$1140:$CZ$1143,4,FALSE))</f>
        <v>#REF!</v>
      </c>
      <c r="L170" s="78" t="e">
        <f>IF(H170="","",VLOOKUP(ROUND($H170,0),$CV$1140:$CZ$1143,5,FALSE))</f>
        <v>#REF!</v>
      </c>
      <c r="M170" s="254" t="e">
        <f>IF(H170="","",IF(I170&lt;16,"auffällig","unauffällig"))</f>
        <v>#REF!</v>
      </c>
      <c r="N170" s="236"/>
    </row>
    <row r="171" spans="2:14" ht="13.15" x14ac:dyDescent="0.25">
      <c r="B171" s="62"/>
      <c r="C171" s="288" t="s">
        <v>108</v>
      </c>
      <c r="D171" s="289"/>
      <c r="E171" s="290"/>
      <c r="F171" s="260" t="e">
        <f>IF(OR(#REF!="",C5="",C6="",C7="",C8="",E7="")=TRUE,"",#REF!)</f>
        <v>#REF!</v>
      </c>
      <c r="G171" s="98" t="s">
        <v>22</v>
      </c>
      <c r="H171" s="101" t="e">
        <f>IF(F171="","",IF(OR(C5="",C6="",C7="",C8="",E7="")=TRUE,"",S1178))</f>
        <v>#REF!</v>
      </c>
      <c r="I171" s="74" t="e">
        <f>IF(H171="","",VLOOKUP(ROUND($H171,0),$CV$1151:$CZ$1155,2,FALSE))</f>
        <v>#REF!</v>
      </c>
      <c r="J171" s="75" t="e">
        <f>IF(H171="","",VLOOKUP(ROUND($H171,0),$CV$1151:$CZ$1155,3,FALSE))</f>
        <v>#REF!</v>
      </c>
      <c r="K171" s="74" t="e">
        <f>IF(H171="","",VLOOKUP(ROUND($H171,0),$CV$1151:$CZ$1155,4,FALSE))</f>
        <v>#REF!</v>
      </c>
      <c r="L171" s="78" t="e">
        <f>IF(H171="","",VLOOKUP(ROUND($H171,0),$CV$1151:$CZ$1155,5,FALSE))</f>
        <v>#REF!</v>
      </c>
      <c r="M171" s="254" t="e">
        <f>IF(H171="","",IF(I171&lt;16,"auffällig","unauffällig"))</f>
        <v>#REF!</v>
      </c>
      <c r="N171" s="236"/>
    </row>
    <row r="172" spans="2:14" ht="13.15" x14ac:dyDescent="0.25">
      <c r="B172" s="62"/>
      <c r="C172" s="288" t="s">
        <v>109</v>
      </c>
      <c r="D172" s="289"/>
      <c r="E172" s="290"/>
      <c r="F172" s="260" t="e">
        <f>IF(OR(#REF!="",C5="",C6="",C7="",C8="",E7="")=TRUE,"",#REF!)</f>
        <v>#REF!</v>
      </c>
      <c r="G172" s="98" t="s">
        <v>84</v>
      </c>
      <c r="H172" s="101" t="str">
        <f>IF(ISERROR(S1179)=TRUE,"",IF(OR(C5="",C6="",C7="",C8="",E7="")=TRUE,"",S1179))</f>
        <v/>
      </c>
      <c r="I172" s="74" t="str">
        <f>IF(H172="","",VLOOKUP(ROUND($H172,0),$CV$1163:$CZ$1248,2,FALSE))</f>
        <v/>
      </c>
      <c r="J172" s="75" t="str">
        <f>IF(H172="","",VLOOKUP(ROUND($H172,0),$CV$1163:$CZ$1248,3,FALSE))</f>
        <v/>
      </c>
      <c r="K172" s="74" t="str">
        <f>IF(H172="","",VLOOKUP(ROUND($H172,0),$CV$1163:$CZ$1248,4,FALSE))</f>
        <v/>
      </c>
      <c r="L172" s="253" t="str">
        <f>IF(H172="","",VLOOKUP(ROUND($H172,0),$CV$1163:$CZ$1248,5,FALSE))</f>
        <v/>
      </c>
      <c r="M172" s="76"/>
      <c r="N172" s="236"/>
    </row>
    <row r="173" spans="2:14" ht="13.15" x14ac:dyDescent="0.25">
      <c r="B173" s="62"/>
      <c r="C173" s="288" t="s">
        <v>110</v>
      </c>
      <c r="D173" s="289"/>
      <c r="E173" s="290"/>
      <c r="F173" s="260" t="e">
        <f>IF(OR(#REF!="",C5="",C6="",C7="",C8="",E7="")=TRUE,"",#REF!)</f>
        <v>#REF!</v>
      </c>
      <c r="G173" s="98" t="s">
        <v>22</v>
      </c>
      <c r="H173" s="101" t="str">
        <f>IF(ISERROR(S1180)=TRUE,"",IF(OR(C5="",C6="",C7="",C8="",E7="")=TRUE,"",S1180))</f>
        <v/>
      </c>
      <c r="I173" s="253" t="str">
        <f>IF(H173="","",VLOOKUP(ROUND($H173,0),$CV$1256:$CZ$1269,2,FALSE))</f>
        <v/>
      </c>
      <c r="J173" s="75" t="str">
        <f>IF(H173="","",VLOOKUP(ROUND($H173,0),$CV$1256:$CZ$1269,3,FALSE))</f>
        <v/>
      </c>
      <c r="K173" s="74" t="str">
        <f>IF(H173="","",VLOOKUP(ROUND($H173,0),$CV$1256:$CZ$1269,4,FALSE))</f>
        <v/>
      </c>
      <c r="L173" s="78" t="str">
        <f>IF(H173="","",VLOOKUP(ROUND($H173,0),$CV$1256:$CZ$1269,5,FALSE))</f>
        <v/>
      </c>
      <c r="M173" s="76"/>
      <c r="N173" s="236"/>
    </row>
    <row r="174" spans="2:14" ht="13.15" x14ac:dyDescent="0.25">
      <c r="B174" s="62"/>
      <c r="C174" s="288" t="s">
        <v>111</v>
      </c>
      <c r="D174" s="289"/>
      <c r="E174" s="290"/>
      <c r="F174" s="260" t="e">
        <f>IF(OR(#REF!="",C5="",C6="",C7="",C8="",E7="")=TRUE,"",#REF!)</f>
        <v>#REF!</v>
      </c>
      <c r="G174" s="98" t="s">
        <v>22</v>
      </c>
      <c r="H174" s="101" t="e">
        <f>IF(F174="","",IF(OR(C5="",C6="",C7="",C8="",E7="")=TRUE,"",S1181))</f>
        <v>#REF!</v>
      </c>
      <c r="I174" s="74" t="e">
        <f>IF(H174="","",VLOOKUP(ROUND($H174,0),$CV$1277:$CZ$1280,2,FALSE))</f>
        <v>#REF!</v>
      </c>
      <c r="J174" s="75" t="e">
        <f>IF(H174="","",VLOOKUP(ROUND($H174,0),$CV$1277:$CZ$1280,3,FALSE))</f>
        <v>#REF!</v>
      </c>
      <c r="K174" s="74" t="e">
        <f>IF(H174="","",VLOOKUP(ROUND($H174,0),$CV$1277:$CZ$1280,4,FALSE))</f>
        <v>#REF!</v>
      </c>
      <c r="L174" s="78" t="e">
        <f>IF(H174="","",VLOOKUP(ROUND($H174,0),$CV$1277:$CZ$1280,5,FALSE))</f>
        <v>#REF!</v>
      </c>
      <c r="M174" s="254" t="e">
        <f>IF(H174="","",IF(I174&lt;16,"auffällig","unauffällig"))</f>
        <v>#REF!</v>
      </c>
      <c r="N174" s="236"/>
    </row>
    <row r="175" spans="2:14" ht="13.15" x14ac:dyDescent="0.25">
      <c r="B175" s="63"/>
      <c r="C175" s="309" t="s">
        <v>112</v>
      </c>
      <c r="D175" s="310"/>
      <c r="E175" s="311"/>
      <c r="F175" s="260" t="e">
        <f>IF(OR(#REF!="",C5="",C6="",C7="",C8="",E7="")=TRUE,"",#REF!)</f>
        <v>#REF!</v>
      </c>
      <c r="G175" s="46" t="s">
        <v>113</v>
      </c>
      <c r="H175" s="102" t="str">
        <f>IF(ISERROR(S1182)=TRUE,"",IF(OR(C5="",C6="",C7="",C8="",E7="")=TRUE,"",S1182))</f>
        <v/>
      </c>
      <c r="I175" s="68" t="str">
        <f>IF(H175="","",VLOOKUP(ROUND($H175,0),$CV$1288:$CZ$1369,2,FALSE))</f>
        <v/>
      </c>
      <c r="J175" s="16" t="str">
        <f>IF(H175="","",VLOOKUP(ROUND($H175,0),$CV$1288:$CZ$1369,3,FALSE))</f>
        <v/>
      </c>
      <c r="K175" s="256" t="str">
        <f>IF(H175="","",VLOOKUP(ROUND($H175,0),$CV$1288:$CZ$1369,4,FALSE))</f>
        <v/>
      </c>
      <c r="L175" s="69" t="str">
        <f>IF(H175="","",VLOOKUP(ROUND($H175,0),$CV$1288:$CZ$1369,5,FALSE))</f>
        <v/>
      </c>
      <c r="M175" s="67"/>
      <c r="N175" s="236"/>
    </row>
    <row r="176" spans="2:14" ht="8.15" customHeight="1" x14ac:dyDescent="0.25">
      <c r="B176" s="84"/>
      <c r="C176" s="13"/>
      <c r="D176" s="13"/>
      <c r="E176" s="13"/>
      <c r="F176" s="190"/>
      <c r="G176" s="85"/>
      <c r="H176" s="85"/>
      <c r="I176" s="85"/>
      <c r="J176" s="85"/>
      <c r="K176" s="85"/>
      <c r="L176" s="85"/>
      <c r="M176" s="14"/>
      <c r="N176" s="236"/>
    </row>
    <row r="177" spans="2:14" ht="13.15" x14ac:dyDescent="0.2">
      <c r="B177" s="134" t="s">
        <v>369</v>
      </c>
      <c r="C177" s="8"/>
      <c r="D177" s="8"/>
      <c r="E177" s="8"/>
      <c r="F177" s="83"/>
      <c r="G177" s="9"/>
      <c r="H177" s="86"/>
      <c r="I177" s="87"/>
      <c r="J177" s="88"/>
      <c r="K177" s="88"/>
      <c r="L177" s="87"/>
      <c r="M177" s="89"/>
      <c r="N177" s="236"/>
    </row>
    <row r="178" spans="2:14" ht="13.15" x14ac:dyDescent="0.25">
      <c r="B178" s="62"/>
      <c r="C178" s="291" t="s">
        <v>18</v>
      </c>
      <c r="D178" s="292"/>
      <c r="E178" s="293"/>
      <c r="F178" s="260" t="e">
        <f>IF(#REF!="","",#REF!)</f>
        <v>#REF!</v>
      </c>
      <c r="G178" s="97" t="s">
        <v>19</v>
      </c>
      <c r="H178" s="99" t="s">
        <v>12</v>
      </c>
      <c r="I178" s="10" t="s">
        <v>13</v>
      </c>
      <c r="J178" s="11" t="s">
        <v>14</v>
      </c>
      <c r="K178" s="11" t="s">
        <v>15</v>
      </c>
      <c r="L178" s="10" t="s">
        <v>16</v>
      </c>
      <c r="M178" s="66" t="s">
        <v>316</v>
      </c>
      <c r="N178" s="236"/>
    </row>
    <row r="179" spans="2:14" ht="13.15" x14ac:dyDescent="0.25">
      <c r="B179" s="62"/>
      <c r="C179" s="294" t="s">
        <v>20</v>
      </c>
      <c r="D179" s="295"/>
      <c r="E179" s="296"/>
      <c r="F179" s="261" t="e">
        <f>IF(#REF!="","",#REF!)</f>
        <v>#REF!</v>
      </c>
      <c r="G179" s="97"/>
      <c r="H179" s="100"/>
      <c r="I179" s="10"/>
      <c r="J179" s="10"/>
      <c r="K179" s="18"/>
      <c r="L179" s="65"/>
      <c r="M179" s="66"/>
      <c r="N179" s="236"/>
    </row>
    <row r="180" spans="2:14" ht="13.15" x14ac:dyDescent="0.25">
      <c r="B180" s="62"/>
      <c r="C180" s="288" t="s">
        <v>115</v>
      </c>
      <c r="D180" s="289"/>
      <c r="E180" s="290"/>
      <c r="F180" s="264" t="e">
        <f>IF(OR(#REF!="",C5="",C6="",C7="",C8="",E7="")=TRUE,"",#REF!)</f>
        <v>#REF!</v>
      </c>
      <c r="G180" s="98" t="s">
        <v>22</v>
      </c>
      <c r="H180" s="101" t="e">
        <f>IF(F180="","",IF(ISERROR(S1186)=TRUE,"",IF(OR(C5="",C6="",C7="",C8="",E7="")=TRUE,"",S1186)))</f>
        <v>#REF!</v>
      </c>
      <c r="I180" s="253" t="e">
        <f>IF(H180="","",VLOOKUP(ROUND($H180,0),$DB$1033:$DF$1062,2,FALSE))</f>
        <v>#REF!</v>
      </c>
      <c r="J180" s="75" t="e">
        <f>IF(H180="","",VLOOKUP(ROUND($H180,0),$DB$1033:$DF$1062,3,FALSE))</f>
        <v>#REF!</v>
      </c>
      <c r="K180" s="74" t="e">
        <f>IF(H180="","",VLOOKUP(ROUND($H180,0),$DB$1033:$DF$1062,4,FALSE))</f>
        <v>#REF!</v>
      </c>
      <c r="L180" s="78" t="e">
        <f>IF(H180="","",VLOOKUP(ROUND($H180,0),$DB$1033:$DF$1062,5,FALSE))</f>
        <v>#REF!</v>
      </c>
      <c r="M180" s="76"/>
      <c r="N180" s="236"/>
    </row>
    <row r="181" spans="2:14" ht="12.7" customHeight="1" x14ac:dyDescent="0.25">
      <c r="B181" s="62"/>
      <c r="C181" s="288" t="s">
        <v>80</v>
      </c>
      <c r="D181" s="289"/>
      <c r="E181" s="290"/>
      <c r="F181" s="264" t="e">
        <f>IF(OR(#REF!="",C5="",C6="",C7="",C8="",E7="")=TRUE,"",#REF!)</f>
        <v>#REF!</v>
      </c>
      <c r="G181" s="98" t="s">
        <v>22</v>
      </c>
      <c r="H181" s="101" t="str">
        <f>IF(ISERROR(S1187)=TRUE,"",IF(OR(C5="",C6="",C7="",C8="",E7="")=TRUE,"",S1187))</f>
        <v/>
      </c>
      <c r="I181" s="253" t="str">
        <f>IF(H181="","",VLOOKUP(ROUND($H181,0),$DB$1070:$DF$1075,2,FALSE))</f>
        <v/>
      </c>
      <c r="J181" s="75" t="str">
        <f>IF(H181="","",VLOOKUP(ROUND($H181,0),$DB$1070:$DF$1075,3,FALSE))</f>
        <v/>
      </c>
      <c r="K181" s="74" t="str">
        <f>IF(H181="","",VLOOKUP(ROUND($H181,0),$DB$1070:$DF$1075,4,FALSE))</f>
        <v/>
      </c>
      <c r="L181" s="78" t="str">
        <f>IF(H181="","",VLOOKUP(ROUND($H181,0),$DB$1070:$DF$1075,5,FALSE))</f>
        <v/>
      </c>
      <c r="M181" s="76"/>
      <c r="N181" s="236"/>
    </row>
    <row r="182" spans="2:14" ht="13.15" x14ac:dyDescent="0.25">
      <c r="B182" s="62"/>
      <c r="C182" s="288" t="s">
        <v>116</v>
      </c>
      <c r="D182" s="289"/>
      <c r="E182" s="290"/>
      <c r="F182" s="263" t="e">
        <f>IF(OR(#REF!="",C5="",C6="",C7="",C8="",E7="")=TRUE,"",#REF!)</f>
        <v>#REF!</v>
      </c>
      <c r="G182" s="98" t="s">
        <v>117</v>
      </c>
      <c r="H182" s="103" t="str">
        <f>IF(ISERROR(S1188)=TRUE,"",IF(OR(C5="",C6="",C7="",C8="",E7="")=TRUE,"",S1188))</f>
        <v/>
      </c>
      <c r="I182" s="253" t="str">
        <f>IF(H182="","",VLOOKUP(ROUND($H182*100,0),$DA$1083:$DF$1130,3,FALSE))</f>
        <v/>
      </c>
      <c r="J182" s="75" t="str">
        <f>IF(H182="","",VLOOKUP(ROUND($H182*100,0),$DA$1083:$DF$1130,4,FALSE))</f>
        <v/>
      </c>
      <c r="K182" s="74" t="str">
        <f>IF(H182="","",VLOOKUP(ROUND($H182*100,0),$DA$1083:$DF$1130,5,FALSE))</f>
        <v/>
      </c>
      <c r="L182" s="78" t="str">
        <f>IF(H182="","",VLOOKUP(ROUND($H182*100,0),$DA$1083:$DF$1130,6,FALSE))</f>
        <v/>
      </c>
      <c r="M182" s="76"/>
      <c r="N182" s="236"/>
    </row>
    <row r="183" spans="2:14" ht="13.15" x14ac:dyDescent="0.25">
      <c r="B183" s="62"/>
      <c r="C183" s="288" t="s">
        <v>118</v>
      </c>
      <c r="D183" s="289"/>
      <c r="E183" s="290"/>
      <c r="F183" s="263" t="e">
        <f>IF(OR(#REF!="",C5="",C6="",C7="",C8="",E7="")=TRUE,"",#REF!)</f>
        <v>#REF!</v>
      </c>
      <c r="G183" s="98" t="s">
        <v>117</v>
      </c>
      <c r="H183" s="103" t="e">
        <f>IF(F183="","",IF(OR(C5="",C6="",C7="",C8="",E7="")=TRUE,"",S1189))</f>
        <v>#REF!</v>
      </c>
      <c r="I183" s="74" t="e">
        <f>IF(H183="","",VLOOKUP(ROUND($H183*10,0),$DA$1202:$DF$1210,3,FALSE))</f>
        <v>#REF!</v>
      </c>
      <c r="J183" s="75" t="e">
        <f>IF(H183="","",VLOOKUP(ROUND($H183*10,0),$DA$1202:$DF$1210,4,FALSE))</f>
        <v>#REF!</v>
      </c>
      <c r="K183" s="74" t="e">
        <f>IF(H183="","",VLOOKUP(ROUND($H183*10,0),$DA$1202:$DF$1210,5,FALSE))</f>
        <v>#REF!</v>
      </c>
      <c r="L183" s="78" t="e">
        <f>IF(H183="","",VLOOKUP(ROUND($H183*10,0),$DA$1202:$DF$1210,6,FALSE))</f>
        <v>#REF!</v>
      </c>
      <c r="M183" s="254" t="e">
        <f>IF(H183="","",IF(I183&lt;16,"auffällig","unauffällig"))</f>
        <v>#REF!</v>
      </c>
      <c r="N183" s="236"/>
    </row>
    <row r="184" spans="2:14" ht="13.15" x14ac:dyDescent="0.25">
      <c r="B184" s="62"/>
      <c r="C184" s="288" t="s">
        <v>119</v>
      </c>
      <c r="D184" s="289"/>
      <c r="E184" s="290"/>
      <c r="F184" s="263" t="e">
        <f>IF(OR(#REF!="",C5="",C6="",C7="",C8="",E7="")=TRUE,"",#REF!)</f>
        <v>#REF!</v>
      </c>
      <c r="G184" s="98" t="s">
        <v>117</v>
      </c>
      <c r="H184" s="103" t="e">
        <f>IF(F184="","",IF(OR(C5="",C6="",C7="",C8="",E7="")=TRUE,"",S1190))</f>
        <v>#REF!</v>
      </c>
      <c r="I184" s="74" t="e">
        <f>IF(H184="","",VLOOKUP(ROUND($H184*10,0),$DA$1218:$DF$1224,3,FALSE))</f>
        <v>#REF!</v>
      </c>
      <c r="J184" s="75" t="e">
        <f>IF(H184="","",VLOOKUP(ROUND($H184*10,0),$DA$1218:$DF$1224,4,FALSE))</f>
        <v>#REF!</v>
      </c>
      <c r="K184" s="74" t="e">
        <f>IF(H184="","",VLOOKUP(ROUND($H184*10,0),$DA$1218:$DF$1224,5,FALSE))</f>
        <v>#REF!</v>
      </c>
      <c r="L184" s="78" t="e">
        <f>IF(H184="","",VLOOKUP(ROUND($H184*10,0),$DA$1218:$DF$1224,6,FALSE))</f>
        <v>#REF!</v>
      </c>
      <c r="M184" s="254" t="e">
        <f>IF(H184="","",IF(I184&lt;16,"auffällig","unauffällig"))</f>
        <v>#REF!</v>
      </c>
      <c r="N184" s="236"/>
    </row>
    <row r="185" spans="2:14" ht="13.15" x14ac:dyDescent="0.25">
      <c r="B185" s="62"/>
      <c r="C185" s="288" t="s">
        <v>120</v>
      </c>
      <c r="D185" s="289"/>
      <c r="E185" s="290"/>
      <c r="F185" s="264" t="e">
        <f>IF(OR(#REF!="",C5="",C6="",C7="",C8="",E7="")=TRUE,"",#REF!)</f>
        <v>#REF!</v>
      </c>
      <c r="G185" s="98" t="s">
        <v>22</v>
      </c>
      <c r="H185" s="101" t="e">
        <f>IF(F185="","",IF(OR(C5="",C6="",C7="",C8="",E7="")=TRUE,"",S1191))</f>
        <v>#REF!</v>
      </c>
      <c r="I185" s="74" t="e">
        <f>IF(H185="","",VLOOKUP(ROUND($H185,0),$DB$1232:$DF$1238,2,FALSE))</f>
        <v>#REF!</v>
      </c>
      <c r="J185" s="75" t="e">
        <f>IF(H185="","",VLOOKUP(ROUND($H185,0),$DB$1232:$DF$1238,3,FALSE))</f>
        <v>#REF!</v>
      </c>
      <c r="K185" s="74" t="e">
        <f>IF(H185="","",VLOOKUP(ROUND($H185,0),$DB$1232:$DF$1238,4,FALSE))</f>
        <v>#REF!</v>
      </c>
      <c r="L185" s="78" t="e">
        <f>IF(H185="","",VLOOKUP(ROUND($H185,0),$DB$1232:$DF$1238,5,FALSE))</f>
        <v>#REF!</v>
      </c>
      <c r="M185" s="254" t="e">
        <f>IF(H185="","",IF(I185&lt;16,"auffällig","unauffällig"))</f>
        <v>#REF!</v>
      </c>
      <c r="N185" s="236"/>
    </row>
    <row r="186" spans="2:14" ht="13.15" x14ac:dyDescent="0.25">
      <c r="B186" s="62"/>
      <c r="C186" s="288" t="s">
        <v>121</v>
      </c>
      <c r="D186" s="289"/>
      <c r="E186" s="290"/>
      <c r="F186" s="264" t="e">
        <f>IF(OR(#REF!="",C5="",C6="",C7="",C8="",E7="")=TRUE,"",#REF!)</f>
        <v>#REF!</v>
      </c>
      <c r="G186" s="98" t="s">
        <v>122</v>
      </c>
      <c r="H186" s="101" t="str">
        <f>IF(ISERROR(S1192)=TRUE,"",IF(OR(C5="",C6="",C7="",C8="",E7="")=TRUE,"",S1192))</f>
        <v/>
      </c>
      <c r="I186" s="253" t="str">
        <f>IF(H186="","",VLOOKUP(ROUND($H186,0),$DB$1246:$DF$1325,2,FALSE))</f>
        <v/>
      </c>
      <c r="J186" s="75" t="str">
        <f>IF(H186="","",VLOOKUP(ROUND($H186,0),$DB$1246:$DF$1325,3,FALSE))</f>
        <v/>
      </c>
      <c r="K186" s="74" t="str">
        <f>IF(H186="","",VLOOKUP(ROUND($H186,0),$DB$1246:$DF$1325,4,FALSE))</f>
        <v/>
      </c>
      <c r="L186" s="78" t="str">
        <f>IF(H186="","",VLOOKUP(ROUND($H186,0),$DB$1246:$DF$1325,5,FALSE))</f>
        <v/>
      </c>
      <c r="M186" s="77"/>
      <c r="N186" s="236"/>
    </row>
    <row r="187" spans="2:14" ht="13.15" x14ac:dyDescent="0.25">
      <c r="B187" s="62"/>
      <c r="C187" s="288" t="s">
        <v>123</v>
      </c>
      <c r="D187" s="289"/>
      <c r="E187" s="290"/>
      <c r="F187" s="264" t="e">
        <f>IF(OR(#REF!="",C5="",C6="",C7="",C8="",E7="")=TRUE,"",#REF!)</f>
        <v>#REF!</v>
      </c>
      <c r="G187" s="98" t="s">
        <v>122</v>
      </c>
      <c r="H187" s="101" t="str">
        <f>IF(ISERROR(S1193)=TRUE,"",IF(OR(C5="",C6="",C7="",C8="",E7="")=TRUE,"",S1193))</f>
        <v/>
      </c>
      <c r="I187" s="253" t="str">
        <f>IF(H187="","",VLOOKUP(ROUND($H187,0),$DB$1333:$DF$1408,2,FALSE))</f>
        <v/>
      </c>
      <c r="J187" s="75" t="str">
        <f>IF(H187="","",VLOOKUP(ROUND($H187,0),$DB$1333:$DF$1408,3,FALSE))</f>
        <v/>
      </c>
      <c r="K187" s="74" t="str">
        <f>IF(H187="","",VLOOKUP(ROUND($H187,0),$DB$1333:$DF$1408,4,FALSE))</f>
        <v/>
      </c>
      <c r="L187" s="78" t="str">
        <f>IF(H187="","",VLOOKUP(ROUND($H187,0),$DB$1333:$DF$1408,5,FALSE))</f>
        <v/>
      </c>
      <c r="M187" s="77"/>
      <c r="N187" s="236"/>
    </row>
    <row r="188" spans="2:14" ht="13.15" x14ac:dyDescent="0.25">
      <c r="B188" s="62"/>
      <c r="C188" s="288" t="s">
        <v>124</v>
      </c>
      <c r="D188" s="289"/>
      <c r="E188" s="290"/>
      <c r="F188" s="264" t="e">
        <f>IF(OR(#REF!="",C5="",C6="",C7="",C8="",E7="")=TRUE,"",#REF!)</f>
        <v>#REF!</v>
      </c>
      <c r="G188" s="98" t="s">
        <v>122</v>
      </c>
      <c r="H188" s="101" t="str">
        <f>IF(ISERROR(S1194)=TRUE,"",IF(OR(C5="",C6="",C7="",C8="",E7="")=TRUE,"",S1194))</f>
        <v/>
      </c>
      <c r="I188" s="253" t="str">
        <f>IF(H188="","",VLOOKUP(ROUND($H188,0),$DB$1416:$DF$1503,2,FALSE))</f>
        <v/>
      </c>
      <c r="J188" s="75" t="str">
        <f>IF(H188="","",VLOOKUP(ROUND($H188,0),$DB$1416:$DF$1503,3,FALSE))</f>
        <v/>
      </c>
      <c r="K188" s="74" t="str">
        <f>IF(H188="","",VLOOKUP(ROUND($H188,0),$DB$1416:$DF$1503,4,FALSE))</f>
        <v/>
      </c>
      <c r="L188" s="78" t="str">
        <f>IF(H188="","",VLOOKUP(ROUND($H188,0),$DB$1416:$DF$1503,5,FALSE))</f>
        <v/>
      </c>
      <c r="M188" s="77"/>
      <c r="N188" s="236"/>
    </row>
    <row r="189" spans="2:14" ht="13.15" x14ac:dyDescent="0.25">
      <c r="B189" s="62"/>
      <c r="C189" s="288" t="s">
        <v>125</v>
      </c>
      <c r="D189" s="289"/>
      <c r="E189" s="290"/>
      <c r="F189" s="264" t="e">
        <f>IF(OR(#REF!="",C5="",C6="",C7="",C8="",E7="")=TRUE,"",#REF!)</f>
        <v>#REF!</v>
      </c>
      <c r="G189" s="98" t="s">
        <v>122</v>
      </c>
      <c r="H189" s="101" t="str">
        <f>IF(ISERROR(S1195)=TRUE,"",IF(OR(C5="",C6="",C7="",C8="",E7="")=TRUE,"",S1195))</f>
        <v/>
      </c>
      <c r="I189" s="253" t="str">
        <f>IF(H189="","",VLOOKUP(ROUND($H189,0),$DB$1511:$DF$1591,2,FALSE))</f>
        <v/>
      </c>
      <c r="J189" s="75" t="str">
        <f>IF(H189="","",VLOOKUP(ROUND($H189,0),$DB$1511:$DF$1591,3,FALSE))</f>
        <v/>
      </c>
      <c r="K189" s="74" t="str">
        <f>IF(H189="","",VLOOKUP(ROUND($H189,0),$DB$1511:$DF$1591,4,FALSE))</f>
        <v/>
      </c>
      <c r="L189" s="78" t="str">
        <f>IF(H189="","",VLOOKUP(ROUND($H189,0),$DB$1511:$DF$1591,5,FALSE))</f>
        <v/>
      </c>
      <c r="M189" s="77"/>
      <c r="N189" s="236"/>
    </row>
    <row r="190" spans="2:14" ht="13.15" x14ac:dyDescent="0.25">
      <c r="B190" s="62"/>
      <c r="C190" s="288" t="s">
        <v>126</v>
      </c>
      <c r="D190" s="289"/>
      <c r="E190" s="290"/>
      <c r="F190" s="264" t="e">
        <f>IF(OR(#REF!="",C5="",C6="",C7="",C8="",E7="")=TRUE,"",#REF!)</f>
        <v>#REF!</v>
      </c>
      <c r="G190" s="98" t="s">
        <v>122</v>
      </c>
      <c r="H190" s="101" t="str">
        <f>IF(ISERROR(S1196)=TRUE,"",IF(OR(C5="",C6="",C7="",C8="",E7="")=TRUE,"",S1196))</f>
        <v/>
      </c>
      <c r="I190" s="253" t="str">
        <f>IF(H190="","",VLOOKUP(ROUND($H190,0),$DB$1599:$DF$1692,2,FALSE))</f>
        <v/>
      </c>
      <c r="J190" s="75" t="str">
        <f>IF(H190="","",VLOOKUP(ROUND($H190,0),$DB$1599:$DF$1692,3,FALSE))</f>
        <v/>
      </c>
      <c r="K190" s="74" t="str">
        <f>IF(H190="","",VLOOKUP(ROUND($H190,0),$DB$1599:$DF$1692,4,FALSE))</f>
        <v/>
      </c>
      <c r="L190" s="78" t="str">
        <f>IF(H190="","",VLOOKUP(ROUND($H190,0),$DB$1599:$DF$1692,5,FALSE))</f>
        <v/>
      </c>
      <c r="M190" s="77"/>
      <c r="N190" s="236"/>
    </row>
    <row r="191" spans="2:14" ht="13.15" x14ac:dyDescent="0.25">
      <c r="B191" s="63"/>
      <c r="C191" s="309" t="s">
        <v>127</v>
      </c>
      <c r="D191" s="310"/>
      <c r="E191" s="311"/>
      <c r="F191" s="264" t="e">
        <f>IF(OR(#REF!="",C5="",C6="",C7="",C8="",E7="")=TRUE,"",#REF!)</f>
        <v>#REF!</v>
      </c>
      <c r="G191" s="46" t="s">
        <v>122</v>
      </c>
      <c r="H191" s="102" t="str">
        <f>IF(ISERROR(S1197)=TRUE,"",IF(OR(C5="",C6="",C7="",C8="",E7="")=TRUE,"",S1197))</f>
        <v/>
      </c>
      <c r="I191" s="258" t="str">
        <f>IF(H191="","",VLOOKUP(ROUND($H191,0),$DB$1700:$DF$1785,2,FALSE))</f>
        <v/>
      </c>
      <c r="J191" s="16" t="str">
        <f>IF(H191="","",VLOOKUP(ROUND($H191,0),$DB$1700:$DF$1785,3,FALSE))</f>
        <v/>
      </c>
      <c r="K191" s="68" t="str">
        <f>IF(H191="","",VLOOKUP(ROUND($H191,0),$DB$1700:$DF$1785,4,FALSE))</f>
        <v/>
      </c>
      <c r="L191" s="69" t="str">
        <f>IF(H191="","",VLOOKUP(ROUND($H191,0),$DB$1700:$DF$1785,5,FALSE))</f>
        <v/>
      </c>
      <c r="M191" s="19"/>
      <c r="N191" s="236"/>
    </row>
    <row r="192" spans="2:14" ht="13.15" x14ac:dyDescent="0.25">
      <c r="B192" s="1"/>
      <c r="C192" s="6"/>
      <c r="D192" s="6"/>
      <c r="E192" s="6"/>
      <c r="F192" s="72"/>
      <c r="G192" s="22"/>
      <c r="H192" s="64"/>
      <c r="I192" s="64"/>
      <c r="J192" s="10"/>
      <c r="K192" s="18"/>
      <c r="L192" s="65"/>
      <c r="M192" s="6"/>
      <c r="N192" s="236"/>
    </row>
    <row r="193" spans="2:14" ht="13.15" x14ac:dyDescent="0.25">
      <c r="B193" s="133" t="s">
        <v>374</v>
      </c>
      <c r="F193" s="114" t="s">
        <v>375</v>
      </c>
      <c r="N193" s="236"/>
    </row>
    <row r="194" spans="2:14" ht="8.15" customHeight="1" x14ac:dyDescent="0.25">
      <c r="B194" s="93"/>
      <c r="C194" s="95"/>
      <c r="D194" s="95"/>
      <c r="E194" s="95"/>
      <c r="F194" s="191"/>
      <c r="G194" s="96"/>
      <c r="H194" s="96"/>
      <c r="I194" s="96"/>
      <c r="J194" s="96"/>
      <c r="K194" s="96"/>
      <c r="L194" s="96"/>
      <c r="M194" s="96"/>
      <c r="N194" s="236"/>
    </row>
    <row r="195" spans="2:14" ht="17.55" x14ac:dyDescent="0.25">
      <c r="B195" s="243" t="s">
        <v>319</v>
      </c>
      <c r="C195" s="244"/>
      <c r="D195" s="244"/>
      <c r="E195" s="244"/>
      <c r="F195" s="248"/>
      <c r="G195" s="246"/>
      <c r="H195" s="246"/>
      <c r="I195" s="249"/>
      <c r="J195" s="250"/>
      <c r="K195" s="249"/>
      <c r="L195" s="251"/>
      <c r="M195" s="252"/>
      <c r="N195" s="236"/>
    </row>
    <row r="196" spans="2:14" ht="8.15" customHeight="1" x14ac:dyDescent="0.25">
      <c r="B196" s="84"/>
      <c r="C196" s="13"/>
      <c r="D196" s="13"/>
      <c r="E196" s="13"/>
      <c r="F196" s="190"/>
      <c r="G196" s="85"/>
      <c r="H196" s="85"/>
      <c r="I196" s="85"/>
      <c r="J196" s="85"/>
      <c r="K196" s="85"/>
      <c r="L196" s="85"/>
      <c r="M196" s="14"/>
      <c r="N196" s="236"/>
    </row>
    <row r="197" spans="2:14" ht="13.15" x14ac:dyDescent="0.2">
      <c r="B197" s="134" t="s">
        <v>320</v>
      </c>
      <c r="C197" s="8"/>
      <c r="D197" s="8"/>
      <c r="E197" s="8"/>
      <c r="F197" s="232" t="s">
        <v>13</v>
      </c>
      <c r="G197" s="9"/>
      <c r="H197" s="87"/>
      <c r="I197" s="237" t="s">
        <v>393</v>
      </c>
      <c r="K197" s="88"/>
      <c r="L197" s="87"/>
      <c r="M197" s="89"/>
      <c r="N197" s="236"/>
    </row>
    <row r="198" spans="2:14" ht="13.15" x14ac:dyDescent="0.25">
      <c r="B198" s="62"/>
      <c r="C198" s="291" t="s">
        <v>50</v>
      </c>
      <c r="D198" s="292"/>
      <c r="E198" s="292"/>
      <c r="F198" s="273" t="str">
        <f>IF(C2="","",C2)</f>
        <v>A</v>
      </c>
      <c r="G198" s="22" t="s">
        <v>19</v>
      </c>
      <c r="H198" s="99"/>
      <c r="I198" s="10" t="s">
        <v>13</v>
      </c>
      <c r="J198" s="11" t="s">
        <v>14</v>
      </c>
      <c r="K198" s="11" t="s">
        <v>15</v>
      </c>
      <c r="L198" s="10" t="s">
        <v>16</v>
      </c>
      <c r="M198" s="66"/>
      <c r="N198" s="236"/>
    </row>
    <row r="199" spans="2:14" ht="13.15" x14ac:dyDescent="0.25">
      <c r="B199" s="62"/>
      <c r="C199" s="294" t="s">
        <v>20</v>
      </c>
      <c r="D199" s="295"/>
      <c r="E199" s="295"/>
      <c r="F199" s="274" t="str">
        <f>IF($C$8="","",$C$8)</f>
        <v/>
      </c>
      <c r="G199" s="22"/>
      <c r="H199" s="100"/>
      <c r="I199" s="237"/>
      <c r="J199" s="10"/>
      <c r="K199" s="18"/>
      <c r="L199" s="65"/>
      <c r="M199" s="66"/>
      <c r="N199" s="236"/>
    </row>
    <row r="200" spans="2:14" ht="13.15" x14ac:dyDescent="0.25">
      <c r="B200" s="62"/>
      <c r="C200" s="288" t="s">
        <v>340</v>
      </c>
      <c r="D200" s="289"/>
      <c r="E200" s="289"/>
      <c r="F200" s="275" t="str">
        <f>IF(I200="","",I200)</f>
        <v/>
      </c>
      <c r="G200" s="105" t="s">
        <v>13</v>
      </c>
      <c r="H200" s="101"/>
      <c r="I200" s="262"/>
      <c r="J200" s="79" t="str">
        <f>IF(F200="","",(L200-50)/10)</f>
        <v/>
      </c>
      <c r="K200" s="80" t="str">
        <f>IF(F200="","",(((L200-50)/10)*2)+5)</f>
        <v/>
      </c>
      <c r="L200" s="78" t="str">
        <f>IF(F200="","",LOOKUP($F200*100,$T$1205:$T$1267,$V$1205:$V$1267))</f>
        <v/>
      </c>
      <c r="M200" s="76"/>
      <c r="N200" s="236"/>
    </row>
    <row r="201" spans="2:14" ht="13.15" x14ac:dyDescent="0.25">
      <c r="B201" s="62"/>
      <c r="C201" s="288" t="s">
        <v>341</v>
      </c>
      <c r="D201" s="289"/>
      <c r="E201" s="289"/>
      <c r="F201" s="275" t="str">
        <f>IF(I201="","",I201)</f>
        <v/>
      </c>
      <c r="G201" s="105" t="s">
        <v>13</v>
      </c>
      <c r="H201" s="101"/>
      <c r="I201" s="265"/>
      <c r="J201" s="79" t="str">
        <f>IF(F201="","",(L201-50)/10)</f>
        <v/>
      </c>
      <c r="K201" s="80" t="str">
        <f>IF(F201="","",(((L201-50)/10)*2)+5)</f>
        <v/>
      </c>
      <c r="L201" s="78" t="str">
        <f>IF(F201="","",LOOKUP($F201*100,$T$1205:$T$1267,$V$1205:$V$1267))</f>
        <v/>
      </c>
      <c r="M201" s="76"/>
      <c r="N201" s="236"/>
    </row>
    <row r="202" spans="2:14" ht="13.15" x14ac:dyDescent="0.25">
      <c r="B202" s="62"/>
      <c r="C202" s="288" t="s">
        <v>342</v>
      </c>
      <c r="D202" s="289"/>
      <c r="E202" s="289"/>
      <c r="F202" s="275" t="str">
        <f>IF(I202="","",I202)</f>
        <v/>
      </c>
      <c r="G202" s="105" t="s">
        <v>13</v>
      </c>
      <c r="H202" s="101"/>
      <c r="I202" s="265"/>
      <c r="J202" s="79" t="str">
        <f>IF(F202="","",(L202-50)/10)</f>
        <v/>
      </c>
      <c r="K202" s="80" t="str">
        <f>IF(F202="","",(((L202-50)/10)*2)+5)</f>
        <v/>
      </c>
      <c r="L202" s="78" t="str">
        <f>IF(F202="","",LOOKUP($F202*100,$T$1205:$T$1267,$V$1205:$V$1267))</f>
        <v/>
      </c>
      <c r="M202" s="81"/>
      <c r="N202" s="236"/>
    </row>
    <row r="203" spans="2:14" ht="13.15" x14ac:dyDescent="0.25">
      <c r="B203" s="62"/>
      <c r="C203" s="288" t="s">
        <v>343</v>
      </c>
      <c r="D203" s="289"/>
      <c r="E203" s="289"/>
      <c r="F203" s="275" t="str">
        <f>IF(I203="","",I203)</f>
        <v/>
      </c>
      <c r="G203" s="105" t="s">
        <v>13</v>
      </c>
      <c r="H203" s="101"/>
      <c r="I203" s="265"/>
      <c r="J203" s="79" t="str">
        <f>IF(F203="","",(L203-50)/10)</f>
        <v/>
      </c>
      <c r="K203" s="80" t="str">
        <f>IF(F203="","",(((L203-50)/10)*2)+5)</f>
        <v/>
      </c>
      <c r="L203" s="78" t="str">
        <f>IF(F203="","",LOOKUP($F203*100,$T$1205:$T$1267,$V$1205:$V$1267))</f>
        <v/>
      </c>
      <c r="M203" s="76"/>
      <c r="N203" s="236"/>
    </row>
    <row r="204" spans="2:14" ht="13.15" x14ac:dyDescent="0.25">
      <c r="B204" s="62"/>
      <c r="C204" s="309" t="s">
        <v>344</v>
      </c>
      <c r="D204" s="310"/>
      <c r="E204" s="310"/>
      <c r="F204" s="276" t="str">
        <f>IF(I204="","",I204)</f>
        <v/>
      </c>
      <c r="G204" s="22" t="s">
        <v>13</v>
      </c>
      <c r="H204" s="102"/>
      <c r="I204" s="265"/>
      <c r="J204" s="79" t="str">
        <f>IF(F204="","",(L204-50)/10)</f>
        <v/>
      </c>
      <c r="K204" s="80" t="str">
        <f>IF(F204="","",(((L204-50)/10)*2)+5)</f>
        <v/>
      </c>
      <c r="L204" s="65" t="str">
        <f>IF(F204="","",LOOKUP($F204*100,$T$1205:$T$1267,$V$1205:$V$1267))</f>
        <v/>
      </c>
      <c r="M204" s="66"/>
      <c r="N204" s="236"/>
    </row>
    <row r="205" spans="2:14" ht="8.15" customHeight="1" x14ac:dyDescent="0.25">
      <c r="B205" s="84"/>
      <c r="C205" s="13"/>
      <c r="D205" s="13"/>
      <c r="E205" s="13"/>
      <c r="F205" s="190"/>
      <c r="G205" s="85"/>
      <c r="H205" s="85"/>
      <c r="I205" s="85"/>
      <c r="J205" s="85"/>
      <c r="K205" s="85"/>
      <c r="L205" s="85"/>
      <c r="M205" s="14"/>
      <c r="N205" s="236"/>
    </row>
    <row r="206" spans="2:14" ht="13.15" x14ac:dyDescent="0.2">
      <c r="B206" s="134" t="s">
        <v>339</v>
      </c>
      <c r="C206" s="8"/>
      <c r="D206" s="8"/>
      <c r="E206" s="8"/>
      <c r="F206" s="232" t="s">
        <v>13</v>
      </c>
      <c r="G206" s="9"/>
      <c r="H206" s="86"/>
      <c r="I206" s="237" t="s">
        <v>393</v>
      </c>
      <c r="J206" s="88"/>
      <c r="K206" s="88"/>
      <c r="L206" s="87"/>
      <c r="M206" s="89"/>
      <c r="N206" s="236"/>
    </row>
    <row r="207" spans="2:14" ht="13.15" x14ac:dyDescent="0.25">
      <c r="B207" s="62"/>
      <c r="C207" s="291" t="s">
        <v>50</v>
      </c>
      <c r="D207" s="292"/>
      <c r="E207" s="292"/>
      <c r="F207" s="273" t="str">
        <f>IF(C2="","",C2)</f>
        <v>A</v>
      </c>
      <c r="G207" s="22" t="s">
        <v>19</v>
      </c>
      <c r="H207" s="99"/>
      <c r="I207" s="10" t="s">
        <v>13</v>
      </c>
      <c r="J207" s="11" t="s">
        <v>14</v>
      </c>
      <c r="K207" s="11" t="s">
        <v>15</v>
      </c>
      <c r="L207" s="10" t="s">
        <v>16</v>
      </c>
      <c r="M207" s="66"/>
      <c r="N207" s="236"/>
    </row>
    <row r="208" spans="2:14" ht="13.15" x14ac:dyDescent="0.25">
      <c r="B208" s="62"/>
      <c r="C208" s="294" t="s">
        <v>20</v>
      </c>
      <c r="D208" s="295"/>
      <c r="E208" s="295"/>
      <c r="F208" s="274" t="str">
        <f>IF($C$8="","",$C$8)</f>
        <v/>
      </c>
      <c r="G208" s="22"/>
      <c r="H208" s="100"/>
      <c r="I208" s="18"/>
      <c r="J208" s="10"/>
      <c r="K208" s="18"/>
      <c r="L208" s="65"/>
      <c r="M208" s="66"/>
      <c r="N208" s="236"/>
    </row>
    <row r="209" spans="2:14" ht="13.15" x14ac:dyDescent="0.25">
      <c r="B209" s="62"/>
      <c r="C209" s="288" t="s">
        <v>345</v>
      </c>
      <c r="D209" s="289"/>
      <c r="E209" s="289"/>
      <c r="F209" s="275" t="str">
        <f t="shared" ref="F209:F214" si="0">IF(I209="","",I209)</f>
        <v/>
      </c>
      <c r="G209" s="105" t="s">
        <v>13</v>
      </c>
      <c r="H209" s="101"/>
      <c r="I209" s="262"/>
      <c r="J209" s="79" t="str">
        <f t="shared" ref="J209:J214" si="1">IF(F209="","",(L209-50)/10)</f>
        <v/>
      </c>
      <c r="K209" s="80" t="str">
        <f t="shared" ref="K209:K214" si="2">IF(F209="","",(((L209-50)/10)*2)+5)</f>
        <v/>
      </c>
      <c r="L209" s="78" t="str">
        <f t="shared" ref="L209:L214" si="3">IF(F209="","",LOOKUP($F209*100,$T$1205:$T$1267,$V$1205:$V$1267))</f>
        <v/>
      </c>
      <c r="M209" s="76"/>
      <c r="N209" s="236"/>
    </row>
    <row r="210" spans="2:14" ht="13.15" x14ac:dyDescent="0.25">
      <c r="B210" s="62"/>
      <c r="C210" s="288" t="s">
        <v>346</v>
      </c>
      <c r="D210" s="289"/>
      <c r="E210" s="289"/>
      <c r="F210" s="275" t="str">
        <f t="shared" si="0"/>
        <v/>
      </c>
      <c r="G210" s="105" t="s">
        <v>13</v>
      </c>
      <c r="H210" s="101"/>
      <c r="I210" s="265"/>
      <c r="J210" s="79" t="str">
        <f t="shared" si="1"/>
        <v/>
      </c>
      <c r="K210" s="80" t="str">
        <f t="shared" si="2"/>
        <v/>
      </c>
      <c r="L210" s="78" t="str">
        <f t="shared" si="3"/>
        <v/>
      </c>
      <c r="M210" s="76"/>
      <c r="N210" s="236"/>
    </row>
    <row r="211" spans="2:14" ht="13.15" x14ac:dyDescent="0.25">
      <c r="B211" s="62"/>
      <c r="C211" s="288" t="s">
        <v>347</v>
      </c>
      <c r="D211" s="289"/>
      <c r="E211" s="289"/>
      <c r="F211" s="275" t="str">
        <f t="shared" si="0"/>
        <v/>
      </c>
      <c r="G211" s="105" t="s">
        <v>13</v>
      </c>
      <c r="H211" s="101"/>
      <c r="I211" s="265"/>
      <c r="J211" s="79" t="str">
        <f t="shared" si="1"/>
        <v/>
      </c>
      <c r="K211" s="80" t="str">
        <f t="shared" si="2"/>
        <v/>
      </c>
      <c r="L211" s="78" t="str">
        <f t="shared" si="3"/>
        <v/>
      </c>
      <c r="M211" s="81"/>
      <c r="N211" s="236"/>
    </row>
    <row r="212" spans="2:14" ht="13.15" x14ac:dyDescent="0.25">
      <c r="B212" s="62"/>
      <c r="C212" s="288" t="s">
        <v>348</v>
      </c>
      <c r="D212" s="289"/>
      <c r="E212" s="289"/>
      <c r="F212" s="275" t="str">
        <f t="shared" si="0"/>
        <v/>
      </c>
      <c r="G212" s="105" t="s">
        <v>13</v>
      </c>
      <c r="H212" s="101"/>
      <c r="I212" s="265"/>
      <c r="J212" s="79" t="str">
        <f t="shared" si="1"/>
        <v/>
      </c>
      <c r="K212" s="80" t="str">
        <f t="shared" si="2"/>
        <v/>
      </c>
      <c r="L212" s="78" t="str">
        <f t="shared" si="3"/>
        <v/>
      </c>
      <c r="M212" s="76"/>
      <c r="N212" s="236"/>
    </row>
    <row r="213" spans="2:14" ht="13.15" x14ac:dyDescent="0.25">
      <c r="B213" s="62"/>
      <c r="C213" s="288" t="s">
        <v>105</v>
      </c>
      <c r="D213" s="289"/>
      <c r="E213" s="289"/>
      <c r="F213" s="275" t="str">
        <f t="shared" si="0"/>
        <v/>
      </c>
      <c r="G213" s="105" t="s">
        <v>13</v>
      </c>
      <c r="H213" s="101"/>
      <c r="I213" s="265"/>
      <c r="J213" s="79" t="str">
        <f t="shared" si="1"/>
        <v/>
      </c>
      <c r="K213" s="80" t="str">
        <f t="shared" si="2"/>
        <v/>
      </c>
      <c r="L213" s="78" t="str">
        <f t="shared" si="3"/>
        <v/>
      </c>
      <c r="M213" s="76"/>
      <c r="N213" s="236"/>
    </row>
    <row r="214" spans="2:14" ht="13.15" x14ac:dyDescent="0.25">
      <c r="B214" s="62"/>
      <c r="C214" s="309" t="s">
        <v>349</v>
      </c>
      <c r="D214" s="310"/>
      <c r="E214" s="310"/>
      <c r="F214" s="276" t="str">
        <f t="shared" si="0"/>
        <v/>
      </c>
      <c r="G214" s="105" t="s">
        <v>13</v>
      </c>
      <c r="H214" s="109"/>
      <c r="I214" s="265"/>
      <c r="J214" s="79" t="str">
        <f t="shared" si="1"/>
        <v/>
      </c>
      <c r="K214" s="80" t="str">
        <f t="shared" si="2"/>
        <v/>
      </c>
      <c r="L214" s="78" t="str">
        <f t="shared" si="3"/>
        <v/>
      </c>
      <c r="M214" s="76"/>
      <c r="N214" s="236"/>
    </row>
    <row r="215" spans="2:14" ht="8.15" customHeight="1" x14ac:dyDescent="0.25">
      <c r="B215" s="84"/>
      <c r="C215" s="13"/>
      <c r="D215" s="13"/>
      <c r="E215" s="13"/>
      <c r="F215" s="190"/>
      <c r="G215" s="85"/>
      <c r="H215" s="85"/>
      <c r="I215" s="85"/>
      <c r="J215" s="85"/>
      <c r="K215" s="85"/>
      <c r="L215" s="85"/>
      <c r="M215" s="14"/>
      <c r="N215" s="236"/>
    </row>
    <row r="216" spans="2:14" ht="13.15" x14ac:dyDescent="0.2">
      <c r="B216" s="134" t="s">
        <v>321</v>
      </c>
      <c r="C216" s="8"/>
      <c r="D216" s="8"/>
      <c r="E216" s="8"/>
      <c r="F216" s="232" t="s">
        <v>13</v>
      </c>
      <c r="G216" s="9"/>
      <c r="H216" s="86"/>
      <c r="I216" s="237" t="s">
        <v>393</v>
      </c>
      <c r="J216" s="88"/>
      <c r="K216" s="88"/>
      <c r="L216" s="87"/>
      <c r="M216" s="89"/>
      <c r="N216" s="236"/>
    </row>
    <row r="217" spans="2:14" ht="13.15" x14ac:dyDescent="0.25">
      <c r="B217" s="62"/>
      <c r="C217" s="291" t="s">
        <v>50</v>
      </c>
      <c r="D217" s="292"/>
      <c r="E217" s="292"/>
      <c r="F217" s="273" t="str">
        <f>IF(C2="","",C2)</f>
        <v>A</v>
      </c>
      <c r="G217" s="22" t="s">
        <v>19</v>
      </c>
      <c r="H217" s="99"/>
      <c r="I217" s="10" t="s">
        <v>13</v>
      </c>
      <c r="J217" s="11" t="s">
        <v>14</v>
      </c>
      <c r="K217" s="11" t="s">
        <v>15</v>
      </c>
      <c r="L217" s="10" t="s">
        <v>16</v>
      </c>
      <c r="M217" s="66"/>
      <c r="N217" s="236"/>
    </row>
    <row r="218" spans="2:14" ht="13.15" x14ac:dyDescent="0.25">
      <c r="B218" s="62"/>
      <c r="C218" s="294" t="s">
        <v>20</v>
      </c>
      <c r="D218" s="295"/>
      <c r="E218" s="295"/>
      <c r="F218" s="274" t="str">
        <f>IF($C$8="","",$C$8)</f>
        <v/>
      </c>
      <c r="G218" s="22"/>
      <c r="H218" s="100"/>
      <c r="I218" s="18"/>
      <c r="J218" s="10"/>
      <c r="K218" s="18"/>
      <c r="L218" s="65"/>
      <c r="M218" s="66"/>
      <c r="N218" s="236"/>
    </row>
    <row r="219" spans="2:14" ht="13.15" x14ac:dyDescent="0.25">
      <c r="B219" s="62"/>
      <c r="C219" s="288" t="s">
        <v>350</v>
      </c>
      <c r="D219" s="289"/>
      <c r="E219" s="289"/>
      <c r="F219" s="275" t="str">
        <f>IF(I219="","",I219)</f>
        <v/>
      </c>
      <c r="G219" s="105" t="s">
        <v>13</v>
      </c>
      <c r="H219" s="101"/>
      <c r="I219" s="262"/>
      <c r="J219" s="79" t="str">
        <f>IF(F219="","",(L219-50)/10)</f>
        <v/>
      </c>
      <c r="K219" s="80" t="str">
        <f>IF(F219="","",(((L219-50)/10)*2)+5)</f>
        <v/>
      </c>
      <c r="L219" s="78" t="str">
        <f>IF(F219="","",LOOKUP($F219*100,$T$1205:$T$1267,$V$1205:$V$1267))</f>
        <v/>
      </c>
      <c r="M219" s="76"/>
      <c r="N219" s="236"/>
    </row>
    <row r="220" spans="2:14" ht="13.15" x14ac:dyDescent="0.25">
      <c r="B220" s="62"/>
      <c r="C220" s="288" t="s">
        <v>351</v>
      </c>
      <c r="D220" s="289"/>
      <c r="E220" s="289"/>
      <c r="F220" s="275" t="str">
        <f>IF(I220="","",I220)</f>
        <v/>
      </c>
      <c r="G220" s="105" t="s">
        <v>13</v>
      </c>
      <c r="H220" s="101"/>
      <c r="I220" s="265"/>
      <c r="J220" s="79" t="str">
        <f>IF(F220="","",(L220-50)/10)</f>
        <v/>
      </c>
      <c r="K220" s="80" t="str">
        <f>IF(F220="","",(((L220-50)/10)*2)+5)</f>
        <v/>
      </c>
      <c r="L220" s="78" t="str">
        <f>IF(F220="","",LOOKUP($F220*100,$T$1205:$T$1267,$V$1205:$V$1267))</f>
        <v/>
      </c>
      <c r="M220" s="76"/>
      <c r="N220" s="236"/>
    </row>
    <row r="221" spans="2:14" ht="13.15" x14ac:dyDescent="0.25">
      <c r="B221" s="62"/>
      <c r="C221" s="309" t="s">
        <v>105</v>
      </c>
      <c r="D221" s="310"/>
      <c r="E221" s="310"/>
      <c r="F221" s="276" t="str">
        <f>IF(I221="","",I221)</f>
        <v/>
      </c>
      <c r="G221" s="105" t="s">
        <v>13</v>
      </c>
      <c r="H221" s="109"/>
      <c r="I221" s="265"/>
      <c r="J221" s="79" t="str">
        <f>IF(F221="","",(L221-50)/10)</f>
        <v/>
      </c>
      <c r="K221" s="80" t="str">
        <f>IF(F221="","",(((L221-50)/10)*2)+5)</f>
        <v/>
      </c>
      <c r="L221" s="78" t="str">
        <f>IF(F221="","",LOOKUP($F221*100,$T$1205:$T$1267,$V$1205:$V$1267))</f>
        <v/>
      </c>
      <c r="M221" s="81"/>
      <c r="N221" s="236"/>
    </row>
    <row r="222" spans="2:14" s="20" customFormat="1" ht="8.15" customHeight="1" x14ac:dyDescent="0.25">
      <c r="B222" s="84"/>
      <c r="C222" s="200"/>
      <c r="D222" s="200"/>
      <c r="E222" s="200"/>
      <c r="F222" s="190"/>
      <c r="G222" s="85"/>
      <c r="H222" s="85"/>
      <c r="I222" s="85"/>
      <c r="J222" s="85"/>
      <c r="K222" s="85"/>
      <c r="L222" s="85"/>
      <c r="M222" s="14"/>
      <c r="N222" s="236"/>
    </row>
    <row r="223" spans="2:14" s="70" customFormat="1" ht="13.15" customHeight="1" x14ac:dyDescent="0.25">
      <c r="B223" s="201" t="s">
        <v>381</v>
      </c>
      <c r="C223" s="202"/>
      <c r="D223" s="202"/>
      <c r="E223" s="202"/>
      <c r="F223" s="231"/>
      <c r="G223" s="203"/>
      <c r="H223" s="203"/>
      <c r="I223" s="203"/>
      <c r="J223" s="203"/>
      <c r="K223" s="203"/>
      <c r="L223" s="203"/>
      <c r="M223" s="204"/>
      <c r="N223" s="278"/>
    </row>
    <row r="224" spans="2:14" s="70" customFormat="1" ht="13.15" x14ac:dyDescent="0.2">
      <c r="B224" s="205" t="s">
        <v>376</v>
      </c>
      <c r="C224" s="206"/>
      <c r="D224" s="206"/>
      <c r="E224" s="206"/>
      <c r="F224" s="232" t="s">
        <v>13</v>
      </c>
      <c r="G224" s="203"/>
      <c r="H224" s="207"/>
      <c r="I224" s="283" t="s">
        <v>393</v>
      </c>
      <c r="J224" s="209"/>
      <c r="K224" s="209"/>
      <c r="L224" s="208"/>
      <c r="M224" s="210"/>
      <c r="N224" s="278"/>
    </row>
    <row r="225" spans="2:14" s="70" customFormat="1" ht="13.15" x14ac:dyDescent="0.25">
      <c r="B225" s="194"/>
      <c r="C225" s="314" t="s">
        <v>50</v>
      </c>
      <c r="D225" s="315"/>
      <c r="E225" s="315"/>
      <c r="F225" s="284" t="s">
        <v>128</v>
      </c>
      <c r="G225" s="268" t="s">
        <v>19</v>
      </c>
      <c r="H225" s="211"/>
      <c r="I225" s="212" t="s">
        <v>13</v>
      </c>
      <c r="J225" s="213" t="s">
        <v>14</v>
      </c>
      <c r="K225" s="213" t="s">
        <v>15</v>
      </c>
      <c r="L225" s="212" t="s">
        <v>16</v>
      </c>
      <c r="M225" s="214"/>
      <c r="N225" s="278"/>
    </row>
    <row r="226" spans="2:14" s="70" customFormat="1" ht="13.15" x14ac:dyDescent="0.25">
      <c r="B226" s="194"/>
      <c r="C226" s="316" t="s">
        <v>20</v>
      </c>
      <c r="D226" s="317"/>
      <c r="E226" s="317"/>
      <c r="F226" s="274"/>
      <c r="G226" s="268"/>
      <c r="H226" s="215"/>
      <c r="I226" s="216"/>
      <c r="J226" s="212"/>
      <c r="K226" s="216"/>
      <c r="L226" s="217"/>
      <c r="M226" s="214"/>
      <c r="N226" s="278"/>
    </row>
    <row r="227" spans="2:14" s="70" customFormat="1" ht="13.15" x14ac:dyDescent="0.25">
      <c r="B227" s="194"/>
      <c r="C227" s="312" t="s">
        <v>377</v>
      </c>
      <c r="D227" s="313"/>
      <c r="E227" s="313"/>
      <c r="F227" s="285" t="str">
        <f>IF(I227="","",I227)</f>
        <v/>
      </c>
      <c r="G227" s="269" t="s">
        <v>13</v>
      </c>
      <c r="H227" s="195"/>
      <c r="I227" s="266"/>
      <c r="J227" s="196" t="str">
        <f>IF(F227="","",(L227-50)/10)</f>
        <v/>
      </c>
      <c r="K227" s="197" t="str">
        <f>IF(F227="","",(((L227-50)/10)*2)+5)</f>
        <v/>
      </c>
      <c r="L227" s="198" t="str">
        <f>IF(F227="","",LOOKUP($F227*100,$T$1205:$T$1267,$V$1205:$V$1267))</f>
        <v/>
      </c>
      <c r="M227" s="199"/>
      <c r="N227" s="278"/>
    </row>
    <row r="228" spans="2:14" s="70" customFormat="1" ht="13.15" x14ac:dyDescent="0.25">
      <c r="B228" s="194"/>
      <c r="C228" s="312" t="s">
        <v>378</v>
      </c>
      <c r="D228" s="313"/>
      <c r="E228" s="313"/>
      <c r="F228" s="285" t="str">
        <f>IF(I228="","",I228)</f>
        <v/>
      </c>
      <c r="G228" s="269" t="s">
        <v>13</v>
      </c>
      <c r="H228" s="195"/>
      <c r="I228" s="266"/>
      <c r="J228" s="196" t="str">
        <f>IF(F228="","",(L228-50)/10)</f>
        <v/>
      </c>
      <c r="K228" s="197" t="str">
        <f>IF(F228="","",(((L228-50)/10)*2)+5)</f>
        <v/>
      </c>
      <c r="L228" s="198" t="str">
        <f>IF(F228="","",LOOKUP($F228*100,$T$1205:$T$1267,$V$1205:$V$1267))</f>
        <v/>
      </c>
      <c r="M228" s="199"/>
      <c r="N228" s="278"/>
    </row>
    <row r="229" spans="2:14" s="70" customFormat="1" ht="13.15" x14ac:dyDescent="0.25">
      <c r="B229" s="194"/>
      <c r="C229" s="318" t="s">
        <v>379</v>
      </c>
      <c r="D229" s="319"/>
      <c r="E229" s="319"/>
      <c r="F229" s="286" t="str">
        <f>IF(I229="","",I229)</f>
        <v/>
      </c>
      <c r="G229" s="269" t="s">
        <v>13</v>
      </c>
      <c r="H229" s="195"/>
      <c r="I229" s="266"/>
      <c r="J229" s="196" t="str">
        <f>IF(F229="","",(L229-50)/10)</f>
        <v/>
      </c>
      <c r="K229" s="197" t="str">
        <f>IF(F229="","",(((L229-50)/10)*2)+5)</f>
        <v/>
      </c>
      <c r="L229" s="198" t="str">
        <f>IF(F229="","",LOOKUP($F229*100,$T$1205:$T$1267,$V$1205:$V$1267))</f>
        <v/>
      </c>
      <c r="M229" s="199"/>
      <c r="N229" s="278"/>
    </row>
    <row r="230" spans="2:14" ht="8.15" customHeight="1" x14ac:dyDescent="0.25">
      <c r="B230" s="90"/>
      <c r="C230" s="91"/>
      <c r="D230" s="91"/>
      <c r="E230" s="91"/>
      <c r="F230" s="192"/>
      <c r="G230" s="92"/>
      <c r="H230" s="92"/>
      <c r="I230" s="92"/>
      <c r="J230" s="92"/>
      <c r="K230" s="92"/>
      <c r="L230" s="92"/>
      <c r="M230" s="92"/>
      <c r="N230" s="236"/>
    </row>
    <row r="231" spans="2:14" ht="17.55" x14ac:dyDescent="0.25">
      <c r="B231" s="243" t="s">
        <v>318</v>
      </c>
      <c r="C231" s="244"/>
      <c r="D231" s="244"/>
      <c r="E231" s="244"/>
      <c r="F231" s="248"/>
      <c r="G231" s="246"/>
      <c r="H231" s="246"/>
      <c r="I231" s="249"/>
      <c r="J231" s="250"/>
      <c r="K231" s="249"/>
      <c r="L231" s="251"/>
      <c r="M231" s="252"/>
      <c r="N231" s="236"/>
    </row>
    <row r="232" spans="2:14" ht="8.15" customHeight="1" x14ac:dyDescent="0.25">
      <c r="B232" s="84"/>
      <c r="C232" s="13"/>
      <c r="D232" s="13"/>
      <c r="E232" s="13"/>
      <c r="F232" s="190"/>
      <c r="G232" s="85"/>
      <c r="H232" s="85"/>
      <c r="I232" s="85"/>
      <c r="J232" s="85"/>
      <c r="K232" s="85"/>
      <c r="L232" s="85"/>
      <c r="M232" s="14"/>
      <c r="N232" s="236"/>
    </row>
    <row r="233" spans="2:14" s="70" customFormat="1" ht="13.15" x14ac:dyDescent="0.2">
      <c r="B233" s="201" t="s">
        <v>381</v>
      </c>
      <c r="C233" s="206"/>
      <c r="D233" s="206"/>
      <c r="E233" s="206"/>
      <c r="F233" s="232"/>
      <c r="G233" s="203"/>
      <c r="H233" s="207"/>
      <c r="I233" s="208"/>
      <c r="J233" s="209"/>
      <c r="K233" s="209"/>
      <c r="L233" s="208"/>
      <c r="M233" s="210"/>
      <c r="N233" s="278"/>
    </row>
    <row r="234" spans="2:14" s="70" customFormat="1" ht="13.15" x14ac:dyDescent="0.2">
      <c r="B234" s="205" t="s">
        <v>380</v>
      </c>
      <c r="C234" s="206"/>
      <c r="D234" s="206"/>
      <c r="E234" s="206"/>
      <c r="F234" s="232" t="s">
        <v>13</v>
      </c>
      <c r="G234" s="203"/>
      <c r="H234" s="207"/>
      <c r="I234" s="283" t="s">
        <v>393</v>
      </c>
      <c r="J234" s="209"/>
      <c r="K234" s="209"/>
      <c r="L234" s="208"/>
      <c r="M234" s="210"/>
      <c r="N234" s="278"/>
    </row>
    <row r="235" spans="2:14" s="70" customFormat="1" ht="13.15" x14ac:dyDescent="0.25">
      <c r="B235" s="194"/>
      <c r="C235" s="314" t="s">
        <v>50</v>
      </c>
      <c r="D235" s="315"/>
      <c r="E235" s="315"/>
      <c r="F235" s="284" t="s">
        <v>128</v>
      </c>
      <c r="G235" s="270" t="s">
        <v>19</v>
      </c>
      <c r="H235" s="211"/>
      <c r="I235" s="212" t="s">
        <v>13</v>
      </c>
      <c r="J235" s="213" t="s">
        <v>14</v>
      </c>
      <c r="K235" s="213" t="s">
        <v>15</v>
      </c>
      <c r="L235" s="212" t="s">
        <v>16</v>
      </c>
      <c r="M235" s="214"/>
      <c r="N235" s="278"/>
    </row>
    <row r="236" spans="2:14" s="70" customFormat="1" ht="13.15" x14ac:dyDescent="0.25">
      <c r="B236" s="194"/>
      <c r="C236" s="316" t="s">
        <v>20</v>
      </c>
      <c r="D236" s="317"/>
      <c r="E236" s="317"/>
      <c r="F236" s="274"/>
      <c r="G236" s="270"/>
      <c r="H236" s="215"/>
      <c r="I236" s="216"/>
      <c r="J236" s="212"/>
      <c r="K236" s="216"/>
      <c r="L236" s="217"/>
      <c r="M236" s="214"/>
      <c r="N236" s="278"/>
    </row>
    <row r="237" spans="2:14" s="70" customFormat="1" ht="13.15" x14ac:dyDescent="0.25">
      <c r="B237" s="194"/>
      <c r="C237" s="312"/>
      <c r="D237" s="313"/>
      <c r="E237" s="313"/>
      <c r="F237" s="285" t="str">
        <f t="shared" ref="F237:F244" si="4">IF(I237="","",I237)</f>
        <v/>
      </c>
      <c r="G237" s="271" t="s">
        <v>13</v>
      </c>
      <c r="H237" s="195"/>
      <c r="I237" s="266"/>
      <c r="J237" s="196" t="str">
        <f t="shared" ref="J237:J244" si="5">IF(F237="","",(L237-50)/10)</f>
        <v/>
      </c>
      <c r="K237" s="197" t="str">
        <f t="shared" ref="K237:K244" si="6">IF(F237="","",(((L237-50)/10)*2)+5)</f>
        <v/>
      </c>
      <c r="L237" s="198" t="str">
        <f t="shared" ref="L237:L244" si="7">IF(F237="","",LOOKUP($F237*100,$T$1205:$T$1267,$V$1205:$V$1267))</f>
        <v/>
      </c>
      <c r="M237" s="199"/>
      <c r="N237" s="278"/>
    </row>
    <row r="238" spans="2:14" s="70" customFormat="1" ht="13.15" x14ac:dyDescent="0.25">
      <c r="B238" s="194"/>
      <c r="C238" s="312"/>
      <c r="D238" s="313"/>
      <c r="E238" s="313"/>
      <c r="F238" s="285" t="str">
        <f t="shared" si="4"/>
        <v/>
      </c>
      <c r="G238" s="271" t="s">
        <v>13</v>
      </c>
      <c r="H238" s="195"/>
      <c r="I238" s="267"/>
      <c r="J238" s="196" t="str">
        <f t="shared" si="5"/>
        <v/>
      </c>
      <c r="K238" s="197" t="str">
        <f t="shared" si="6"/>
        <v/>
      </c>
      <c r="L238" s="198" t="str">
        <f t="shared" si="7"/>
        <v/>
      </c>
      <c r="M238" s="199"/>
      <c r="N238" s="278"/>
    </row>
    <row r="239" spans="2:14" s="70" customFormat="1" ht="13.15" x14ac:dyDescent="0.25">
      <c r="B239" s="194"/>
      <c r="C239" s="312"/>
      <c r="D239" s="313"/>
      <c r="E239" s="313"/>
      <c r="F239" s="285" t="str">
        <f t="shared" si="4"/>
        <v/>
      </c>
      <c r="G239" s="271" t="s">
        <v>13</v>
      </c>
      <c r="H239" s="195"/>
      <c r="I239" s="267"/>
      <c r="J239" s="196" t="str">
        <f t="shared" si="5"/>
        <v/>
      </c>
      <c r="K239" s="197" t="str">
        <f t="shared" si="6"/>
        <v/>
      </c>
      <c r="L239" s="198" t="str">
        <f t="shared" si="7"/>
        <v/>
      </c>
      <c r="M239" s="218"/>
      <c r="N239" s="278"/>
    </row>
    <row r="240" spans="2:14" s="70" customFormat="1" ht="13.15" x14ac:dyDescent="0.25">
      <c r="B240" s="194"/>
      <c r="C240" s="312"/>
      <c r="D240" s="313"/>
      <c r="E240" s="313"/>
      <c r="F240" s="285" t="str">
        <f t="shared" si="4"/>
        <v/>
      </c>
      <c r="G240" s="271" t="s">
        <v>13</v>
      </c>
      <c r="H240" s="195"/>
      <c r="I240" s="267"/>
      <c r="J240" s="196" t="str">
        <f t="shared" si="5"/>
        <v/>
      </c>
      <c r="K240" s="197" t="str">
        <f t="shared" si="6"/>
        <v/>
      </c>
      <c r="L240" s="198" t="str">
        <f t="shared" si="7"/>
        <v/>
      </c>
      <c r="M240" s="199"/>
      <c r="N240" s="278"/>
    </row>
    <row r="241" spans="2:14" s="70" customFormat="1" ht="13.15" x14ac:dyDescent="0.25">
      <c r="B241" s="194"/>
      <c r="C241" s="312"/>
      <c r="D241" s="313"/>
      <c r="E241" s="313"/>
      <c r="F241" s="285" t="str">
        <f t="shared" si="4"/>
        <v/>
      </c>
      <c r="G241" s="271" t="s">
        <v>13</v>
      </c>
      <c r="H241" s="195"/>
      <c r="I241" s="267"/>
      <c r="J241" s="196" t="str">
        <f t="shared" si="5"/>
        <v/>
      </c>
      <c r="K241" s="197" t="str">
        <f t="shared" si="6"/>
        <v/>
      </c>
      <c r="L241" s="198" t="str">
        <f t="shared" si="7"/>
        <v/>
      </c>
      <c r="M241" s="199"/>
      <c r="N241" s="278"/>
    </row>
    <row r="242" spans="2:14" s="70" customFormat="1" ht="13.15" x14ac:dyDescent="0.25">
      <c r="B242" s="194"/>
      <c r="C242" s="312"/>
      <c r="D242" s="313"/>
      <c r="E242" s="313"/>
      <c r="F242" s="285" t="str">
        <f t="shared" si="4"/>
        <v/>
      </c>
      <c r="G242" s="271" t="s">
        <v>13</v>
      </c>
      <c r="H242" s="195"/>
      <c r="I242" s="267"/>
      <c r="J242" s="196" t="str">
        <f t="shared" si="5"/>
        <v/>
      </c>
      <c r="K242" s="197" t="str">
        <f t="shared" si="6"/>
        <v/>
      </c>
      <c r="L242" s="198" t="str">
        <f t="shared" si="7"/>
        <v/>
      </c>
      <c r="M242" s="199"/>
      <c r="N242" s="278"/>
    </row>
    <row r="243" spans="2:14" s="70" customFormat="1" ht="13.15" x14ac:dyDescent="0.25">
      <c r="B243" s="194"/>
      <c r="C243" s="312"/>
      <c r="D243" s="313"/>
      <c r="E243" s="313"/>
      <c r="F243" s="285" t="str">
        <f t="shared" si="4"/>
        <v/>
      </c>
      <c r="G243" s="271" t="s">
        <v>13</v>
      </c>
      <c r="H243" s="195"/>
      <c r="I243" s="267"/>
      <c r="J243" s="196" t="str">
        <f t="shared" si="5"/>
        <v/>
      </c>
      <c r="K243" s="197" t="str">
        <f t="shared" si="6"/>
        <v/>
      </c>
      <c r="L243" s="198" t="str">
        <f t="shared" si="7"/>
        <v/>
      </c>
      <c r="M243" s="218"/>
      <c r="N243" s="278"/>
    </row>
    <row r="244" spans="2:14" s="70" customFormat="1" ht="13.15" x14ac:dyDescent="0.25">
      <c r="B244" s="219"/>
      <c r="C244" s="318"/>
      <c r="D244" s="319"/>
      <c r="E244" s="319"/>
      <c r="F244" s="286" t="str">
        <f t="shared" si="4"/>
        <v/>
      </c>
      <c r="G244" s="272" t="s">
        <v>13</v>
      </c>
      <c r="H244" s="220"/>
      <c r="I244" s="267"/>
      <c r="J244" s="222" t="str">
        <f t="shared" si="5"/>
        <v/>
      </c>
      <c r="K244" s="223" t="str">
        <f t="shared" si="6"/>
        <v/>
      </c>
      <c r="L244" s="224" t="str">
        <f t="shared" si="7"/>
        <v/>
      </c>
      <c r="M244" s="221"/>
      <c r="N244" s="278"/>
    </row>
    <row r="245" spans="2:14" x14ac:dyDescent="0.2">
      <c r="N245" s="70"/>
    </row>
    <row r="246" spans="2:14" x14ac:dyDescent="0.2">
      <c r="N246" s="70"/>
    </row>
    <row r="247" spans="2:14" x14ac:dyDescent="0.2">
      <c r="N247" s="70"/>
    </row>
    <row r="248" spans="2:14" x14ac:dyDescent="0.2">
      <c r="N248" s="70"/>
    </row>
    <row r="249" spans="2:14" x14ac:dyDescent="0.2">
      <c r="N249" s="70"/>
    </row>
    <row r="250" spans="2:14" x14ac:dyDescent="0.2">
      <c r="N250" s="70"/>
    </row>
    <row r="251" spans="2:14" x14ac:dyDescent="0.2">
      <c r="N251" s="70"/>
    </row>
    <row r="252" spans="2:14" x14ac:dyDescent="0.2">
      <c r="N252" s="70"/>
    </row>
    <row r="253" spans="2:14" x14ac:dyDescent="0.2">
      <c r="N253" s="70"/>
    </row>
    <row r="254" spans="2:14" x14ac:dyDescent="0.2">
      <c r="N254" s="70"/>
    </row>
    <row r="255" spans="2:14" x14ac:dyDescent="0.2">
      <c r="N255" s="70"/>
    </row>
    <row r="256" spans="2:14" x14ac:dyDescent="0.2">
      <c r="N256" s="70"/>
    </row>
    <row r="257" spans="14:14" x14ac:dyDescent="0.2">
      <c r="N257" s="70"/>
    </row>
    <row r="258" spans="14:14" x14ac:dyDescent="0.2">
      <c r="N258" s="70"/>
    </row>
    <row r="259" spans="14:14" x14ac:dyDescent="0.2">
      <c r="N259" s="70"/>
    </row>
    <row r="260" spans="14:14" x14ac:dyDescent="0.2">
      <c r="N260" s="70"/>
    </row>
    <row r="261" spans="14:14" x14ac:dyDescent="0.2">
      <c r="N261" s="70"/>
    </row>
    <row r="262" spans="14:14" x14ac:dyDescent="0.2">
      <c r="N262" s="70"/>
    </row>
    <row r="263" spans="14:14" x14ac:dyDescent="0.2">
      <c r="N263" s="70"/>
    </row>
    <row r="264" spans="14:14" x14ac:dyDescent="0.2">
      <c r="N264" s="70"/>
    </row>
    <row r="265" spans="14:14" x14ac:dyDescent="0.2">
      <c r="N265" s="70"/>
    </row>
    <row r="266" spans="14:14" x14ac:dyDescent="0.2">
      <c r="N266" s="70"/>
    </row>
    <row r="267" spans="14:14" x14ac:dyDescent="0.2">
      <c r="N267" s="70"/>
    </row>
    <row r="268" spans="14:14" x14ac:dyDescent="0.2">
      <c r="N268" s="70"/>
    </row>
    <row r="269" spans="14:14" x14ac:dyDescent="0.2">
      <c r="N269" s="70"/>
    </row>
    <row r="270" spans="14:14" x14ac:dyDescent="0.2">
      <c r="N270" s="70"/>
    </row>
    <row r="271" spans="14:14" x14ac:dyDescent="0.2">
      <c r="N271" s="70"/>
    </row>
    <row r="272" spans="14:14" x14ac:dyDescent="0.2">
      <c r="N272" s="70"/>
    </row>
    <row r="273" spans="14:14" x14ac:dyDescent="0.2">
      <c r="N273" s="70"/>
    </row>
    <row r="274" spans="14:14" x14ac:dyDescent="0.2">
      <c r="N274" s="70"/>
    </row>
    <row r="275" spans="14:14" x14ac:dyDescent="0.2">
      <c r="N275" s="70"/>
    </row>
    <row r="276" spans="14:14" x14ac:dyDescent="0.2">
      <c r="N276" s="70"/>
    </row>
    <row r="277" spans="14:14" x14ac:dyDescent="0.2">
      <c r="N277" s="70"/>
    </row>
    <row r="278" spans="14:14" x14ac:dyDescent="0.2">
      <c r="N278" s="70"/>
    </row>
    <row r="279" spans="14:14" x14ac:dyDescent="0.2">
      <c r="N279" s="70"/>
    </row>
    <row r="280" spans="14:14" x14ac:dyDescent="0.2">
      <c r="N280" s="70"/>
    </row>
    <row r="281" spans="14:14" x14ac:dyDescent="0.2">
      <c r="N281" s="70"/>
    </row>
    <row r="282" spans="14:14" x14ac:dyDescent="0.2">
      <c r="N282" s="70"/>
    </row>
    <row r="283" spans="14:14" x14ac:dyDescent="0.2">
      <c r="N283" s="70"/>
    </row>
    <row r="284" spans="14:14" x14ac:dyDescent="0.2">
      <c r="N284" s="70"/>
    </row>
    <row r="285" spans="14:14" x14ac:dyDescent="0.2">
      <c r="N285" s="70"/>
    </row>
    <row r="286" spans="14:14" x14ac:dyDescent="0.2">
      <c r="N286" s="70"/>
    </row>
    <row r="287" spans="14:14" x14ac:dyDescent="0.2">
      <c r="N287" s="70"/>
    </row>
    <row r="288" spans="14:14" x14ac:dyDescent="0.2">
      <c r="N288" s="70"/>
    </row>
    <row r="289" spans="14:14" x14ac:dyDescent="0.2">
      <c r="N289" s="70"/>
    </row>
    <row r="290" spans="14:14" x14ac:dyDescent="0.2">
      <c r="N290" s="70"/>
    </row>
    <row r="291" spans="14:14" x14ac:dyDescent="0.2">
      <c r="N291" s="70"/>
    </row>
    <row r="292" spans="14:14" x14ac:dyDescent="0.2">
      <c r="N292" s="70"/>
    </row>
    <row r="293" spans="14:14" x14ac:dyDescent="0.2">
      <c r="N293" s="70"/>
    </row>
    <row r="294" spans="14:14" x14ac:dyDescent="0.2">
      <c r="N294" s="70"/>
    </row>
    <row r="295" spans="14:14" x14ac:dyDescent="0.2">
      <c r="N295" s="70"/>
    </row>
    <row r="296" spans="14:14" x14ac:dyDescent="0.2">
      <c r="N296" s="70"/>
    </row>
    <row r="297" spans="14:14" x14ac:dyDescent="0.2">
      <c r="N297" s="70"/>
    </row>
    <row r="298" spans="14:14" x14ac:dyDescent="0.2">
      <c r="N298" s="70"/>
    </row>
    <row r="299" spans="14:14" x14ac:dyDescent="0.2">
      <c r="N299" s="70"/>
    </row>
    <row r="300" spans="14:14" x14ac:dyDescent="0.2">
      <c r="N300" s="70"/>
    </row>
    <row r="301" spans="14:14" x14ac:dyDescent="0.2">
      <c r="N301" s="70"/>
    </row>
    <row r="302" spans="14:14" x14ac:dyDescent="0.2">
      <c r="N302" s="70"/>
    </row>
    <row r="303" spans="14:14" x14ac:dyDescent="0.2">
      <c r="N303" s="70"/>
    </row>
    <row r="304" spans="14:14" x14ac:dyDescent="0.2">
      <c r="N304" s="70"/>
    </row>
    <row r="305" spans="14:14" x14ac:dyDescent="0.2">
      <c r="N305" s="70"/>
    </row>
    <row r="306" spans="14:14" x14ac:dyDescent="0.2">
      <c r="N306" s="70"/>
    </row>
    <row r="307" spans="14:14" x14ac:dyDescent="0.2">
      <c r="N307" s="70"/>
    </row>
    <row r="308" spans="14:14" x14ac:dyDescent="0.2">
      <c r="N308" s="70"/>
    </row>
    <row r="309" spans="14:14" x14ac:dyDescent="0.2">
      <c r="N309" s="70"/>
    </row>
    <row r="310" spans="14:14" x14ac:dyDescent="0.2">
      <c r="N310" s="70"/>
    </row>
    <row r="311" spans="14:14" x14ac:dyDescent="0.2">
      <c r="N311" s="70"/>
    </row>
    <row r="312" spans="14:14" x14ac:dyDescent="0.2">
      <c r="N312" s="70"/>
    </row>
    <row r="313" spans="14:14" x14ac:dyDescent="0.2">
      <c r="N313" s="70"/>
    </row>
    <row r="314" spans="14:14" x14ac:dyDescent="0.2">
      <c r="N314" s="70"/>
    </row>
    <row r="315" spans="14:14" x14ac:dyDescent="0.2">
      <c r="N315" s="70"/>
    </row>
    <row r="316" spans="14:14" x14ac:dyDescent="0.2">
      <c r="N316" s="70"/>
    </row>
    <row r="317" spans="14:14" x14ac:dyDescent="0.2">
      <c r="N317" s="70"/>
    </row>
    <row r="318" spans="14:14" x14ac:dyDescent="0.2">
      <c r="N318" s="70"/>
    </row>
    <row r="319" spans="14:14" x14ac:dyDescent="0.2">
      <c r="N319" s="70"/>
    </row>
    <row r="320" spans="14:14" x14ac:dyDescent="0.2">
      <c r="N320" s="70"/>
    </row>
    <row r="321" spans="14:14" x14ac:dyDescent="0.2">
      <c r="N321" s="70"/>
    </row>
    <row r="322" spans="14:14" x14ac:dyDescent="0.2">
      <c r="N322" s="70"/>
    </row>
    <row r="323" spans="14:14" x14ac:dyDescent="0.2">
      <c r="N323" s="70"/>
    </row>
    <row r="324" spans="14:14" x14ac:dyDescent="0.2">
      <c r="N324" s="70"/>
    </row>
    <row r="325" spans="14:14" x14ac:dyDescent="0.2">
      <c r="N325" s="70"/>
    </row>
    <row r="326" spans="14:14" x14ac:dyDescent="0.2">
      <c r="N326" s="70"/>
    </row>
    <row r="327" spans="14:14" x14ac:dyDescent="0.2">
      <c r="N327" s="70"/>
    </row>
    <row r="328" spans="14:14" x14ac:dyDescent="0.2">
      <c r="N328" s="70"/>
    </row>
    <row r="329" spans="14:14" x14ac:dyDescent="0.2">
      <c r="N329" s="70"/>
    </row>
    <row r="330" spans="14:14" x14ac:dyDescent="0.2">
      <c r="N330" s="70"/>
    </row>
    <row r="331" spans="14:14" x14ac:dyDescent="0.2">
      <c r="N331" s="70"/>
    </row>
    <row r="332" spans="14:14" x14ac:dyDescent="0.2">
      <c r="N332" s="70"/>
    </row>
    <row r="333" spans="14:14" x14ac:dyDescent="0.2">
      <c r="N333" s="70"/>
    </row>
    <row r="334" spans="14:14" x14ac:dyDescent="0.2">
      <c r="N334" s="70"/>
    </row>
    <row r="335" spans="14:14" x14ac:dyDescent="0.2">
      <c r="N335" s="70"/>
    </row>
    <row r="336" spans="14:14" x14ac:dyDescent="0.2">
      <c r="N336" s="70"/>
    </row>
    <row r="337" spans="14:14" x14ac:dyDescent="0.2">
      <c r="N337" s="70"/>
    </row>
    <row r="338" spans="14:14" x14ac:dyDescent="0.2">
      <c r="N338" s="70"/>
    </row>
    <row r="339" spans="14:14" x14ac:dyDescent="0.2">
      <c r="N339" s="70"/>
    </row>
    <row r="340" spans="14:14" x14ac:dyDescent="0.2">
      <c r="N340" s="70"/>
    </row>
    <row r="341" spans="14:14" x14ac:dyDescent="0.2">
      <c r="N341" s="70"/>
    </row>
    <row r="342" spans="14:14" x14ac:dyDescent="0.2">
      <c r="N342" s="70"/>
    </row>
    <row r="343" spans="14:14" x14ac:dyDescent="0.2">
      <c r="N343" s="70"/>
    </row>
    <row r="344" spans="14:14" x14ac:dyDescent="0.2">
      <c r="N344" s="70"/>
    </row>
    <row r="345" spans="14:14" x14ac:dyDescent="0.2">
      <c r="N345" s="70"/>
    </row>
    <row r="346" spans="14:14" x14ac:dyDescent="0.2">
      <c r="N346" s="70"/>
    </row>
    <row r="347" spans="14:14" x14ac:dyDescent="0.2">
      <c r="N347" s="70"/>
    </row>
    <row r="348" spans="14:14" x14ac:dyDescent="0.2">
      <c r="N348" s="70"/>
    </row>
    <row r="349" spans="14:14" x14ac:dyDescent="0.2">
      <c r="N349" s="70"/>
    </row>
    <row r="350" spans="14:14" x14ac:dyDescent="0.2">
      <c r="N350" s="70"/>
    </row>
    <row r="351" spans="14:14" x14ac:dyDescent="0.2">
      <c r="N351" s="70"/>
    </row>
    <row r="352" spans="14:14" x14ac:dyDescent="0.2">
      <c r="N352" s="70"/>
    </row>
    <row r="353" spans="14:14" x14ac:dyDescent="0.2">
      <c r="N353" s="70"/>
    </row>
    <row r="354" spans="14:14" x14ac:dyDescent="0.2">
      <c r="N354" s="70"/>
    </row>
    <row r="355" spans="14:14" x14ac:dyDescent="0.2">
      <c r="N355" s="70"/>
    </row>
    <row r="356" spans="14:14" x14ac:dyDescent="0.2">
      <c r="N356" s="70"/>
    </row>
    <row r="357" spans="14:14" x14ac:dyDescent="0.2">
      <c r="N357" s="70"/>
    </row>
    <row r="358" spans="14:14" x14ac:dyDescent="0.2">
      <c r="N358" s="70"/>
    </row>
    <row r="359" spans="14:14" x14ac:dyDescent="0.2">
      <c r="N359" s="70"/>
    </row>
    <row r="360" spans="14:14" x14ac:dyDescent="0.2">
      <c r="N360" s="70"/>
    </row>
    <row r="361" spans="14:14" x14ac:dyDescent="0.2">
      <c r="N361" s="70"/>
    </row>
    <row r="362" spans="14:14" x14ac:dyDescent="0.2">
      <c r="N362" s="70"/>
    </row>
    <row r="363" spans="14:14" x14ac:dyDescent="0.2">
      <c r="N363" s="70"/>
    </row>
    <row r="364" spans="14:14" x14ac:dyDescent="0.2">
      <c r="N364" s="70"/>
    </row>
    <row r="365" spans="14:14" x14ac:dyDescent="0.2">
      <c r="N365" s="70"/>
    </row>
    <row r="366" spans="14:14" x14ac:dyDescent="0.2">
      <c r="N366" s="70"/>
    </row>
    <row r="367" spans="14:14" x14ac:dyDescent="0.2">
      <c r="N367" s="70"/>
    </row>
    <row r="368" spans="14:14" x14ac:dyDescent="0.2">
      <c r="N368" s="70"/>
    </row>
    <row r="369" spans="14:14" x14ac:dyDescent="0.2">
      <c r="N369" s="70"/>
    </row>
    <row r="370" spans="14:14" x14ac:dyDescent="0.2">
      <c r="N370" s="70"/>
    </row>
    <row r="371" spans="14:14" x14ac:dyDescent="0.2">
      <c r="N371" s="70"/>
    </row>
    <row r="372" spans="14:14" x14ac:dyDescent="0.2">
      <c r="N372" s="70"/>
    </row>
    <row r="373" spans="14:14" x14ac:dyDescent="0.2">
      <c r="N373" s="70"/>
    </row>
    <row r="374" spans="14:14" x14ac:dyDescent="0.2">
      <c r="N374" s="70"/>
    </row>
    <row r="375" spans="14:14" x14ac:dyDescent="0.2">
      <c r="N375" s="70"/>
    </row>
    <row r="376" spans="14:14" x14ac:dyDescent="0.2">
      <c r="N376" s="70"/>
    </row>
    <row r="377" spans="14:14" x14ac:dyDescent="0.2">
      <c r="N377" s="70"/>
    </row>
    <row r="378" spans="14:14" x14ac:dyDescent="0.2">
      <c r="N378" s="70"/>
    </row>
    <row r="379" spans="14:14" x14ac:dyDescent="0.2">
      <c r="N379" s="70"/>
    </row>
    <row r="380" spans="14:14" x14ac:dyDescent="0.2">
      <c r="N380" s="70"/>
    </row>
    <row r="381" spans="14:14" x14ac:dyDescent="0.2">
      <c r="N381" s="70"/>
    </row>
    <row r="382" spans="14:14" x14ac:dyDescent="0.2">
      <c r="N382" s="70"/>
    </row>
    <row r="383" spans="14:14" x14ac:dyDescent="0.2">
      <c r="N383" s="70"/>
    </row>
    <row r="384" spans="14:14" x14ac:dyDescent="0.2">
      <c r="N384" s="70"/>
    </row>
    <row r="385" spans="14:14" x14ac:dyDescent="0.2">
      <c r="N385" s="70"/>
    </row>
    <row r="386" spans="14:14" x14ac:dyDescent="0.2">
      <c r="N386" s="70"/>
    </row>
    <row r="387" spans="14:14" x14ac:dyDescent="0.2">
      <c r="N387" s="70"/>
    </row>
    <row r="388" spans="14:14" x14ac:dyDescent="0.2">
      <c r="N388" s="70"/>
    </row>
    <row r="389" spans="14:14" x14ac:dyDescent="0.2">
      <c r="N389" s="70"/>
    </row>
    <row r="390" spans="14:14" x14ac:dyDescent="0.2">
      <c r="N390" s="70"/>
    </row>
    <row r="391" spans="14:14" x14ac:dyDescent="0.2">
      <c r="N391" s="70"/>
    </row>
    <row r="392" spans="14:14" x14ac:dyDescent="0.2">
      <c r="N392" s="70"/>
    </row>
    <row r="393" spans="14:14" x14ac:dyDescent="0.2">
      <c r="N393" s="70"/>
    </row>
    <row r="394" spans="14:14" x14ac:dyDescent="0.2">
      <c r="N394" s="70"/>
    </row>
    <row r="395" spans="14:14" x14ac:dyDescent="0.2">
      <c r="N395" s="70"/>
    </row>
    <row r="396" spans="14:14" x14ac:dyDescent="0.2">
      <c r="N396" s="70"/>
    </row>
    <row r="397" spans="14:14" x14ac:dyDescent="0.2">
      <c r="N397" s="70"/>
    </row>
    <row r="398" spans="14:14" x14ac:dyDescent="0.2">
      <c r="N398" s="70"/>
    </row>
    <row r="399" spans="14:14" x14ac:dyDescent="0.2">
      <c r="N399" s="70"/>
    </row>
    <row r="400" spans="14:14" x14ac:dyDescent="0.2">
      <c r="N400" s="70"/>
    </row>
    <row r="401" spans="14:14" x14ac:dyDescent="0.2">
      <c r="N401" s="70"/>
    </row>
    <row r="402" spans="14:14" x14ac:dyDescent="0.2">
      <c r="N402" s="70"/>
    </row>
    <row r="403" spans="14:14" x14ac:dyDescent="0.2">
      <c r="N403" s="70"/>
    </row>
    <row r="404" spans="14:14" x14ac:dyDescent="0.2">
      <c r="N404" s="70"/>
    </row>
    <row r="405" spans="14:14" x14ac:dyDescent="0.2">
      <c r="N405" s="70"/>
    </row>
    <row r="406" spans="14:14" x14ac:dyDescent="0.2">
      <c r="N406" s="70"/>
    </row>
    <row r="407" spans="14:14" x14ac:dyDescent="0.2">
      <c r="N407" s="70"/>
    </row>
    <row r="408" spans="14:14" x14ac:dyDescent="0.2">
      <c r="N408" s="70"/>
    </row>
    <row r="409" spans="14:14" x14ac:dyDescent="0.2">
      <c r="N409" s="70"/>
    </row>
    <row r="410" spans="14:14" x14ac:dyDescent="0.2">
      <c r="N410" s="70"/>
    </row>
    <row r="411" spans="14:14" x14ac:dyDescent="0.2">
      <c r="N411" s="70"/>
    </row>
    <row r="412" spans="14:14" x14ac:dyDescent="0.2">
      <c r="N412" s="70"/>
    </row>
    <row r="413" spans="14:14" x14ac:dyDescent="0.2">
      <c r="N413" s="70"/>
    </row>
    <row r="414" spans="14:14" x14ac:dyDescent="0.2">
      <c r="N414" s="70"/>
    </row>
    <row r="415" spans="14:14" x14ac:dyDescent="0.2">
      <c r="N415" s="70"/>
    </row>
    <row r="416" spans="14:14" x14ac:dyDescent="0.2">
      <c r="N416" s="70"/>
    </row>
    <row r="417" spans="14:14" x14ac:dyDescent="0.2">
      <c r="N417" s="70"/>
    </row>
    <row r="418" spans="14:14" x14ac:dyDescent="0.2">
      <c r="N418" s="70"/>
    </row>
    <row r="419" spans="14:14" x14ac:dyDescent="0.2">
      <c r="N419" s="70"/>
    </row>
    <row r="420" spans="14:14" x14ac:dyDescent="0.2">
      <c r="N420" s="70"/>
    </row>
    <row r="421" spans="14:14" x14ac:dyDescent="0.2">
      <c r="N421" s="70"/>
    </row>
    <row r="422" spans="14:14" x14ac:dyDescent="0.2">
      <c r="N422" s="70"/>
    </row>
    <row r="423" spans="14:14" x14ac:dyDescent="0.2">
      <c r="N423" s="70"/>
    </row>
    <row r="424" spans="14:14" x14ac:dyDescent="0.2">
      <c r="N424" s="70"/>
    </row>
    <row r="425" spans="14:14" x14ac:dyDescent="0.2">
      <c r="N425" s="70"/>
    </row>
    <row r="426" spans="14:14" x14ac:dyDescent="0.2">
      <c r="N426" s="70"/>
    </row>
    <row r="427" spans="14:14" x14ac:dyDescent="0.2">
      <c r="N427" s="70"/>
    </row>
    <row r="428" spans="14:14" x14ac:dyDescent="0.2">
      <c r="N428" s="70"/>
    </row>
    <row r="429" spans="14:14" x14ac:dyDescent="0.2">
      <c r="N429" s="70"/>
    </row>
    <row r="430" spans="14:14" x14ac:dyDescent="0.2">
      <c r="N430" s="70"/>
    </row>
    <row r="431" spans="14:14" x14ac:dyDescent="0.2">
      <c r="N431" s="70"/>
    </row>
    <row r="432" spans="14:14" x14ac:dyDescent="0.2">
      <c r="N432" s="70"/>
    </row>
    <row r="433" spans="14:14" x14ac:dyDescent="0.2">
      <c r="N433" s="70"/>
    </row>
    <row r="434" spans="14:14" x14ac:dyDescent="0.2">
      <c r="N434" s="70"/>
    </row>
    <row r="435" spans="14:14" x14ac:dyDescent="0.2">
      <c r="N435" s="70"/>
    </row>
    <row r="436" spans="14:14" x14ac:dyDescent="0.2">
      <c r="N436" s="70"/>
    </row>
    <row r="437" spans="14:14" x14ac:dyDescent="0.2">
      <c r="N437" s="70"/>
    </row>
    <row r="438" spans="14:14" x14ac:dyDescent="0.2">
      <c r="N438" s="70"/>
    </row>
    <row r="439" spans="14:14" x14ac:dyDescent="0.2">
      <c r="N439" s="70"/>
    </row>
    <row r="440" spans="14:14" x14ac:dyDescent="0.2">
      <c r="N440" s="70"/>
    </row>
    <row r="441" spans="14:14" x14ac:dyDescent="0.2">
      <c r="N441" s="70"/>
    </row>
    <row r="442" spans="14:14" x14ac:dyDescent="0.2">
      <c r="N442" s="70"/>
    </row>
    <row r="443" spans="14:14" x14ac:dyDescent="0.2">
      <c r="N443" s="70"/>
    </row>
    <row r="444" spans="14:14" x14ac:dyDescent="0.2">
      <c r="N444" s="70"/>
    </row>
    <row r="445" spans="14:14" x14ac:dyDescent="0.2">
      <c r="N445" s="70"/>
    </row>
    <row r="446" spans="14:14" x14ac:dyDescent="0.2">
      <c r="N446" s="70"/>
    </row>
    <row r="447" spans="14:14" x14ac:dyDescent="0.2">
      <c r="N447" s="70"/>
    </row>
    <row r="448" spans="14:14" x14ac:dyDescent="0.2">
      <c r="N448" s="70"/>
    </row>
    <row r="449" spans="14:14" x14ac:dyDescent="0.2">
      <c r="N449" s="70"/>
    </row>
    <row r="450" spans="14:14" x14ac:dyDescent="0.2">
      <c r="N450" s="70"/>
    </row>
    <row r="451" spans="14:14" x14ac:dyDescent="0.2">
      <c r="N451" s="70"/>
    </row>
    <row r="452" spans="14:14" x14ac:dyDescent="0.2">
      <c r="N452" s="70"/>
    </row>
    <row r="453" spans="14:14" x14ac:dyDescent="0.2">
      <c r="N453" s="70"/>
    </row>
    <row r="454" spans="14:14" x14ac:dyDescent="0.2">
      <c r="N454" s="70"/>
    </row>
    <row r="455" spans="14:14" x14ac:dyDescent="0.2">
      <c r="N455" s="70"/>
    </row>
    <row r="456" spans="14:14" x14ac:dyDescent="0.2">
      <c r="N456" s="70"/>
    </row>
    <row r="457" spans="14:14" x14ac:dyDescent="0.2">
      <c r="N457" s="70"/>
    </row>
    <row r="458" spans="14:14" x14ac:dyDescent="0.2">
      <c r="N458" s="70"/>
    </row>
    <row r="459" spans="14:14" x14ac:dyDescent="0.2">
      <c r="N459" s="70"/>
    </row>
    <row r="460" spans="14:14" x14ac:dyDescent="0.2">
      <c r="N460" s="70"/>
    </row>
    <row r="461" spans="14:14" x14ac:dyDescent="0.2">
      <c r="N461" s="70"/>
    </row>
    <row r="462" spans="14:14" x14ac:dyDescent="0.2">
      <c r="N462" s="70"/>
    </row>
    <row r="463" spans="14:14" x14ac:dyDescent="0.2">
      <c r="N463" s="70"/>
    </row>
    <row r="464" spans="14:14" x14ac:dyDescent="0.2">
      <c r="N464" s="70"/>
    </row>
    <row r="465" spans="14:14" x14ac:dyDescent="0.2">
      <c r="N465" s="70"/>
    </row>
    <row r="466" spans="14:14" x14ac:dyDescent="0.2">
      <c r="N466" s="70"/>
    </row>
    <row r="467" spans="14:14" x14ac:dyDescent="0.2">
      <c r="N467" s="70"/>
    </row>
    <row r="468" spans="14:14" x14ac:dyDescent="0.2">
      <c r="N468" s="70"/>
    </row>
    <row r="469" spans="14:14" x14ac:dyDescent="0.2">
      <c r="N469" s="70"/>
    </row>
    <row r="470" spans="14:14" x14ac:dyDescent="0.2">
      <c r="N470" s="70"/>
    </row>
    <row r="471" spans="14:14" x14ac:dyDescent="0.2">
      <c r="N471" s="70"/>
    </row>
    <row r="472" spans="14:14" x14ac:dyDescent="0.2">
      <c r="N472" s="70"/>
    </row>
    <row r="473" spans="14:14" x14ac:dyDescent="0.2">
      <c r="N473" s="70"/>
    </row>
    <row r="474" spans="14:14" x14ac:dyDescent="0.2">
      <c r="N474" s="70"/>
    </row>
    <row r="475" spans="14:14" x14ac:dyDescent="0.2">
      <c r="N475" s="70"/>
    </row>
    <row r="476" spans="14:14" x14ac:dyDescent="0.2">
      <c r="N476" s="70"/>
    </row>
    <row r="477" spans="14:14" x14ac:dyDescent="0.2">
      <c r="N477" s="70"/>
    </row>
    <row r="478" spans="14:14" x14ac:dyDescent="0.2">
      <c r="N478" s="70"/>
    </row>
    <row r="479" spans="14:14" x14ac:dyDescent="0.2">
      <c r="N479" s="70"/>
    </row>
    <row r="480" spans="14:14" x14ac:dyDescent="0.2">
      <c r="N480" s="70"/>
    </row>
    <row r="481" spans="14:14" x14ac:dyDescent="0.2">
      <c r="N481" s="70"/>
    </row>
    <row r="482" spans="14:14" x14ac:dyDescent="0.2">
      <c r="N482" s="70"/>
    </row>
    <row r="483" spans="14:14" x14ac:dyDescent="0.2">
      <c r="N483" s="70"/>
    </row>
    <row r="484" spans="14:14" x14ac:dyDescent="0.2">
      <c r="N484" s="70"/>
    </row>
    <row r="485" spans="14:14" x14ac:dyDescent="0.2">
      <c r="N485" s="70"/>
    </row>
    <row r="486" spans="14:14" x14ac:dyDescent="0.2">
      <c r="N486" s="70"/>
    </row>
    <row r="487" spans="14:14" x14ac:dyDescent="0.2">
      <c r="N487" s="70"/>
    </row>
    <row r="488" spans="14:14" x14ac:dyDescent="0.2">
      <c r="N488" s="70"/>
    </row>
    <row r="489" spans="14:14" x14ac:dyDescent="0.2">
      <c r="N489" s="70"/>
    </row>
    <row r="490" spans="14:14" x14ac:dyDescent="0.2">
      <c r="N490" s="70"/>
    </row>
    <row r="491" spans="14:14" x14ac:dyDescent="0.2">
      <c r="N491" s="70"/>
    </row>
    <row r="492" spans="14:14" x14ac:dyDescent="0.2">
      <c r="N492" s="70"/>
    </row>
    <row r="493" spans="14:14" x14ac:dyDescent="0.2">
      <c r="N493" s="70"/>
    </row>
    <row r="494" spans="14:14" x14ac:dyDescent="0.2">
      <c r="N494" s="70"/>
    </row>
    <row r="495" spans="14:14" x14ac:dyDescent="0.2">
      <c r="N495" s="70"/>
    </row>
    <row r="496" spans="14:14" x14ac:dyDescent="0.2">
      <c r="N496" s="70"/>
    </row>
    <row r="497" spans="14:14" x14ac:dyDescent="0.2">
      <c r="N497" s="70"/>
    </row>
    <row r="498" spans="14:14" x14ac:dyDescent="0.2">
      <c r="N498" s="70"/>
    </row>
    <row r="499" spans="14:14" x14ac:dyDescent="0.2">
      <c r="N499" s="70"/>
    </row>
    <row r="500" spans="14:14" x14ac:dyDescent="0.2">
      <c r="N500" s="70"/>
    </row>
    <row r="501" spans="14:14" x14ac:dyDescent="0.2">
      <c r="N501" s="70"/>
    </row>
    <row r="502" spans="14:14" x14ac:dyDescent="0.2">
      <c r="N502" s="70"/>
    </row>
    <row r="503" spans="14:14" x14ac:dyDescent="0.2">
      <c r="N503" s="70"/>
    </row>
    <row r="504" spans="14:14" x14ac:dyDescent="0.2">
      <c r="N504" s="70"/>
    </row>
    <row r="505" spans="14:14" x14ac:dyDescent="0.2">
      <c r="N505" s="70"/>
    </row>
    <row r="506" spans="14:14" x14ac:dyDescent="0.2">
      <c r="N506" s="70"/>
    </row>
    <row r="507" spans="14:14" x14ac:dyDescent="0.2">
      <c r="N507" s="70"/>
    </row>
    <row r="508" spans="14:14" x14ac:dyDescent="0.2">
      <c r="N508" s="70"/>
    </row>
    <row r="509" spans="14:14" x14ac:dyDescent="0.2">
      <c r="N509" s="70"/>
    </row>
    <row r="510" spans="14:14" x14ac:dyDescent="0.2">
      <c r="N510" s="70"/>
    </row>
    <row r="511" spans="14:14" x14ac:dyDescent="0.2">
      <c r="N511" s="70"/>
    </row>
    <row r="512" spans="14:14" x14ac:dyDescent="0.2">
      <c r="N512" s="70"/>
    </row>
    <row r="513" spans="14:14" x14ac:dyDescent="0.2">
      <c r="N513" s="70"/>
    </row>
    <row r="514" spans="14:14" x14ac:dyDescent="0.2">
      <c r="N514" s="70"/>
    </row>
    <row r="515" spans="14:14" x14ac:dyDescent="0.2">
      <c r="N515" s="70"/>
    </row>
    <row r="516" spans="14:14" x14ac:dyDescent="0.2">
      <c r="N516" s="70"/>
    </row>
    <row r="517" spans="14:14" x14ac:dyDescent="0.2">
      <c r="N517" s="70"/>
    </row>
    <row r="518" spans="14:14" x14ac:dyDescent="0.2">
      <c r="N518" s="70"/>
    </row>
    <row r="519" spans="14:14" x14ac:dyDescent="0.2">
      <c r="N519" s="70"/>
    </row>
    <row r="520" spans="14:14" x14ac:dyDescent="0.2">
      <c r="N520" s="70"/>
    </row>
    <row r="521" spans="14:14" x14ac:dyDescent="0.2">
      <c r="N521" s="70"/>
    </row>
    <row r="522" spans="14:14" x14ac:dyDescent="0.2">
      <c r="N522" s="70"/>
    </row>
    <row r="523" spans="14:14" x14ac:dyDescent="0.2">
      <c r="N523" s="70"/>
    </row>
    <row r="524" spans="14:14" x14ac:dyDescent="0.2">
      <c r="N524" s="70"/>
    </row>
    <row r="525" spans="14:14" x14ac:dyDescent="0.2">
      <c r="N525" s="70"/>
    </row>
    <row r="526" spans="14:14" x14ac:dyDescent="0.2">
      <c r="N526" s="70"/>
    </row>
    <row r="527" spans="14:14" x14ac:dyDescent="0.2">
      <c r="N527" s="70"/>
    </row>
    <row r="528" spans="14:14" x14ac:dyDescent="0.2">
      <c r="N528" s="70"/>
    </row>
    <row r="529" spans="14:14" x14ac:dyDescent="0.2">
      <c r="N529" s="70"/>
    </row>
    <row r="530" spans="14:14" x14ac:dyDescent="0.2">
      <c r="N530" s="70"/>
    </row>
    <row r="531" spans="14:14" x14ac:dyDescent="0.2">
      <c r="N531" s="70"/>
    </row>
    <row r="532" spans="14:14" x14ac:dyDescent="0.2">
      <c r="N532" s="70"/>
    </row>
    <row r="533" spans="14:14" x14ac:dyDescent="0.2">
      <c r="N533" s="70"/>
    </row>
    <row r="534" spans="14:14" x14ac:dyDescent="0.2">
      <c r="N534" s="70"/>
    </row>
    <row r="535" spans="14:14" x14ac:dyDescent="0.2">
      <c r="N535" s="70"/>
    </row>
    <row r="536" spans="14:14" x14ac:dyDescent="0.2">
      <c r="N536" s="70"/>
    </row>
    <row r="537" spans="14:14" x14ac:dyDescent="0.2">
      <c r="N537" s="70"/>
    </row>
    <row r="538" spans="14:14" x14ac:dyDescent="0.2">
      <c r="N538" s="70"/>
    </row>
    <row r="539" spans="14:14" x14ac:dyDescent="0.2">
      <c r="N539" s="70"/>
    </row>
    <row r="540" spans="14:14" x14ac:dyDescent="0.2">
      <c r="N540" s="70"/>
    </row>
    <row r="541" spans="14:14" x14ac:dyDescent="0.2">
      <c r="N541" s="70"/>
    </row>
    <row r="542" spans="14:14" x14ac:dyDescent="0.2">
      <c r="N542" s="70"/>
    </row>
    <row r="543" spans="14:14" x14ac:dyDescent="0.2">
      <c r="N543" s="70"/>
    </row>
    <row r="544" spans="14:14" x14ac:dyDescent="0.2">
      <c r="N544" s="70"/>
    </row>
    <row r="545" spans="14:14" x14ac:dyDescent="0.2">
      <c r="N545" s="70"/>
    </row>
    <row r="546" spans="14:14" x14ac:dyDescent="0.2">
      <c r="N546" s="70"/>
    </row>
    <row r="547" spans="14:14" x14ac:dyDescent="0.2">
      <c r="N547" s="70"/>
    </row>
    <row r="548" spans="14:14" x14ac:dyDescent="0.2">
      <c r="N548" s="70"/>
    </row>
    <row r="549" spans="14:14" x14ac:dyDescent="0.2">
      <c r="N549" s="70"/>
    </row>
    <row r="550" spans="14:14" x14ac:dyDescent="0.2">
      <c r="N550" s="70"/>
    </row>
    <row r="551" spans="14:14" x14ac:dyDescent="0.2">
      <c r="N551" s="70"/>
    </row>
    <row r="552" spans="14:14" x14ac:dyDescent="0.2">
      <c r="N552" s="70"/>
    </row>
    <row r="553" spans="14:14" x14ac:dyDescent="0.2">
      <c r="N553" s="70"/>
    </row>
    <row r="554" spans="14:14" x14ac:dyDescent="0.2">
      <c r="N554" s="70"/>
    </row>
    <row r="555" spans="14:14" x14ac:dyDescent="0.2">
      <c r="N555" s="70"/>
    </row>
    <row r="556" spans="14:14" x14ac:dyDescent="0.2">
      <c r="N556" s="70"/>
    </row>
    <row r="557" spans="14:14" x14ac:dyDescent="0.2">
      <c r="N557" s="70"/>
    </row>
    <row r="558" spans="14:14" x14ac:dyDescent="0.2">
      <c r="N558" s="70"/>
    </row>
    <row r="559" spans="14:14" x14ac:dyDescent="0.2">
      <c r="N559" s="70"/>
    </row>
    <row r="560" spans="14:14" x14ac:dyDescent="0.2">
      <c r="N560" s="70"/>
    </row>
    <row r="561" spans="14:14" x14ac:dyDescent="0.2">
      <c r="N561" s="70"/>
    </row>
    <row r="562" spans="14:14" x14ac:dyDescent="0.2">
      <c r="N562" s="70"/>
    </row>
    <row r="563" spans="14:14" x14ac:dyDescent="0.2">
      <c r="N563" s="70"/>
    </row>
    <row r="564" spans="14:14" x14ac:dyDescent="0.2">
      <c r="N564" s="70"/>
    </row>
    <row r="565" spans="14:14" x14ac:dyDescent="0.2">
      <c r="N565" s="70"/>
    </row>
    <row r="566" spans="14:14" x14ac:dyDescent="0.2">
      <c r="N566" s="70"/>
    </row>
    <row r="567" spans="14:14" x14ac:dyDescent="0.2">
      <c r="N567" s="70"/>
    </row>
    <row r="568" spans="14:14" x14ac:dyDescent="0.2">
      <c r="N568" s="70"/>
    </row>
    <row r="569" spans="14:14" x14ac:dyDescent="0.2">
      <c r="N569" s="70"/>
    </row>
    <row r="570" spans="14:14" x14ac:dyDescent="0.2">
      <c r="N570" s="70"/>
    </row>
    <row r="571" spans="14:14" x14ac:dyDescent="0.2">
      <c r="N571" s="70"/>
    </row>
    <row r="572" spans="14:14" x14ac:dyDescent="0.2">
      <c r="N572" s="70"/>
    </row>
    <row r="573" spans="14:14" x14ac:dyDescent="0.2">
      <c r="N573" s="70"/>
    </row>
    <row r="574" spans="14:14" x14ac:dyDescent="0.2">
      <c r="N574" s="70"/>
    </row>
    <row r="575" spans="14:14" x14ac:dyDescent="0.2">
      <c r="N575" s="70"/>
    </row>
    <row r="576" spans="14:14" x14ac:dyDescent="0.2">
      <c r="N576" s="70"/>
    </row>
    <row r="577" spans="14:14" x14ac:dyDescent="0.2">
      <c r="N577" s="70"/>
    </row>
    <row r="578" spans="14:14" x14ac:dyDescent="0.2">
      <c r="N578" s="70"/>
    </row>
    <row r="579" spans="14:14" x14ac:dyDescent="0.2">
      <c r="N579" s="70"/>
    </row>
    <row r="580" spans="14:14" x14ac:dyDescent="0.2">
      <c r="N580" s="70"/>
    </row>
    <row r="581" spans="14:14" x14ac:dyDescent="0.2">
      <c r="N581" s="70"/>
    </row>
    <row r="582" spans="14:14" x14ac:dyDescent="0.2">
      <c r="N582" s="70"/>
    </row>
    <row r="583" spans="14:14" x14ac:dyDescent="0.2">
      <c r="N583" s="70"/>
    </row>
    <row r="584" spans="14:14" x14ac:dyDescent="0.2">
      <c r="N584" s="70"/>
    </row>
    <row r="585" spans="14:14" x14ac:dyDescent="0.2">
      <c r="N585" s="70"/>
    </row>
    <row r="586" spans="14:14" x14ac:dyDescent="0.2">
      <c r="N586" s="70"/>
    </row>
    <row r="587" spans="14:14" x14ac:dyDescent="0.2">
      <c r="N587" s="70"/>
    </row>
    <row r="588" spans="14:14" x14ac:dyDescent="0.2">
      <c r="N588" s="70"/>
    </row>
    <row r="589" spans="14:14" x14ac:dyDescent="0.2">
      <c r="N589" s="70"/>
    </row>
    <row r="590" spans="14:14" x14ac:dyDescent="0.2">
      <c r="N590" s="70"/>
    </row>
    <row r="591" spans="14:14" x14ac:dyDescent="0.2">
      <c r="N591" s="70"/>
    </row>
    <row r="592" spans="14:14" x14ac:dyDescent="0.2">
      <c r="N592" s="70"/>
    </row>
    <row r="593" spans="14:14" x14ac:dyDescent="0.2">
      <c r="N593" s="70"/>
    </row>
    <row r="594" spans="14:14" x14ac:dyDescent="0.2">
      <c r="N594" s="70"/>
    </row>
    <row r="595" spans="14:14" x14ac:dyDescent="0.2">
      <c r="N595" s="70"/>
    </row>
    <row r="596" spans="14:14" x14ac:dyDescent="0.2">
      <c r="N596" s="70"/>
    </row>
    <row r="597" spans="14:14" x14ac:dyDescent="0.2">
      <c r="N597" s="70"/>
    </row>
    <row r="598" spans="14:14" x14ac:dyDescent="0.2">
      <c r="N598" s="70"/>
    </row>
    <row r="599" spans="14:14" x14ac:dyDescent="0.2">
      <c r="N599" s="70"/>
    </row>
    <row r="600" spans="14:14" x14ac:dyDescent="0.2">
      <c r="N600" s="70"/>
    </row>
    <row r="601" spans="14:14" x14ac:dyDescent="0.2">
      <c r="N601" s="70"/>
    </row>
    <row r="602" spans="14:14" x14ac:dyDescent="0.2">
      <c r="N602" s="70"/>
    </row>
    <row r="603" spans="14:14" x14ac:dyDescent="0.2">
      <c r="N603" s="70"/>
    </row>
    <row r="604" spans="14:14" x14ac:dyDescent="0.2">
      <c r="N604" s="70"/>
    </row>
    <row r="605" spans="14:14" x14ac:dyDescent="0.2">
      <c r="N605" s="70"/>
    </row>
    <row r="606" spans="14:14" x14ac:dyDescent="0.2">
      <c r="N606" s="70"/>
    </row>
    <row r="607" spans="14:14" x14ac:dyDescent="0.2">
      <c r="N607" s="70"/>
    </row>
    <row r="608" spans="14:14" x14ac:dyDescent="0.2">
      <c r="N608" s="70"/>
    </row>
    <row r="609" spans="14:14" x14ac:dyDescent="0.2">
      <c r="N609" s="70"/>
    </row>
    <row r="610" spans="14:14" x14ac:dyDescent="0.2">
      <c r="N610" s="70"/>
    </row>
    <row r="611" spans="14:14" x14ac:dyDescent="0.2">
      <c r="N611" s="70"/>
    </row>
    <row r="612" spans="14:14" x14ac:dyDescent="0.2">
      <c r="N612" s="70"/>
    </row>
    <row r="613" spans="14:14" x14ac:dyDescent="0.2">
      <c r="N613" s="70"/>
    </row>
    <row r="614" spans="14:14" x14ac:dyDescent="0.2">
      <c r="N614" s="70"/>
    </row>
    <row r="615" spans="14:14" x14ac:dyDescent="0.2">
      <c r="N615" s="70"/>
    </row>
    <row r="616" spans="14:14" x14ac:dyDescent="0.2">
      <c r="N616" s="70"/>
    </row>
    <row r="617" spans="14:14" x14ac:dyDescent="0.2">
      <c r="N617" s="70"/>
    </row>
    <row r="618" spans="14:14" x14ac:dyDescent="0.2">
      <c r="N618" s="70"/>
    </row>
    <row r="619" spans="14:14" x14ac:dyDescent="0.2">
      <c r="N619" s="70"/>
    </row>
    <row r="620" spans="14:14" x14ac:dyDescent="0.2">
      <c r="N620" s="70"/>
    </row>
    <row r="621" spans="14:14" x14ac:dyDescent="0.2">
      <c r="N621" s="70"/>
    </row>
    <row r="622" spans="14:14" x14ac:dyDescent="0.2">
      <c r="N622" s="70"/>
    </row>
    <row r="623" spans="14:14" x14ac:dyDescent="0.2">
      <c r="N623" s="70"/>
    </row>
    <row r="624" spans="14:14" x14ac:dyDescent="0.2">
      <c r="N624" s="70"/>
    </row>
    <row r="625" spans="14:14" x14ac:dyDescent="0.2">
      <c r="N625" s="70"/>
    </row>
    <row r="626" spans="14:14" x14ac:dyDescent="0.2">
      <c r="N626" s="70"/>
    </row>
    <row r="627" spans="14:14" x14ac:dyDescent="0.2">
      <c r="N627" s="70"/>
    </row>
    <row r="628" spans="14:14" x14ac:dyDescent="0.2">
      <c r="N628" s="70"/>
    </row>
    <row r="629" spans="14:14" x14ac:dyDescent="0.2">
      <c r="N629" s="70"/>
    </row>
    <row r="630" spans="14:14" x14ac:dyDescent="0.2">
      <c r="N630" s="70"/>
    </row>
    <row r="631" spans="14:14" x14ac:dyDescent="0.2">
      <c r="N631" s="70"/>
    </row>
    <row r="632" spans="14:14" x14ac:dyDescent="0.2">
      <c r="N632" s="70"/>
    </row>
    <row r="633" spans="14:14" x14ac:dyDescent="0.2">
      <c r="N633" s="70"/>
    </row>
    <row r="634" spans="14:14" x14ac:dyDescent="0.2">
      <c r="N634" s="70"/>
    </row>
    <row r="635" spans="14:14" x14ac:dyDescent="0.2">
      <c r="N635" s="70"/>
    </row>
    <row r="636" spans="14:14" x14ac:dyDescent="0.2">
      <c r="N636" s="70"/>
    </row>
    <row r="637" spans="14:14" x14ac:dyDescent="0.2">
      <c r="N637" s="70"/>
    </row>
    <row r="638" spans="14:14" x14ac:dyDescent="0.2">
      <c r="N638" s="70"/>
    </row>
    <row r="639" spans="14:14" x14ac:dyDescent="0.2">
      <c r="N639" s="70"/>
    </row>
    <row r="640" spans="14:14" x14ac:dyDescent="0.2">
      <c r="N640" s="70"/>
    </row>
    <row r="641" spans="14:14" x14ac:dyDescent="0.2">
      <c r="N641" s="70"/>
    </row>
    <row r="642" spans="14:14" x14ac:dyDescent="0.2">
      <c r="N642" s="70"/>
    </row>
    <row r="643" spans="14:14" x14ac:dyDescent="0.2">
      <c r="N643" s="70"/>
    </row>
    <row r="644" spans="14:14" x14ac:dyDescent="0.2">
      <c r="N644" s="70"/>
    </row>
    <row r="645" spans="14:14" x14ac:dyDescent="0.2">
      <c r="N645" s="70"/>
    </row>
    <row r="646" spans="14:14" x14ac:dyDescent="0.2">
      <c r="N646" s="70"/>
    </row>
    <row r="647" spans="14:14" x14ac:dyDescent="0.2">
      <c r="N647" s="70"/>
    </row>
    <row r="648" spans="14:14" x14ac:dyDescent="0.2">
      <c r="N648" s="70"/>
    </row>
    <row r="649" spans="14:14" x14ac:dyDescent="0.2">
      <c r="N649" s="70"/>
    </row>
    <row r="650" spans="14:14" x14ac:dyDescent="0.2">
      <c r="N650" s="70"/>
    </row>
    <row r="651" spans="14:14" x14ac:dyDescent="0.2">
      <c r="N651" s="70"/>
    </row>
    <row r="652" spans="14:14" x14ac:dyDescent="0.2">
      <c r="N652" s="70"/>
    </row>
    <row r="653" spans="14:14" x14ac:dyDescent="0.2">
      <c r="N653" s="70"/>
    </row>
    <row r="654" spans="14:14" x14ac:dyDescent="0.2">
      <c r="N654" s="70"/>
    </row>
    <row r="655" spans="14:14" x14ac:dyDescent="0.2">
      <c r="N655" s="70"/>
    </row>
    <row r="656" spans="14:14" x14ac:dyDescent="0.2">
      <c r="N656" s="70"/>
    </row>
    <row r="657" spans="14:14" x14ac:dyDescent="0.2">
      <c r="N657" s="70"/>
    </row>
    <row r="658" spans="14:14" x14ac:dyDescent="0.2">
      <c r="N658" s="70"/>
    </row>
    <row r="659" spans="14:14" x14ac:dyDescent="0.2">
      <c r="N659" s="70"/>
    </row>
    <row r="660" spans="14:14" x14ac:dyDescent="0.2">
      <c r="N660" s="70"/>
    </row>
    <row r="661" spans="14:14" x14ac:dyDescent="0.2">
      <c r="N661" s="70"/>
    </row>
    <row r="662" spans="14:14" x14ac:dyDescent="0.2">
      <c r="N662" s="70"/>
    </row>
    <row r="663" spans="14:14" x14ac:dyDescent="0.2">
      <c r="N663" s="70"/>
    </row>
    <row r="664" spans="14:14" x14ac:dyDescent="0.2">
      <c r="N664" s="70"/>
    </row>
    <row r="665" spans="14:14" x14ac:dyDescent="0.2">
      <c r="N665" s="70"/>
    </row>
    <row r="666" spans="14:14" x14ac:dyDescent="0.2">
      <c r="N666" s="70"/>
    </row>
    <row r="667" spans="14:14" x14ac:dyDescent="0.2">
      <c r="N667" s="70"/>
    </row>
    <row r="668" spans="14:14" x14ac:dyDescent="0.2">
      <c r="N668" s="70"/>
    </row>
    <row r="669" spans="14:14" x14ac:dyDescent="0.2">
      <c r="N669" s="70"/>
    </row>
    <row r="670" spans="14:14" x14ac:dyDescent="0.2">
      <c r="N670" s="70"/>
    </row>
    <row r="671" spans="14:14" x14ac:dyDescent="0.2">
      <c r="N671" s="70"/>
    </row>
    <row r="672" spans="14:14" x14ac:dyDescent="0.2">
      <c r="N672" s="70"/>
    </row>
    <row r="673" spans="14:14" x14ac:dyDescent="0.2">
      <c r="N673" s="70"/>
    </row>
    <row r="674" spans="14:14" x14ac:dyDescent="0.2">
      <c r="N674" s="70"/>
    </row>
    <row r="675" spans="14:14" x14ac:dyDescent="0.2">
      <c r="N675" s="70"/>
    </row>
    <row r="676" spans="14:14" x14ac:dyDescent="0.2">
      <c r="N676" s="70"/>
    </row>
    <row r="677" spans="14:14" x14ac:dyDescent="0.2">
      <c r="N677" s="70"/>
    </row>
    <row r="678" spans="14:14" x14ac:dyDescent="0.2">
      <c r="N678" s="70"/>
    </row>
    <row r="679" spans="14:14" x14ac:dyDescent="0.2">
      <c r="N679" s="70"/>
    </row>
    <row r="680" spans="14:14" x14ac:dyDescent="0.2">
      <c r="N680" s="70"/>
    </row>
    <row r="681" spans="14:14" x14ac:dyDescent="0.2">
      <c r="N681" s="70"/>
    </row>
    <row r="682" spans="14:14" x14ac:dyDescent="0.2">
      <c r="N682" s="70"/>
    </row>
    <row r="683" spans="14:14" x14ac:dyDescent="0.2">
      <c r="N683" s="70"/>
    </row>
    <row r="684" spans="14:14" x14ac:dyDescent="0.2">
      <c r="N684" s="70"/>
    </row>
    <row r="685" spans="14:14" x14ac:dyDescent="0.2">
      <c r="N685" s="70"/>
    </row>
    <row r="686" spans="14:14" x14ac:dyDescent="0.2">
      <c r="N686" s="70"/>
    </row>
    <row r="687" spans="14:14" x14ac:dyDescent="0.2">
      <c r="N687" s="70"/>
    </row>
    <row r="688" spans="14:14" x14ac:dyDescent="0.2">
      <c r="N688" s="70"/>
    </row>
    <row r="689" spans="14:14" x14ac:dyDescent="0.2">
      <c r="N689" s="70"/>
    </row>
    <row r="690" spans="14:14" x14ac:dyDescent="0.2">
      <c r="N690" s="70"/>
    </row>
    <row r="691" spans="14:14" x14ac:dyDescent="0.2">
      <c r="N691" s="70"/>
    </row>
    <row r="692" spans="14:14" x14ac:dyDescent="0.2">
      <c r="N692" s="70"/>
    </row>
    <row r="693" spans="14:14" x14ac:dyDescent="0.2">
      <c r="N693" s="70"/>
    </row>
    <row r="694" spans="14:14" x14ac:dyDescent="0.2">
      <c r="N694" s="70"/>
    </row>
    <row r="695" spans="14:14" x14ac:dyDescent="0.2">
      <c r="N695" s="70"/>
    </row>
    <row r="696" spans="14:14" x14ac:dyDescent="0.2">
      <c r="N696" s="70"/>
    </row>
    <row r="697" spans="14:14" x14ac:dyDescent="0.2">
      <c r="N697" s="70"/>
    </row>
    <row r="698" spans="14:14" x14ac:dyDescent="0.2">
      <c r="N698" s="70"/>
    </row>
    <row r="699" spans="14:14" x14ac:dyDescent="0.2">
      <c r="N699" s="70"/>
    </row>
    <row r="700" spans="14:14" x14ac:dyDescent="0.2">
      <c r="N700" s="70"/>
    </row>
    <row r="701" spans="14:14" x14ac:dyDescent="0.2">
      <c r="N701" s="70"/>
    </row>
    <row r="702" spans="14:14" x14ac:dyDescent="0.2">
      <c r="N702" s="70"/>
    </row>
    <row r="703" spans="14:14" x14ac:dyDescent="0.2">
      <c r="N703" s="70"/>
    </row>
    <row r="704" spans="14:14" x14ac:dyDescent="0.2">
      <c r="N704" s="70"/>
    </row>
    <row r="705" spans="14:14" x14ac:dyDescent="0.2">
      <c r="N705" s="70"/>
    </row>
    <row r="706" spans="14:14" x14ac:dyDescent="0.2">
      <c r="N706" s="70"/>
    </row>
    <row r="707" spans="14:14" x14ac:dyDescent="0.2">
      <c r="N707" s="70"/>
    </row>
    <row r="708" spans="14:14" x14ac:dyDescent="0.2">
      <c r="N708" s="70"/>
    </row>
    <row r="709" spans="14:14" x14ac:dyDescent="0.2">
      <c r="N709" s="70"/>
    </row>
    <row r="710" spans="14:14" x14ac:dyDescent="0.2">
      <c r="N710" s="70"/>
    </row>
    <row r="711" spans="14:14" x14ac:dyDescent="0.2">
      <c r="N711" s="70"/>
    </row>
    <row r="712" spans="14:14" x14ac:dyDescent="0.2">
      <c r="N712" s="70"/>
    </row>
    <row r="713" spans="14:14" x14ac:dyDescent="0.2">
      <c r="N713" s="70"/>
    </row>
    <row r="714" spans="14:14" x14ac:dyDescent="0.2">
      <c r="N714" s="70"/>
    </row>
    <row r="715" spans="14:14" x14ac:dyDescent="0.2">
      <c r="N715" s="70"/>
    </row>
    <row r="716" spans="14:14" x14ac:dyDescent="0.2">
      <c r="N716" s="70"/>
    </row>
    <row r="717" spans="14:14" x14ac:dyDescent="0.2">
      <c r="N717" s="70"/>
    </row>
    <row r="718" spans="14:14" x14ac:dyDescent="0.2">
      <c r="N718" s="70"/>
    </row>
    <row r="719" spans="14:14" x14ac:dyDescent="0.2">
      <c r="N719" s="70"/>
    </row>
    <row r="720" spans="14:14" x14ac:dyDescent="0.2">
      <c r="N720" s="70"/>
    </row>
    <row r="721" spans="14:14" x14ac:dyDescent="0.2">
      <c r="N721" s="70"/>
    </row>
    <row r="722" spans="14:14" x14ac:dyDescent="0.2">
      <c r="N722" s="70"/>
    </row>
    <row r="723" spans="14:14" x14ac:dyDescent="0.2">
      <c r="N723" s="70"/>
    </row>
    <row r="724" spans="14:14" x14ac:dyDescent="0.2">
      <c r="N724" s="70"/>
    </row>
    <row r="725" spans="14:14" x14ac:dyDescent="0.2">
      <c r="N725" s="70"/>
    </row>
    <row r="726" spans="14:14" x14ac:dyDescent="0.2">
      <c r="N726" s="70"/>
    </row>
    <row r="727" spans="14:14" x14ac:dyDescent="0.2">
      <c r="N727" s="70"/>
    </row>
    <row r="728" spans="14:14" x14ac:dyDescent="0.2">
      <c r="N728" s="70"/>
    </row>
    <row r="729" spans="14:14" x14ac:dyDescent="0.2">
      <c r="N729" s="70"/>
    </row>
    <row r="730" spans="14:14" x14ac:dyDescent="0.2">
      <c r="N730" s="70"/>
    </row>
    <row r="731" spans="14:14" x14ac:dyDescent="0.2">
      <c r="N731" s="70"/>
    </row>
    <row r="732" spans="14:14" x14ac:dyDescent="0.2">
      <c r="N732" s="70"/>
    </row>
    <row r="733" spans="14:14" x14ac:dyDescent="0.2">
      <c r="N733" s="70"/>
    </row>
    <row r="734" spans="14:14" x14ac:dyDescent="0.2">
      <c r="N734" s="70"/>
    </row>
    <row r="735" spans="14:14" x14ac:dyDescent="0.2">
      <c r="N735" s="70"/>
    </row>
    <row r="736" spans="14:14" x14ac:dyDescent="0.2">
      <c r="N736" s="70"/>
    </row>
    <row r="737" spans="14:14" x14ac:dyDescent="0.2">
      <c r="N737" s="70"/>
    </row>
    <row r="738" spans="14:14" x14ac:dyDescent="0.2">
      <c r="N738" s="70"/>
    </row>
    <row r="739" spans="14:14" x14ac:dyDescent="0.2">
      <c r="N739" s="70"/>
    </row>
    <row r="740" spans="14:14" x14ac:dyDescent="0.2">
      <c r="N740" s="70"/>
    </row>
    <row r="741" spans="14:14" x14ac:dyDescent="0.2">
      <c r="N741" s="70"/>
    </row>
    <row r="742" spans="14:14" x14ac:dyDescent="0.2">
      <c r="N742" s="70"/>
    </row>
    <row r="743" spans="14:14" x14ac:dyDescent="0.2">
      <c r="N743" s="70"/>
    </row>
    <row r="744" spans="14:14" x14ac:dyDescent="0.2">
      <c r="N744" s="70"/>
    </row>
    <row r="745" spans="14:14" x14ac:dyDescent="0.2">
      <c r="N745" s="70"/>
    </row>
    <row r="746" spans="14:14" x14ac:dyDescent="0.2">
      <c r="N746" s="70"/>
    </row>
    <row r="747" spans="14:14" x14ac:dyDescent="0.2">
      <c r="N747" s="70"/>
    </row>
    <row r="748" spans="14:14" x14ac:dyDescent="0.2">
      <c r="N748" s="70"/>
    </row>
    <row r="749" spans="14:14" x14ac:dyDescent="0.2">
      <c r="N749" s="70"/>
    </row>
    <row r="750" spans="14:14" x14ac:dyDescent="0.2">
      <c r="N750" s="70"/>
    </row>
    <row r="751" spans="14:14" x14ac:dyDescent="0.2">
      <c r="N751" s="70"/>
    </row>
    <row r="752" spans="14:14" x14ac:dyDescent="0.2">
      <c r="N752" s="70"/>
    </row>
    <row r="753" spans="14:14" x14ac:dyDescent="0.2">
      <c r="N753" s="70"/>
    </row>
    <row r="754" spans="14:14" x14ac:dyDescent="0.2">
      <c r="N754" s="70"/>
    </row>
    <row r="755" spans="14:14" x14ac:dyDescent="0.2">
      <c r="N755" s="70"/>
    </row>
    <row r="756" spans="14:14" x14ac:dyDescent="0.2">
      <c r="N756" s="70"/>
    </row>
    <row r="757" spans="14:14" x14ac:dyDescent="0.2">
      <c r="N757" s="70"/>
    </row>
    <row r="758" spans="14:14" x14ac:dyDescent="0.2">
      <c r="N758" s="70"/>
    </row>
    <row r="759" spans="14:14" x14ac:dyDescent="0.2">
      <c r="N759" s="70"/>
    </row>
    <row r="760" spans="14:14" x14ac:dyDescent="0.2">
      <c r="N760" s="70"/>
    </row>
    <row r="761" spans="14:14" x14ac:dyDescent="0.2">
      <c r="N761" s="70"/>
    </row>
    <row r="762" spans="14:14" x14ac:dyDescent="0.2">
      <c r="N762" s="70"/>
    </row>
    <row r="763" spans="14:14" x14ac:dyDescent="0.2">
      <c r="N763" s="70"/>
    </row>
    <row r="764" spans="14:14" x14ac:dyDescent="0.2">
      <c r="N764" s="70"/>
    </row>
    <row r="765" spans="14:14" x14ac:dyDescent="0.2">
      <c r="N765" s="70"/>
    </row>
    <row r="766" spans="14:14" x14ac:dyDescent="0.2">
      <c r="N766" s="70"/>
    </row>
    <row r="767" spans="14:14" x14ac:dyDescent="0.2">
      <c r="N767" s="70"/>
    </row>
    <row r="768" spans="14:14" x14ac:dyDescent="0.2">
      <c r="N768" s="70"/>
    </row>
    <row r="769" spans="14:14" x14ac:dyDescent="0.2">
      <c r="N769" s="70"/>
    </row>
    <row r="770" spans="14:14" x14ac:dyDescent="0.2">
      <c r="N770" s="70"/>
    </row>
    <row r="771" spans="14:14" x14ac:dyDescent="0.2">
      <c r="N771" s="70"/>
    </row>
    <row r="772" spans="14:14" x14ac:dyDescent="0.2">
      <c r="N772" s="70"/>
    </row>
    <row r="773" spans="14:14" x14ac:dyDescent="0.2">
      <c r="N773" s="70"/>
    </row>
    <row r="774" spans="14:14" x14ac:dyDescent="0.2">
      <c r="N774" s="70"/>
    </row>
    <row r="775" spans="14:14" x14ac:dyDescent="0.2">
      <c r="N775" s="70"/>
    </row>
    <row r="776" spans="14:14" x14ac:dyDescent="0.2">
      <c r="N776" s="70"/>
    </row>
    <row r="777" spans="14:14" x14ac:dyDescent="0.2">
      <c r="N777" s="70"/>
    </row>
    <row r="778" spans="14:14" x14ac:dyDescent="0.2">
      <c r="N778" s="70"/>
    </row>
    <row r="779" spans="14:14" x14ac:dyDescent="0.2">
      <c r="N779" s="70"/>
    </row>
    <row r="780" spans="14:14" x14ac:dyDescent="0.2">
      <c r="N780" s="70"/>
    </row>
    <row r="781" spans="14:14" x14ac:dyDescent="0.2">
      <c r="N781" s="70"/>
    </row>
    <row r="782" spans="14:14" x14ac:dyDescent="0.2">
      <c r="N782" s="70"/>
    </row>
    <row r="783" spans="14:14" x14ac:dyDescent="0.2">
      <c r="N783" s="70"/>
    </row>
    <row r="784" spans="14:14" x14ac:dyDescent="0.2">
      <c r="N784" s="70"/>
    </row>
    <row r="785" spans="14:14" x14ac:dyDescent="0.2">
      <c r="N785" s="70"/>
    </row>
    <row r="786" spans="14:14" x14ac:dyDescent="0.2">
      <c r="N786" s="70"/>
    </row>
    <row r="787" spans="14:14" x14ac:dyDescent="0.2">
      <c r="N787" s="70"/>
    </row>
    <row r="788" spans="14:14" x14ac:dyDescent="0.2">
      <c r="N788" s="70"/>
    </row>
    <row r="789" spans="14:14" x14ac:dyDescent="0.2">
      <c r="N789" s="70"/>
    </row>
    <row r="790" spans="14:14" x14ac:dyDescent="0.2">
      <c r="N790" s="70"/>
    </row>
    <row r="791" spans="14:14" x14ac:dyDescent="0.2">
      <c r="N791" s="70"/>
    </row>
    <row r="792" spans="14:14" x14ac:dyDescent="0.2">
      <c r="N792" s="70"/>
    </row>
    <row r="793" spans="14:14" x14ac:dyDescent="0.2">
      <c r="N793" s="70"/>
    </row>
    <row r="794" spans="14:14" x14ac:dyDescent="0.2">
      <c r="N794" s="70"/>
    </row>
    <row r="795" spans="14:14" x14ac:dyDescent="0.2">
      <c r="N795" s="70"/>
    </row>
    <row r="796" spans="14:14" x14ac:dyDescent="0.2">
      <c r="N796" s="70"/>
    </row>
    <row r="797" spans="14:14" x14ac:dyDescent="0.2">
      <c r="N797" s="70"/>
    </row>
    <row r="798" spans="14:14" x14ac:dyDescent="0.2">
      <c r="N798" s="70"/>
    </row>
    <row r="799" spans="14:14" x14ac:dyDescent="0.2">
      <c r="N799" s="70"/>
    </row>
    <row r="800" spans="14:14" x14ac:dyDescent="0.2">
      <c r="N800" s="70"/>
    </row>
    <row r="801" spans="14:14" x14ac:dyDescent="0.2">
      <c r="N801" s="70"/>
    </row>
    <row r="802" spans="14:14" x14ac:dyDescent="0.2">
      <c r="N802" s="70"/>
    </row>
    <row r="803" spans="14:14" x14ac:dyDescent="0.2">
      <c r="N803" s="70"/>
    </row>
    <row r="804" spans="14:14" x14ac:dyDescent="0.2">
      <c r="N804" s="70"/>
    </row>
    <row r="805" spans="14:14" x14ac:dyDescent="0.2">
      <c r="N805" s="70"/>
    </row>
    <row r="806" spans="14:14" x14ac:dyDescent="0.2">
      <c r="N806" s="70"/>
    </row>
    <row r="807" spans="14:14" x14ac:dyDescent="0.2">
      <c r="N807" s="70"/>
    </row>
    <row r="808" spans="14:14" x14ac:dyDescent="0.2">
      <c r="N808" s="70"/>
    </row>
    <row r="809" spans="14:14" x14ac:dyDescent="0.2">
      <c r="N809" s="70"/>
    </row>
    <row r="810" spans="14:14" x14ac:dyDescent="0.2">
      <c r="N810" s="70"/>
    </row>
    <row r="811" spans="14:14" x14ac:dyDescent="0.2">
      <c r="N811" s="70"/>
    </row>
    <row r="812" spans="14:14" x14ac:dyDescent="0.2">
      <c r="N812" s="70"/>
    </row>
    <row r="813" spans="14:14" x14ac:dyDescent="0.2">
      <c r="N813" s="70"/>
    </row>
    <row r="814" spans="14:14" x14ac:dyDescent="0.2">
      <c r="N814" s="70"/>
    </row>
    <row r="815" spans="14:14" x14ac:dyDescent="0.2">
      <c r="N815" s="70"/>
    </row>
    <row r="816" spans="14:14" x14ac:dyDescent="0.2">
      <c r="N816" s="70"/>
    </row>
    <row r="817" spans="14:14" x14ac:dyDescent="0.2">
      <c r="N817" s="70"/>
    </row>
    <row r="818" spans="14:14" x14ac:dyDescent="0.2">
      <c r="N818" s="70"/>
    </row>
    <row r="819" spans="14:14" x14ac:dyDescent="0.2">
      <c r="N819" s="70"/>
    </row>
    <row r="820" spans="14:14" x14ac:dyDescent="0.2">
      <c r="N820" s="70"/>
    </row>
    <row r="821" spans="14:14" x14ac:dyDescent="0.2">
      <c r="N821" s="70"/>
    </row>
    <row r="822" spans="14:14" x14ac:dyDescent="0.2">
      <c r="N822" s="70"/>
    </row>
    <row r="823" spans="14:14" x14ac:dyDescent="0.2">
      <c r="N823" s="70"/>
    </row>
    <row r="824" spans="14:14" x14ac:dyDescent="0.2">
      <c r="N824" s="70"/>
    </row>
    <row r="825" spans="14:14" x14ac:dyDescent="0.2">
      <c r="N825" s="70"/>
    </row>
    <row r="826" spans="14:14" x14ac:dyDescent="0.2">
      <c r="N826" s="70"/>
    </row>
    <row r="827" spans="14:14" x14ac:dyDescent="0.2">
      <c r="N827" s="70"/>
    </row>
    <row r="828" spans="14:14" x14ac:dyDescent="0.2">
      <c r="N828" s="70"/>
    </row>
    <row r="829" spans="14:14" x14ac:dyDescent="0.2">
      <c r="N829" s="70"/>
    </row>
    <row r="830" spans="14:14" x14ac:dyDescent="0.2">
      <c r="N830" s="70"/>
    </row>
    <row r="831" spans="14:14" x14ac:dyDescent="0.2">
      <c r="N831" s="70"/>
    </row>
    <row r="832" spans="14:14" x14ac:dyDescent="0.2">
      <c r="N832" s="70"/>
    </row>
    <row r="833" spans="14:14" x14ac:dyDescent="0.2">
      <c r="N833" s="70"/>
    </row>
    <row r="834" spans="14:14" x14ac:dyDescent="0.2">
      <c r="N834" s="70"/>
    </row>
    <row r="835" spans="14:14" x14ac:dyDescent="0.2">
      <c r="N835" s="70"/>
    </row>
    <row r="836" spans="14:14" x14ac:dyDescent="0.2">
      <c r="N836" s="70"/>
    </row>
    <row r="837" spans="14:14" x14ac:dyDescent="0.2">
      <c r="N837" s="70"/>
    </row>
    <row r="838" spans="14:14" x14ac:dyDescent="0.2">
      <c r="N838" s="70"/>
    </row>
    <row r="839" spans="14:14" x14ac:dyDescent="0.2">
      <c r="N839" s="70"/>
    </row>
    <row r="840" spans="14:14" x14ac:dyDescent="0.2">
      <c r="N840" s="70"/>
    </row>
    <row r="841" spans="14:14" x14ac:dyDescent="0.2">
      <c r="N841" s="70"/>
    </row>
    <row r="842" spans="14:14" x14ac:dyDescent="0.2">
      <c r="N842" s="70"/>
    </row>
    <row r="843" spans="14:14" x14ac:dyDescent="0.2">
      <c r="N843" s="70"/>
    </row>
    <row r="844" spans="14:14" x14ac:dyDescent="0.2">
      <c r="N844" s="70"/>
    </row>
    <row r="845" spans="14:14" x14ac:dyDescent="0.2">
      <c r="N845" s="70"/>
    </row>
    <row r="846" spans="14:14" x14ac:dyDescent="0.2">
      <c r="N846" s="70"/>
    </row>
    <row r="847" spans="14:14" x14ac:dyDescent="0.2">
      <c r="N847" s="70"/>
    </row>
    <row r="848" spans="14:14" x14ac:dyDescent="0.2">
      <c r="N848" s="70"/>
    </row>
    <row r="849" spans="14:14" x14ac:dyDescent="0.2">
      <c r="N849" s="70"/>
    </row>
    <row r="850" spans="14:14" x14ac:dyDescent="0.2">
      <c r="N850" s="70"/>
    </row>
    <row r="851" spans="14:14" x14ac:dyDescent="0.2">
      <c r="N851" s="70"/>
    </row>
    <row r="852" spans="14:14" x14ac:dyDescent="0.2">
      <c r="N852" s="70"/>
    </row>
    <row r="853" spans="14:14" x14ac:dyDescent="0.2">
      <c r="N853" s="70"/>
    </row>
    <row r="854" spans="14:14" x14ac:dyDescent="0.2">
      <c r="N854" s="70"/>
    </row>
    <row r="855" spans="14:14" x14ac:dyDescent="0.2">
      <c r="N855" s="70"/>
    </row>
    <row r="856" spans="14:14" x14ac:dyDescent="0.2">
      <c r="N856" s="70"/>
    </row>
    <row r="857" spans="14:14" x14ac:dyDescent="0.2">
      <c r="N857" s="70"/>
    </row>
    <row r="858" spans="14:14" x14ac:dyDescent="0.2">
      <c r="N858" s="70"/>
    </row>
    <row r="859" spans="14:14" x14ac:dyDescent="0.2">
      <c r="N859" s="70"/>
    </row>
    <row r="860" spans="14:14" x14ac:dyDescent="0.2">
      <c r="N860" s="70"/>
    </row>
    <row r="861" spans="14:14" x14ac:dyDescent="0.2">
      <c r="N861" s="70"/>
    </row>
    <row r="862" spans="14:14" x14ac:dyDescent="0.2">
      <c r="N862" s="70"/>
    </row>
    <row r="863" spans="14:14" x14ac:dyDescent="0.2">
      <c r="N863" s="70"/>
    </row>
    <row r="864" spans="14:14" x14ac:dyDescent="0.2">
      <c r="N864" s="70"/>
    </row>
    <row r="865" spans="14:14" x14ac:dyDescent="0.2">
      <c r="N865" s="70"/>
    </row>
    <row r="866" spans="14:14" x14ac:dyDescent="0.2">
      <c r="N866" s="70"/>
    </row>
    <row r="867" spans="14:14" x14ac:dyDescent="0.2">
      <c r="N867" s="70"/>
    </row>
    <row r="868" spans="14:14" x14ac:dyDescent="0.2">
      <c r="N868" s="70"/>
    </row>
    <row r="869" spans="14:14" x14ac:dyDescent="0.2">
      <c r="N869" s="70"/>
    </row>
    <row r="870" spans="14:14" x14ac:dyDescent="0.2">
      <c r="N870" s="70"/>
    </row>
    <row r="871" spans="14:14" x14ac:dyDescent="0.2">
      <c r="N871" s="70"/>
    </row>
    <row r="872" spans="14:14" x14ac:dyDescent="0.2">
      <c r="N872" s="70"/>
    </row>
    <row r="873" spans="14:14" x14ac:dyDescent="0.2">
      <c r="N873" s="70"/>
    </row>
    <row r="874" spans="14:14" x14ac:dyDescent="0.2">
      <c r="N874" s="70"/>
    </row>
    <row r="875" spans="14:14" x14ac:dyDescent="0.2">
      <c r="N875" s="70"/>
    </row>
    <row r="876" spans="14:14" x14ac:dyDescent="0.2">
      <c r="N876" s="70"/>
    </row>
    <row r="877" spans="14:14" x14ac:dyDescent="0.2">
      <c r="N877" s="70"/>
    </row>
    <row r="878" spans="14:14" x14ac:dyDescent="0.2">
      <c r="N878" s="70"/>
    </row>
    <row r="879" spans="14:14" x14ac:dyDescent="0.2">
      <c r="N879" s="70"/>
    </row>
    <row r="880" spans="14:14" x14ac:dyDescent="0.2">
      <c r="N880" s="70"/>
    </row>
    <row r="881" spans="14:14" x14ac:dyDescent="0.2">
      <c r="N881" s="70"/>
    </row>
    <row r="882" spans="14:14" x14ac:dyDescent="0.2">
      <c r="N882" s="70"/>
    </row>
    <row r="883" spans="14:14" x14ac:dyDescent="0.2">
      <c r="N883" s="70"/>
    </row>
    <row r="884" spans="14:14" x14ac:dyDescent="0.2">
      <c r="N884" s="70"/>
    </row>
    <row r="885" spans="14:14" x14ac:dyDescent="0.2">
      <c r="N885" s="70"/>
    </row>
    <row r="886" spans="14:14" x14ac:dyDescent="0.2">
      <c r="N886" s="70"/>
    </row>
    <row r="887" spans="14:14" x14ac:dyDescent="0.2">
      <c r="N887" s="70"/>
    </row>
    <row r="888" spans="14:14" x14ac:dyDescent="0.2">
      <c r="N888" s="70"/>
    </row>
    <row r="889" spans="14:14" x14ac:dyDescent="0.2">
      <c r="N889" s="70"/>
    </row>
    <row r="890" spans="14:14" x14ac:dyDescent="0.2">
      <c r="N890" s="70"/>
    </row>
    <row r="891" spans="14:14" x14ac:dyDescent="0.2">
      <c r="N891" s="70"/>
    </row>
    <row r="892" spans="14:14" x14ac:dyDescent="0.2">
      <c r="N892" s="70"/>
    </row>
    <row r="893" spans="14:14" x14ac:dyDescent="0.2">
      <c r="N893" s="70"/>
    </row>
    <row r="894" spans="14:14" x14ac:dyDescent="0.2">
      <c r="N894" s="70"/>
    </row>
    <row r="895" spans="14:14" x14ac:dyDescent="0.2">
      <c r="N895" s="70"/>
    </row>
    <row r="896" spans="14:14" x14ac:dyDescent="0.2">
      <c r="N896" s="70"/>
    </row>
    <row r="897" spans="14:14" x14ac:dyDescent="0.2">
      <c r="N897" s="70"/>
    </row>
    <row r="898" spans="14:14" x14ac:dyDescent="0.2">
      <c r="N898" s="70"/>
    </row>
    <row r="899" spans="14:14" x14ac:dyDescent="0.2">
      <c r="N899" s="70"/>
    </row>
    <row r="900" spans="14:14" x14ac:dyDescent="0.2">
      <c r="N900" s="70"/>
    </row>
    <row r="901" spans="14:14" x14ac:dyDescent="0.2">
      <c r="N901" s="70"/>
    </row>
    <row r="902" spans="14:14" x14ac:dyDescent="0.2">
      <c r="N902" s="70"/>
    </row>
    <row r="903" spans="14:14" x14ac:dyDescent="0.2">
      <c r="N903" s="70"/>
    </row>
    <row r="904" spans="14:14" x14ac:dyDescent="0.2">
      <c r="N904" s="70"/>
    </row>
    <row r="905" spans="14:14" x14ac:dyDescent="0.2">
      <c r="N905" s="70"/>
    </row>
    <row r="906" spans="14:14" x14ac:dyDescent="0.2">
      <c r="N906" s="70"/>
    </row>
    <row r="907" spans="14:14" x14ac:dyDescent="0.2">
      <c r="N907" s="70"/>
    </row>
    <row r="908" spans="14:14" x14ac:dyDescent="0.2">
      <c r="N908" s="70"/>
    </row>
    <row r="909" spans="14:14" x14ac:dyDescent="0.2">
      <c r="N909" s="70"/>
    </row>
    <row r="910" spans="14:14" x14ac:dyDescent="0.2">
      <c r="N910" s="70"/>
    </row>
    <row r="911" spans="14:14" x14ac:dyDescent="0.2">
      <c r="N911" s="70"/>
    </row>
    <row r="912" spans="14:14" x14ac:dyDescent="0.2">
      <c r="N912" s="70"/>
    </row>
    <row r="913" spans="14:14" x14ac:dyDescent="0.2">
      <c r="N913" s="70"/>
    </row>
    <row r="914" spans="14:14" x14ac:dyDescent="0.2">
      <c r="N914" s="70"/>
    </row>
    <row r="915" spans="14:14" x14ac:dyDescent="0.2">
      <c r="N915" s="70"/>
    </row>
    <row r="916" spans="14:14" x14ac:dyDescent="0.2">
      <c r="N916" s="70"/>
    </row>
    <row r="917" spans="14:14" x14ac:dyDescent="0.2">
      <c r="N917" s="70"/>
    </row>
    <row r="918" spans="14:14" x14ac:dyDescent="0.2">
      <c r="N918" s="70"/>
    </row>
    <row r="919" spans="14:14" x14ac:dyDescent="0.2">
      <c r="N919" s="70"/>
    </row>
    <row r="920" spans="14:14" x14ac:dyDescent="0.2">
      <c r="N920" s="70"/>
    </row>
    <row r="921" spans="14:14" x14ac:dyDescent="0.2">
      <c r="N921" s="70"/>
    </row>
    <row r="922" spans="14:14" x14ac:dyDescent="0.2">
      <c r="N922" s="70"/>
    </row>
    <row r="923" spans="14:14" x14ac:dyDescent="0.2">
      <c r="N923" s="70"/>
    </row>
    <row r="924" spans="14:14" x14ac:dyDescent="0.2">
      <c r="N924" s="70"/>
    </row>
    <row r="925" spans="14:14" x14ac:dyDescent="0.2">
      <c r="N925" s="70"/>
    </row>
    <row r="926" spans="14:14" x14ac:dyDescent="0.2">
      <c r="N926" s="70"/>
    </row>
    <row r="927" spans="14:14" x14ac:dyDescent="0.2">
      <c r="N927" s="70"/>
    </row>
    <row r="928" spans="14:14" x14ac:dyDescent="0.2">
      <c r="N928" s="70"/>
    </row>
    <row r="929" spans="14:14" x14ac:dyDescent="0.2">
      <c r="N929" s="70"/>
    </row>
    <row r="930" spans="14:14" x14ac:dyDescent="0.2">
      <c r="N930" s="70"/>
    </row>
    <row r="931" spans="14:14" x14ac:dyDescent="0.2">
      <c r="N931" s="70"/>
    </row>
    <row r="932" spans="14:14" x14ac:dyDescent="0.2">
      <c r="N932" s="70"/>
    </row>
    <row r="933" spans="14:14" x14ac:dyDescent="0.2">
      <c r="N933" s="70"/>
    </row>
    <row r="934" spans="14:14" x14ac:dyDescent="0.2">
      <c r="N934" s="70"/>
    </row>
    <row r="935" spans="14:14" x14ac:dyDescent="0.2">
      <c r="N935" s="70"/>
    </row>
    <row r="936" spans="14:14" x14ac:dyDescent="0.2">
      <c r="N936" s="70"/>
    </row>
    <row r="937" spans="14:14" x14ac:dyDescent="0.2">
      <c r="N937" s="70"/>
    </row>
    <row r="938" spans="14:14" x14ac:dyDescent="0.2">
      <c r="N938" s="70"/>
    </row>
    <row r="939" spans="14:14" x14ac:dyDescent="0.2">
      <c r="N939" s="70"/>
    </row>
    <row r="940" spans="14:14" x14ac:dyDescent="0.2">
      <c r="N940" s="70"/>
    </row>
    <row r="941" spans="14:14" x14ac:dyDescent="0.2">
      <c r="N941" s="70"/>
    </row>
    <row r="942" spans="14:14" x14ac:dyDescent="0.2">
      <c r="N942" s="70"/>
    </row>
    <row r="943" spans="14:14" x14ac:dyDescent="0.2">
      <c r="N943" s="70"/>
    </row>
    <row r="944" spans="14:14" x14ac:dyDescent="0.2">
      <c r="N944" s="70"/>
    </row>
    <row r="945" spans="14:14" x14ac:dyDescent="0.2">
      <c r="N945" s="70"/>
    </row>
    <row r="946" spans="14:14" x14ac:dyDescent="0.2">
      <c r="N946" s="70"/>
    </row>
    <row r="947" spans="14:14" x14ac:dyDescent="0.2">
      <c r="N947" s="70"/>
    </row>
    <row r="948" spans="14:14" x14ac:dyDescent="0.2">
      <c r="N948" s="70"/>
    </row>
    <row r="949" spans="14:14" x14ac:dyDescent="0.2">
      <c r="N949" s="70"/>
    </row>
    <row r="950" spans="14:14" x14ac:dyDescent="0.2">
      <c r="N950" s="70"/>
    </row>
    <row r="951" spans="14:14" x14ac:dyDescent="0.2">
      <c r="N951" s="70"/>
    </row>
    <row r="952" spans="14:14" x14ac:dyDescent="0.2">
      <c r="N952" s="70"/>
    </row>
    <row r="953" spans="14:14" x14ac:dyDescent="0.2">
      <c r="N953" s="70"/>
    </row>
    <row r="954" spans="14:14" x14ac:dyDescent="0.2">
      <c r="N954" s="70"/>
    </row>
    <row r="955" spans="14:14" x14ac:dyDescent="0.2">
      <c r="N955" s="70"/>
    </row>
    <row r="956" spans="14:14" x14ac:dyDescent="0.2">
      <c r="N956" s="70"/>
    </row>
    <row r="957" spans="14:14" x14ac:dyDescent="0.2">
      <c r="N957" s="70"/>
    </row>
    <row r="958" spans="14:14" x14ac:dyDescent="0.2">
      <c r="N958" s="70"/>
    </row>
    <row r="959" spans="14:14" x14ac:dyDescent="0.2">
      <c r="N959" s="70"/>
    </row>
    <row r="960" spans="14:14" x14ac:dyDescent="0.2">
      <c r="N960" s="70"/>
    </row>
    <row r="961" spans="14:14" x14ac:dyDescent="0.2">
      <c r="N961" s="70"/>
    </row>
    <row r="962" spans="14:14" x14ac:dyDescent="0.2">
      <c r="N962" s="70"/>
    </row>
    <row r="963" spans="14:14" x14ac:dyDescent="0.2">
      <c r="N963" s="70"/>
    </row>
    <row r="964" spans="14:14" x14ac:dyDescent="0.2">
      <c r="N964" s="70"/>
    </row>
    <row r="965" spans="14:14" x14ac:dyDescent="0.2">
      <c r="N965" s="70"/>
    </row>
    <row r="966" spans="14:14" x14ac:dyDescent="0.2">
      <c r="N966" s="70"/>
    </row>
    <row r="967" spans="14:14" x14ac:dyDescent="0.2">
      <c r="N967" s="70"/>
    </row>
    <row r="968" spans="14:14" x14ac:dyDescent="0.2">
      <c r="N968" s="70"/>
    </row>
    <row r="969" spans="14:14" x14ac:dyDescent="0.2">
      <c r="N969" s="70"/>
    </row>
    <row r="970" spans="14:14" x14ac:dyDescent="0.2">
      <c r="N970" s="70"/>
    </row>
    <row r="971" spans="14:14" x14ac:dyDescent="0.2">
      <c r="N971" s="70"/>
    </row>
    <row r="972" spans="14:14" x14ac:dyDescent="0.2">
      <c r="N972" s="70"/>
    </row>
    <row r="973" spans="14:14" x14ac:dyDescent="0.2">
      <c r="N973" s="70"/>
    </row>
    <row r="974" spans="14:14" x14ac:dyDescent="0.2">
      <c r="N974" s="70"/>
    </row>
    <row r="975" spans="14:14" x14ac:dyDescent="0.2">
      <c r="N975" s="70"/>
    </row>
    <row r="976" spans="14:14" x14ac:dyDescent="0.2">
      <c r="N976" s="70"/>
    </row>
    <row r="977" spans="14:14" x14ac:dyDescent="0.2">
      <c r="N977" s="70"/>
    </row>
    <row r="978" spans="14:14" x14ac:dyDescent="0.2">
      <c r="N978" s="70"/>
    </row>
    <row r="979" spans="14:14" x14ac:dyDescent="0.2">
      <c r="N979" s="70"/>
    </row>
    <row r="980" spans="14:14" x14ac:dyDescent="0.2">
      <c r="N980" s="70"/>
    </row>
    <row r="981" spans="14:14" x14ac:dyDescent="0.2">
      <c r="N981" s="70"/>
    </row>
    <row r="982" spans="14:14" x14ac:dyDescent="0.2">
      <c r="N982" s="70"/>
    </row>
    <row r="983" spans="14:14" x14ac:dyDescent="0.2">
      <c r="N983" s="70"/>
    </row>
    <row r="984" spans="14:14" x14ac:dyDescent="0.2">
      <c r="N984" s="70"/>
    </row>
    <row r="985" spans="14:14" x14ac:dyDescent="0.2">
      <c r="N985" s="70"/>
    </row>
    <row r="986" spans="14:14" x14ac:dyDescent="0.2">
      <c r="N986" s="70"/>
    </row>
    <row r="987" spans="14:14" x14ac:dyDescent="0.2">
      <c r="N987" s="70"/>
    </row>
    <row r="988" spans="14:14" x14ac:dyDescent="0.2">
      <c r="N988" s="70"/>
    </row>
    <row r="989" spans="14:14" x14ac:dyDescent="0.2">
      <c r="N989" s="70"/>
    </row>
    <row r="990" spans="14:14" x14ac:dyDescent="0.2">
      <c r="N990" s="70"/>
    </row>
    <row r="991" spans="14:14" x14ac:dyDescent="0.2">
      <c r="N991" s="70"/>
    </row>
    <row r="992" spans="14:14" x14ac:dyDescent="0.2">
      <c r="N992" s="70"/>
    </row>
    <row r="993" spans="14:14" x14ac:dyDescent="0.2">
      <c r="N993" s="70"/>
    </row>
    <row r="994" spans="14:14" x14ac:dyDescent="0.2">
      <c r="N994" s="70"/>
    </row>
    <row r="995" spans="14:14" x14ac:dyDescent="0.2">
      <c r="N995" s="70"/>
    </row>
    <row r="996" spans="14:14" x14ac:dyDescent="0.2">
      <c r="N996" s="70"/>
    </row>
    <row r="997" spans="14:14" x14ac:dyDescent="0.2">
      <c r="N997" s="70"/>
    </row>
    <row r="998" spans="14:14" x14ac:dyDescent="0.2">
      <c r="N998" s="70"/>
    </row>
    <row r="999" spans="14:14" x14ac:dyDescent="0.2">
      <c r="N999" s="70"/>
    </row>
    <row r="1000" spans="14:14" x14ac:dyDescent="0.2">
      <c r="N1000" s="70"/>
    </row>
    <row r="1001" spans="14:14" x14ac:dyDescent="0.2">
      <c r="N1001" s="70"/>
    </row>
    <row r="1002" spans="14:14" x14ac:dyDescent="0.2">
      <c r="N1002" s="70"/>
    </row>
    <row r="1003" spans="14:14" x14ac:dyDescent="0.2">
      <c r="N1003" s="70"/>
    </row>
    <row r="1004" spans="14:14" x14ac:dyDescent="0.2">
      <c r="N1004" s="70"/>
    </row>
    <row r="1005" spans="14:14" x14ac:dyDescent="0.2">
      <c r="N1005" s="70"/>
    </row>
    <row r="1006" spans="14:14" x14ac:dyDescent="0.2">
      <c r="N1006" s="70"/>
    </row>
    <row r="1007" spans="14:14" x14ac:dyDescent="0.2">
      <c r="N1007" s="70"/>
    </row>
    <row r="1008" spans="14:14" x14ac:dyDescent="0.2">
      <c r="N1008" s="70"/>
    </row>
    <row r="1009" hidden="1" x14ac:dyDescent="0.2"/>
    <row r="1010" hidden="1" x14ac:dyDescent="0.2"/>
    <row r="1011" hidden="1" x14ac:dyDescent="0.2"/>
    <row r="1012" hidden="1" x14ac:dyDescent="0.2"/>
    <row r="1013" hidden="1" x14ac:dyDescent="0.2"/>
    <row r="1014" hidden="1" x14ac:dyDescent="0.2"/>
    <row r="1015" hidden="1" x14ac:dyDescent="0.2"/>
    <row r="1016" hidden="1" x14ac:dyDescent="0.2"/>
    <row r="1017" hidden="1" x14ac:dyDescent="0.2"/>
    <row r="1018" hidden="1" x14ac:dyDescent="0.2"/>
    <row r="1019" hidden="1" x14ac:dyDescent="0.2"/>
    <row r="1020" hidden="1" x14ac:dyDescent="0.2"/>
    <row r="1021" hidden="1" x14ac:dyDescent="0.2"/>
    <row r="1022" hidden="1" x14ac:dyDescent="0.2"/>
    <row r="1023" hidden="1" x14ac:dyDescent="0.2"/>
    <row r="1024" hidden="1" x14ac:dyDescent="0.2"/>
    <row r="1025" spans="15:110" hidden="1" x14ac:dyDescent="0.2"/>
    <row r="1026" spans="15:110" hidden="1" x14ac:dyDescent="0.2"/>
    <row r="1027" spans="15:110" ht="13.15" hidden="1" thickBot="1" x14ac:dyDescent="0.25"/>
    <row r="1028" spans="15:110" ht="13.15" hidden="1" x14ac:dyDescent="0.25">
      <c r="Q1028" s="20" t="s">
        <v>314</v>
      </c>
      <c r="R1028" s="137">
        <f>(C8-C7)/365</f>
        <v>0</v>
      </c>
      <c r="AB1028" s="138" t="s">
        <v>159</v>
      </c>
      <c r="AC1028" s="139"/>
      <c r="AD1028" s="139"/>
      <c r="AE1028" s="140"/>
      <c r="AF1028" s="141" t="s">
        <v>160</v>
      </c>
      <c r="AH1028" s="138" t="s">
        <v>37</v>
      </c>
      <c r="AI1028" s="139"/>
      <c r="AJ1028" s="139"/>
      <c r="AK1028" s="140" t="s">
        <v>180</v>
      </c>
      <c r="AL1028" s="141">
        <v>566</v>
      </c>
      <c r="AN1028" s="138" t="s">
        <v>186</v>
      </c>
      <c r="AO1028" s="139"/>
      <c r="AP1028" s="139"/>
      <c r="AQ1028" s="140" t="s">
        <v>180</v>
      </c>
      <c r="AR1028" s="141">
        <v>568</v>
      </c>
      <c r="AT1028" s="138" t="s">
        <v>203</v>
      </c>
      <c r="AU1028" s="139"/>
      <c r="AV1028" s="139"/>
      <c r="AW1028" s="140"/>
      <c r="AX1028" s="141" t="s">
        <v>160</v>
      </c>
      <c r="AZ1028" s="138" t="s">
        <v>214</v>
      </c>
      <c r="BA1028" s="139"/>
      <c r="BB1028" s="139"/>
      <c r="BC1028" s="140" t="s">
        <v>215</v>
      </c>
      <c r="BD1028" s="141">
        <v>569</v>
      </c>
      <c r="BF1028" s="138" t="s">
        <v>51</v>
      </c>
      <c r="BG1028" s="139"/>
      <c r="BH1028" s="139"/>
      <c r="BI1028" s="140" t="s">
        <v>180</v>
      </c>
      <c r="BJ1028" s="141">
        <v>569</v>
      </c>
      <c r="BL1028" s="138" t="s">
        <v>223</v>
      </c>
      <c r="BM1028" s="139"/>
      <c r="BN1028" s="139"/>
      <c r="BO1028" s="140" t="s">
        <v>180</v>
      </c>
      <c r="BP1028" s="141">
        <v>566</v>
      </c>
      <c r="BR1028" s="138" t="s">
        <v>232</v>
      </c>
      <c r="BS1028" s="139"/>
      <c r="BT1028" s="139"/>
      <c r="BU1028" s="140" t="s">
        <v>215</v>
      </c>
      <c r="BV1028" s="141">
        <v>569</v>
      </c>
      <c r="BX1028" s="138" t="s">
        <v>83</v>
      </c>
      <c r="BY1028" s="139"/>
      <c r="BZ1028" s="139"/>
      <c r="CA1028" s="140" t="s">
        <v>215</v>
      </c>
      <c r="CB1028" s="141">
        <v>568</v>
      </c>
      <c r="CD1028" s="138" t="s">
        <v>237</v>
      </c>
      <c r="CE1028" s="139"/>
      <c r="CF1028" s="139"/>
      <c r="CG1028" s="140" t="s">
        <v>215</v>
      </c>
      <c r="CH1028" s="141">
        <v>569</v>
      </c>
      <c r="CJ1028" s="138" t="s">
        <v>240</v>
      </c>
      <c r="CK1028" s="139"/>
      <c r="CL1028" s="139"/>
      <c r="CM1028" s="140" t="s">
        <v>215</v>
      </c>
      <c r="CN1028" s="141">
        <v>569</v>
      </c>
      <c r="CP1028" s="138" t="s">
        <v>98</v>
      </c>
      <c r="CQ1028" s="139"/>
      <c r="CR1028" s="139"/>
      <c r="CS1028" s="140" t="s">
        <v>180</v>
      </c>
      <c r="CT1028" s="141">
        <v>569</v>
      </c>
      <c r="CV1028" s="138" t="s">
        <v>102</v>
      </c>
      <c r="CW1028" s="139"/>
      <c r="CX1028" s="139"/>
      <c r="CY1028" s="140" t="s">
        <v>215</v>
      </c>
      <c r="CZ1028" s="141">
        <v>568</v>
      </c>
      <c r="DB1028" s="138" t="s">
        <v>114</v>
      </c>
      <c r="DC1028" s="139"/>
      <c r="DD1028" s="139"/>
      <c r="DE1028" s="140" t="s">
        <v>215</v>
      </c>
      <c r="DF1028" s="141">
        <v>419</v>
      </c>
    </row>
    <row r="1029" spans="15:110" hidden="1" x14ac:dyDescent="0.2">
      <c r="Q1029" s="142" t="s">
        <v>273</v>
      </c>
      <c r="R1029" s="143">
        <f>R1028-38.62</f>
        <v>-38.619999999999997</v>
      </c>
      <c r="AB1029" s="144" t="s">
        <v>161</v>
      </c>
      <c r="AD1029" s="20" t="s">
        <v>162</v>
      </c>
      <c r="AF1029" s="145"/>
      <c r="AH1029" s="144" t="s">
        <v>161</v>
      </c>
      <c r="AJ1029" s="20" t="s">
        <v>162</v>
      </c>
      <c r="AL1029" s="145"/>
      <c r="AN1029" s="144" t="s">
        <v>161</v>
      </c>
      <c r="AP1029" s="20" t="s">
        <v>162</v>
      </c>
      <c r="AR1029" s="145"/>
      <c r="AT1029" s="144" t="s">
        <v>161</v>
      </c>
      <c r="AV1029" s="20" t="s">
        <v>162</v>
      </c>
      <c r="AX1029" s="145"/>
      <c r="AZ1029" s="144" t="s">
        <v>161</v>
      </c>
      <c r="BB1029" s="20" t="s">
        <v>162</v>
      </c>
      <c r="BD1029" s="145"/>
      <c r="BF1029" s="144" t="s">
        <v>161</v>
      </c>
      <c r="BJ1029" s="145"/>
      <c r="BL1029" s="144" t="s">
        <v>161</v>
      </c>
      <c r="BP1029" s="145"/>
      <c r="BR1029" s="144" t="s">
        <v>161</v>
      </c>
      <c r="BV1029" s="145"/>
      <c r="BX1029" s="144" t="s">
        <v>161</v>
      </c>
      <c r="CB1029" s="145"/>
      <c r="CD1029" s="144" t="s">
        <v>161</v>
      </c>
      <c r="CH1029" s="145"/>
      <c r="CJ1029" s="144" t="s">
        <v>161</v>
      </c>
      <c r="CN1029" s="145"/>
      <c r="CP1029" s="144" t="s">
        <v>161</v>
      </c>
      <c r="CT1029" s="145"/>
      <c r="CV1029" s="144" t="s">
        <v>161</v>
      </c>
      <c r="CZ1029" s="145"/>
      <c r="DB1029" s="144" t="s">
        <v>161</v>
      </c>
      <c r="DD1029" s="20" t="s">
        <v>162</v>
      </c>
      <c r="DF1029" s="145"/>
    </row>
    <row r="1030" spans="15:110" ht="13.15" hidden="1" thickBot="1" x14ac:dyDescent="0.25">
      <c r="Q1030" s="142" t="s">
        <v>157</v>
      </c>
      <c r="R1030" s="146">
        <f>SQRT(C6)-3.69</f>
        <v>-3.69</v>
      </c>
      <c r="AB1030" s="147" t="s">
        <v>163</v>
      </c>
      <c r="AC1030" s="148"/>
      <c r="AD1030" s="148"/>
      <c r="AE1030" s="148"/>
      <c r="AF1030" s="149"/>
      <c r="AH1030" s="147" t="s">
        <v>181</v>
      </c>
      <c r="AI1030" s="148"/>
      <c r="AJ1030" s="148"/>
      <c r="AK1030" s="148"/>
      <c r="AL1030" s="149"/>
      <c r="AN1030" s="147" t="s">
        <v>187</v>
      </c>
      <c r="AO1030" s="148"/>
      <c r="AP1030" s="148"/>
      <c r="AQ1030" s="148"/>
      <c r="AR1030" s="149"/>
      <c r="AT1030" s="147" t="s">
        <v>204</v>
      </c>
      <c r="AU1030" s="148"/>
      <c r="AV1030" s="148"/>
      <c r="AW1030" s="148"/>
      <c r="AX1030" s="149"/>
      <c r="AZ1030" s="147" t="s">
        <v>216</v>
      </c>
      <c r="BA1030" s="148"/>
      <c r="BB1030" s="148"/>
      <c r="BC1030" s="148"/>
      <c r="BD1030" s="149"/>
      <c r="BF1030" s="147" t="s">
        <v>221</v>
      </c>
      <c r="BG1030" s="148"/>
      <c r="BH1030" s="148"/>
      <c r="BI1030" s="148"/>
      <c r="BJ1030" s="149"/>
      <c r="BL1030" s="147" t="s">
        <v>224</v>
      </c>
      <c r="BM1030" s="148"/>
      <c r="BN1030" s="148"/>
      <c r="BO1030" s="148"/>
      <c r="BP1030" s="149"/>
      <c r="BR1030" s="147" t="s">
        <v>233</v>
      </c>
      <c r="BS1030" s="148"/>
      <c r="BT1030" s="148"/>
      <c r="BU1030" s="148"/>
      <c r="BV1030" s="149"/>
      <c r="BX1030" s="147" t="s">
        <v>234</v>
      </c>
      <c r="BY1030" s="148"/>
      <c r="BZ1030" s="148"/>
      <c r="CA1030" s="148"/>
      <c r="CB1030" s="149"/>
      <c r="CD1030" s="147" t="s">
        <v>392</v>
      </c>
      <c r="CE1030" s="148"/>
      <c r="CF1030" s="148"/>
      <c r="CG1030" s="148"/>
      <c r="CH1030" s="149"/>
      <c r="CJ1030" s="147" t="s">
        <v>241</v>
      </c>
      <c r="CK1030" s="148"/>
      <c r="CL1030" s="148"/>
      <c r="CM1030" s="148"/>
      <c r="CN1030" s="149"/>
      <c r="CP1030" s="147" t="s">
        <v>244</v>
      </c>
      <c r="CQ1030" s="148"/>
      <c r="CR1030" s="148"/>
      <c r="CS1030" s="148"/>
      <c r="CT1030" s="149"/>
      <c r="CV1030" s="147" t="s">
        <v>246</v>
      </c>
      <c r="CW1030" s="148"/>
      <c r="CX1030" s="148"/>
      <c r="CY1030" s="148"/>
      <c r="CZ1030" s="149"/>
      <c r="DB1030" s="147" t="s">
        <v>253</v>
      </c>
      <c r="DC1030" s="148"/>
      <c r="DD1030" s="148"/>
      <c r="DE1030" s="148"/>
      <c r="DF1030" s="149"/>
    </row>
    <row r="1031" spans="15:110" ht="13.15" hidden="1" thickBot="1" x14ac:dyDescent="0.25">
      <c r="Q1031" s="142" t="s">
        <v>274</v>
      </c>
      <c r="R1031" s="146">
        <f>LOG((100-R1028))-1.78</f>
        <v>0.21999999999999997</v>
      </c>
      <c r="AB1031" s="150" t="s">
        <v>164</v>
      </c>
      <c r="AC1031" s="151" t="s">
        <v>21</v>
      </c>
      <c r="AD1031" s="152"/>
      <c r="AE1031" s="152"/>
      <c r="AF1031" s="153"/>
      <c r="AH1031" s="150" t="s">
        <v>164</v>
      </c>
      <c r="AI1031" s="151" t="s">
        <v>24</v>
      </c>
      <c r="AJ1031" s="152"/>
      <c r="AK1031" s="152"/>
      <c r="AL1031" s="153"/>
      <c r="AN1031" s="150" t="s">
        <v>164</v>
      </c>
      <c r="AO1031" s="151" t="s">
        <v>21</v>
      </c>
      <c r="AP1031" s="152"/>
      <c r="AQ1031" s="152"/>
      <c r="AR1031" s="153"/>
      <c r="AT1031" s="150" t="s">
        <v>164</v>
      </c>
      <c r="AU1031" s="151" t="s">
        <v>21</v>
      </c>
      <c r="AV1031" s="152"/>
      <c r="AW1031" s="152"/>
      <c r="AX1031" s="153"/>
      <c r="AZ1031" s="150" t="s">
        <v>164</v>
      </c>
      <c r="BA1031" s="151" t="s">
        <v>77</v>
      </c>
      <c r="BB1031" s="152"/>
      <c r="BC1031" s="152"/>
      <c r="BD1031" s="153"/>
      <c r="BF1031" s="150" t="s">
        <v>164</v>
      </c>
      <c r="BG1031" s="151" t="s">
        <v>132</v>
      </c>
      <c r="BH1031" s="152"/>
      <c r="BI1031" s="152"/>
      <c r="BJ1031" s="153"/>
      <c r="BL1031" s="150" t="s">
        <v>164</v>
      </c>
      <c r="BM1031" s="151" t="s">
        <v>59</v>
      </c>
      <c r="BN1031" s="152"/>
      <c r="BO1031" s="152"/>
      <c r="BP1031" s="153"/>
      <c r="BR1031" s="150" t="s">
        <v>164</v>
      </c>
      <c r="BS1031" s="151" t="s">
        <v>80</v>
      </c>
      <c r="BT1031" s="152"/>
      <c r="BU1031" s="152"/>
      <c r="BV1031" s="153"/>
      <c r="BX1031" s="150" t="s">
        <v>164</v>
      </c>
      <c r="BY1031" s="151" t="s">
        <v>80</v>
      </c>
      <c r="BZ1031" s="152"/>
      <c r="CA1031" s="152"/>
      <c r="CB1031" s="153"/>
      <c r="CD1031" s="150" t="s">
        <v>164</v>
      </c>
      <c r="CE1031" s="151" t="s">
        <v>80</v>
      </c>
      <c r="CF1031" s="152"/>
      <c r="CG1031" s="152"/>
      <c r="CH1031" s="153"/>
      <c r="CJ1031" s="150" t="s">
        <v>164</v>
      </c>
      <c r="CK1031" s="151" t="s">
        <v>80</v>
      </c>
      <c r="CL1031" s="152"/>
      <c r="CM1031" s="152"/>
      <c r="CN1031" s="153"/>
      <c r="CP1031" s="150" t="s">
        <v>164</v>
      </c>
      <c r="CQ1031" s="151" t="s">
        <v>80</v>
      </c>
      <c r="CR1031" s="152"/>
      <c r="CS1031" s="152"/>
      <c r="CT1031" s="153"/>
      <c r="CV1031" s="150" t="s">
        <v>164</v>
      </c>
      <c r="CW1031" s="151" t="s">
        <v>103</v>
      </c>
      <c r="CX1031" s="152"/>
      <c r="CY1031" s="152"/>
      <c r="CZ1031" s="153"/>
      <c r="DB1031" s="150" t="s">
        <v>164</v>
      </c>
      <c r="DC1031" s="151" t="s">
        <v>115</v>
      </c>
      <c r="DD1031" s="152"/>
      <c r="DE1031" s="152"/>
      <c r="DF1031" s="153"/>
    </row>
    <row r="1032" spans="15:110" ht="13.15" hidden="1" thickBot="1" x14ac:dyDescent="0.25">
      <c r="Q1032" s="142" t="s">
        <v>158</v>
      </c>
      <c r="R1032" s="154">
        <f>C6-13.77</f>
        <v>-13.77</v>
      </c>
      <c r="AB1032" s="155" t="s">
        <v>10</v>
      </c>
      <c r="AC1032" s="156" t="s">
        <v>13</v>
      </c>
      <c r="AD1032" s="156" t="s">
        <v>14</v>
      </c>
      <c r="AE1032" s="156" t="s">
        <v>15</v>
      </c>
      <c r="AF1032" s="157" t="s">
        <v>16</v>
      </c>
      <c r="AH1032" s="155" t="s">
        <v>10</v>
      </c>
      <c r="AI1032" s="156" t="s">
        <v>13</v>
      </c>
      <c r="AJ1032" s="156" t="s">
        <v>14</v>
      </c>
      <c r="AK1032" s="156" t="s">
        <v>15</v>
      </c>
      <c r="AL1032" s="157" t="s">
        <v>16</v>
      </c>
      <c r="AN1032" s="155" t="s">
        <v>10</v>
      </c>
      <c r="AO1032" s="156" t="s">
        <v>13</v>
      </c>
      <c r="AP1032" s="156" t="s">
        <v>14</v>
      </c>
      <c r="AQ1032" s="156" t="s">
        <v>15</v>
      </c>
      <c r="AR1032" s="157" t="s">
        <v>16</v>
      </c>
      <c r="AT1032" s="155" t="s">
        <v>10</v>
      </c>
      <c r="AU1032" s="156" t="s">
        <v>13</v>
      </c>
      <c r="AV1032" s="156" t="s">
        <v>14</v>
      </c>
      <c r="AW1032" s="156" t="s">
        <v>15</v>
      </c>
      <c r="AX1032" s="157" t="s">
        <v>16</v>
      </c>
      <c r="AZ1032" s="155" t="s">
        <v>10</v>
      </c>
      <c r="BA1032" s="158" t="s">
        <v>13</v>
      </c>
      <c r="BB1032" s="156" t="s">
        <v>14</v>
      </c>
      <c r="BC1032" s="156" t="s">
        <v>15</v>
      </c>
      <c r="BD1032" s="159" t="s">
        <v>16</v>
      </c>
      <c r="BF1032" s="155" t="s">
        <v>10</v>
      </c>
      <c r="BG1032" s="158" t="s">
        <v>13</v>
      </c>
      <c r="BH1032" s="156" t="s">
        <v>14</v>
      </c>
      <c r="BI1032" s="156" t="s">
        <v>15</v>
      </c>
      <c r="BJ1032" s="159" t="s">
        <v>16</v>
      </c>
      <c r="BL1032" s="155" t="s">
        <v>10</v>
      </c>
      <c r="BM1032" s="156" t="s">
        <v>13</v>
      </c>
      <c r="BN1032" s="156" t="s">
        <v>14</v>
      </c>
      <c r="BO1032" s="156" t="s">
        <v>15</v>
      </c>
      <c r="BP1032" s="157" t="s">
        <v>16</v>
      </c>
      <c r="BR1032" s="155" t="s">
        <v>10</v>
      </c>
      <c r="BS1032" s="158" t="s">
        <v>13</v>
      </c>
      <c r="BT1032" s="156" t="s">
        <v>14</v>
      </c>
      <c r="BU1032" s="156" t="s">
        <v>15</v>
      </c>
      <c r="BV1032" s="159" t="s">
        <v>16</v>
      </c>
      <c r="BX1032" s="155" t="s">
        <v>10</v>
      </c>
      <c r="BY1032" s="158" t="s">
        <v>13</v>
      </c>
      <c r="BZ1032" s="156" t="s">
        <v>14</v>
      </c>
      <c r="CA1032" s="156" t="s">
        <v>15</v>
      </c>
      <c r="CB1032" s="159" t="s">
        <v>16</v>
      </c>
      <c r="CD1032" s="155" t="s">
        <v>10</v>
      </c>
      <c r="CE1032" s="156" t="s">
        <v>13</v>
      </c>
      <c r="CF1032" s="156" t="s">
        <v>14</v>
      </c>
      <c r="CG1032" s="156" t="s">
        <v>15</v>
      </c>
      <c r="CH1032" s="157" t="s">
        <v>16</v>
      </c>
      <c r="CJ1032" s="155" t="s">
        <v>10</v>
      </c>
      <c r="CK1032" s="156" t="s">
        <v>13</v>
      </c>
      <c r="CL1032" s="156" t="s">
        <v>14</v>
      </c>
      <c r="CM1032" s="156" t="s">
        <v>15</v>
      </c>
      <c r="CN1032" s="157" t="s">
        <v>16</v>
      </c>
      <c r="CP1032" s="155" t="s">
        <v>10</v>
      </c>
      <c r="CQ1032" s="158" t="s">
        <v>13</v>
      </c>
      <c r="CR1032" s="156" t="s">
        <v>14</v>
      </c>
      <c r="CS1032" s="156" t="s">
        <v>15</v>
      </c>
      <c r="CT1032" s="159" t="s">
        <v>16</v>
      </c>
      <c r="CV1032" s="155" t="s">
        <v>10</v>
      </c>
      <c r="CW1032" s="156" t="s">
        <v>13</v>
      </c>
      <c r="CX1032" s="156" t="s">
        <v>14</v>
      </c>
      <c r="CY1032" s="158" t="s">
        <v>15</v>
      </c>
      <c r="CZ1032" s="159" t="s">
        <v>16</v>
      </c>
      <c r="DB1032" s="155" t="s">
        <v>10</v>
      </c>
      <c r="DC1032" s="158" t="s">
        <v>13</v>
      </c>
      <c r="DD1032" s="156" t="s">
        <v>14</v>
      </c>
      <c r="DE1032" s="156" t="s">
        <v>15</v>
      </c>
      <c r="DF1032" s="159" t="s">
        <v>16</v>
      </c>
    </row>
    <row r="1033" spans="15:110" hidden="1" x14ac:dyDescent="0.2">
      <c r="AB1033" s="160">
        <v>19</v>
      </c>
      <c r="AC1033" s="161">
        <v>8.7873462214411238E-2</v>
      </c>
      <c r="AD1033" s="162">
        <v>-3</v>
      </c>
      <c r="AE1033" s="163">
        <v>-1</v>
      </c>
      <c r="AF1033" s="164">
        <v>20</v>
      </c>
      <c r="AG1033" s="20">
        <f t="shared" ref="AG1033:AG1077" si="8">AH1033*2</f>
        <v>0</v>
      </c>
      <c r="AH1033" s="160">
        <v>0</v>
      </c>
      <c r="AI1033" s="161">
        <v>0.17667844522968199</v>
      </c>
      <c r="AJ1033" s="162">
        <v>-2.9</v>
      </c>
      <c r="AK1033" s="163">
        <v>-0.8</v>
      </c>
      <c r="AL1033" s="164">
        <v>21</v>
      </c>
      <c r="AN1033" s="160">
        <v>11</v>
      </c>
      <c r="AO1033" s="161">
        <v>0.17605633802816903</v>
      </c>
      <c r="AP1033" s="162">
        <v>-2.9</v>
      </c>
      <c r="AQ1033" s="163">
        <v>-0.8</v>
      </c>
      <c r="AR1033" s="164">
        <v>21</v>
      </c>
      <c r="AT1033" s="160">
        <v>20</v>
      </c>
      <c r="AU1033" s="161">
        <v>8.7873462214411238E-2</v>
      </c>
      <c r="AV1033" s="162">
        <v>-3</v>
      </c>
      <c r="AW1033" s="163">
        <v>-1</v>
      </c>
      <c r="AX1033" s="164">
        <v>20</v>
      </c>
      <c r="AY1033" s="20">
        <f t="shared" ref="AY1033:AY1040" si="9">AZ1033*2</f>
        <v>29</v>
      </c>
      <c r="AZ1033" s="165">
        <v>14.5</v>
      </c>
      <c r="BA1033" s="166">
        <v>8.7873462214411238E-2</v>
      </c>
      <c r="BB1033" s="162">
        <v>-3</v>
      </c>
      <c r="BC1033" s="163">
        <v>-1</v>
      </c>
      <c r="BD1033" s="164">
        <v>20</v>
      </c>
      <c r="BF1033" s="165">
        <v>4</v>
      </c>
      <c r="BG1033" s="167">
        <v>2.7240773286467488</v>
      </c>
      <c r="BH1033" s="168">
        <v>-1.9</v>
      </c>
      <c r="BI1033" s="169">
        <v>1.2</v>
      </c>
      <c r="BJ1033" s="170">
        <v>31</v>
      </c>
      <c r="BK1033" s="20">
        <f>BL1033*10</f>
        <v>100</v>
      </c>
      <c r="BL1033" s="160">
        <v>10</v>
      </c>
      <c r="BM1033" s="161">
        <v>17.667844522968199</v>
      </c>
      <c r="BN1033" s="162">
        <v>-0.9</v>
      </c>
      <c r="BO1033" s="163">
        <v>3.2</v>
      </c>
      <c r="BP1033" s="164">
        <v>41</v>
      </c>
      <c r="BR1033" s="165">
        <v>16</v>
      </c>
      <c r="BS1033" s="167">
        <v>0.17574692442882248</v>
      </c>
      <c r="BT1033" s="168">
        <v>-2.9</v>
      </c>
      <c r="BU1033" s="169">
        <v>-0.8</v>
      </c>
      <c r="BV1033" s="170">
        <v>21</v>
      </c>
      <c r="BX1033" s="165">
        <v>3</v>
      </c>
      <c r="BY1033" s="167">
        <v>8.8028169014084515E-2</v>
      </c>
      <c r="BZ1033" s="168">
        <v>-3</v>
      </c>
      <c r="CA1033" s="169">
        <v>-1</v>
      </c>
      <c r="CB1033" s="170">
        <v>20</v>
      </c>
      <c r="CD1033" s="160">
        <v>6</v>
      </c>
      <c r="CE1033" s="161">
        <v>8.7873462214411238E-2</v>
      </c>
      <c r="CF1033" s="162">
        <v>-3</v>
      </c>
      <c r="CG1033" s="163">
        <v>-1</v>
      </c>
      <c r="CH1033" s="164">
        <v>20</v>
      </c>
      <c r="CJ1033" s="165">
        <v>7</v>
      </c>
      <c r="CK1033" s="167">
        <v>8.7873462214411238E-2</v>
      </c>
      <c r="CL1033" s="168">
        <v>-3</v>
      </c>
      <c r="CM1033" s="169">
        <v>-1</v>
      </c>
      <c r="CN1033" s="170">
        <v>20</v>
      </c>
      <c r="CP1033" s="160">
        <v>0</v>
      </c>
      <c r="CQ1033" s="161">
        <v>8.7873462214411238E-2</v>
      </c>
      <c r="CR1033" s="162">
        <v>-3</v>
      </c>
      <c r="CS1033" s="163">
        <v>-1</v>
      </c>
      <c r="CT1033" s="164">
        <v>20</v>
      </c>
      <c r="CV1033" s="160">
        <v>41</v>
      </c>
      <c r="CW1033" s="161">
        <v>8.8028169014084515E-2</v>
      </c>
      <c r="CX1033" s="162">
        <v>-3</v>
      </c>
      <c r="CY1033" s="163">
        <v>-1</v>
      </c>
      <c r="CZ1033" s="164">
        <v>20</v>
      </c>
      <c r="DB1033" s="160">
        <v>62</v>
      </c>
      <c r="DC1033" s="161">
        <v>0.11933174224343676</v>
      </c>
      <c r="DD1033" s="162">
        <v>-3</v>
      </c>
      <c r="DE1033" s="163">
        <v>-1</v>
      </c>
      <c r="DF1033" s="164">
        <v>20</v>
      </c>
    </row>
    <row r="1034" spans="15:110" hidden="1" x14ac:dyDescent="0.2">
      <c r="AB1034" s="165">
        <v>20</v>
      </c>
      <c r="AC1034" s="167">
        <v>0.35149384885764495</v>
      </c>
      <c r="AD1034" s="168">
        <v>-2.7</v>
      </c>
      <c r="AE1034" s="169">
        <v>-0.4</v>
      </c>
      <c r="AF1034" s="170">
        <v>23</v>
      </c>
      <c r="AG1034" s="20">
        <f t="shared" si="8"/>
        <v>1</v>
      </c>
      <c r="AH1034" s="165">
        <v>0.5</v>
      </c>
      <c r="AI1034" s="167">
        <v>0.53003533568904593</v>
      </c>
      <c r="AJ1034" s="168">
        <v>-2.6</v>
      </c>
      <c r="AK1034" s="169">
        <v>-0.2</v>
      </c>
      <c r="AL1034" s="170">
        <v>24</v>
      </c>
      <c r="AN1034" s="165">
        <v>12</v>
      </c>
      <c r="AO1034" s="167">
        <v>0.44014084507042256</v>
      </c>
      <c r="AP1034" s="168">
        <v>-2.6</v>
      </c>
      <c r="AQ1034" s="169">
        <v>-0.2</v>
      </c>
      <c r="AR1034" s="170">
        <v>24</v>
      </c>
      <c r="AT1034" s="165">
        <v>21</v>
      </c>
      <c r="AU1034" s="167">
        <v>0.26362038664323373</v>
      </c>
      <c r="AV1034" s="168">
        <v>-2.8</v>
      </c>
      <c r="AW1034" s="169">
        <v>-0.6</v>
      </c>
      <c r="AX1034" s="170">
        <v>22</v>
      </c>
      <c r="AY1034" s="20">
        <f t="shared" si="9"/>
        <v>30</v>
      </c>
      <c r="AZ1034" s="165">
        <v>15</v>
      </c>
      <c r="BA1034" s="171">
        <v>0.35149384885764495</v>
      </c>
      <c r="BB1034" s="168">
        <v>-2.7</v>
      </c>
      <c r="BC1034" s="169">
        <v>-0.4</v>
      </c>
      <c r="BD1034" s="170">
        <v>23</v>
      </c>
      <c r="BF1034" s="165">
        <v>5</v>
      </c>
      <c r="BG1034" s="167">
        <v>13.884007029876976</v>
      </c>
      <c r="BH1034" s="168">
        <v>-1.1000000000000001</v>
      </c>
      <c r="BI1034" s="169">
        <v>2.8</v>
      </c>
      <c r="BJ1034" s="170">
        <v>39</v>
      </c>
      <c r="BK1034" s="20">
        <f t="shared" ref="BK1034:BK1079" si="10">BL1034*10</f>
        <v>99</v>
      </c>
      <c r="BL1034" s="165">
        <v>9.9</v>
      </c>
      <c r="BM1034" s="167">
        <v>36.572438162544167</v>
      </c>
      <c r="BN1034" s="168">
        <v>-0.3</v>
      </c>
      <c r="BO1034" s="169">
        <v>4.4000000000000004</v>
      </c>
      <c r="BP1034" s="170">
        <v>47</v>
      </c>
      <c r="BR1034" s="165">
        <v>17</v>
      </c>
      <c r="BS1034" s="167">
        <v>1.0544815465729349</v>
      </c>
      <c r="BT1034" s="168">
        <v>-2.2999999999999998</v>
      </c>
      <c r="BU1034" s="169">
        <v>0.4</v>
      </c>
      <c r="BV1034" s="170">
        <v>27</v>
      </c>
      <c r="BX1034" s="165">
        <v>4</v>
      </c>
      <c r="BY1034" s="167">
        <v>0.2640845070422535</v>
      </c>
      <c r="BZ1034" s="168">
        <v>-2.8</v>
      </c>
      <c r="CA1034" s="169">
        <v>-0.6</v>
      </c>
      <c r="CB1034" s="170">
        <v>22</v>
      </c>
      <c r="CD1034" s="165">
        <v>7</v>
      </c>
      <c r="CE1034" s="167">
        <v>0.35149384885764495</v>
      </c>
      <c r="CF1034" s="168">
        <v>-2.7</v>
      </c>
      <c r="CG1034" s="169">
        <v>-0.4</v>
      </c>
      <c r="CH1034" s="170">
        <v>23</v>
      </c>
      <c r="CJ1034" s="165">
        <v>8</v>
      </c>
      <c r="CK1034" s="167">
        <v>0.26362038664323373</v>
      </c>
      <c r="CL1034" s="168">
        <v>-2.8</v>
      </c>
      <c r="CM1034" s="169">
        <v>-0.6</v>
      </c>
      <c r="CN1034" s="170">
        <v>22</v>
      </c>
      <c r="CP1034" s="165">
        <v>1</v>
      </c>
      <c r="CQ1034" s="167">
        <v>0.35149384885764495</v>
      </c>
      <c r="CR1034" s="168">
        <v>-2.7</v>
      </c>
      <c r="CS1034" s="169">
        <v>-0.4</v>
      </c>
      <c r="CT1034" s="170">
        <v>23</v>
      </c>
      <c r="CV1034" s="165">
        <v>40</v>
      </c>
      <c r="CW1034" s="167">
        <v>0.2640845070422535</v>
      </c>
      <c r="CX1034" s="168">
        <v>-2.8</v>
      </c>
      <c r="CY1034" s="169">
        <v>-0.6</v>
      </c>
      <c r="CZ1034" s="170">
        <v>22</v>
      </c>
      <c r="DB1034" s="165">
        <v>61</v>
      </c>
      <c r="DC1034" s="167">
        <v>0.35799522673031026</v>
      </c>
      <c r="DD1034" s="168">
        <v>-2.7</v>
      </c>
      <c r="DE1034" s="169">
        <v>-0.4</v>
      </c>
      <c r="DF1034" s="170">
        <v>23</v>
      </c>
    </row>
    <row r="1035" spans="15:110" hidden="1" x14ac:dyDescent="0.2">
      <c r="AB1035" s="165">
        <v>21</v>
      </c>
      <c r="AC1035" s="167">
        <v>0.35149384885764495</v>
      </c>
      <c r="AD1035" s="168">
        <v>-2.7</v>
      </c>
      <c r="AE1035" s="169">
        <v>-0.4</v>
      </c>
      <c r="AF1035" s="170">
        <v>23</v>
      </c>
      <c r="AG1035" s="20">
        <f t="shared" si="8"/>
        <v>2</v>
      </c>
      <c r="AH1035" s="165">
        <v>1</v>
      </c>
      <c r="AI1035" s="167">
        <v>0.53003533568904593</v>
      </c>
      <c r="AJ1035" s="168">
        <v>-2.6</v>
      </c>
      <c r="AK1035" s="169">
        <v>-0.2</v>
      </c>
      <c r="AL1035" s="170">
        <v>24</v>
      </c>
      <c r="AN1035" s="165">
        <v>13</v>
      </c>
      <c r="AO1035" s="167">
        <v>0.44014084507042256</v>
      </c>
      <c r="AP1035" s="168">
        <v>-2.6</v>
      </c>
      <c r="AQ1035" s="169">
        <v>-0.2</v>
      </c>
      <c r="AR1035" s="170">
        <v>24</v>
      </c>
      <c r="AT1035" s="165">
        <v>22</v>
      </c>
      <c r="AU1035" s="167">
        <v>0.26362038664323373</v>
      </c>
      <c r="AV1035" s="168">
        <v>-2.8</v>
      </c>
      <c r="AW1035" s="169">
        <v>-0.6</v>
      </c>
      <c r="AX1035" s="170">
        <v>22</v>
      </c>
      <c r="AY1035" s="20">
        <f t="shared" si="9"/>
        <v>31</v>
      </c>
      <c r="AZ1035" s="165">
        <v>15.5</v>
      </c>
      <c r="BA1035" s="171">
        <v>0.35149384885764495</v>
      </c>
      <c r="BB1035" s="168">
        <v>-2.7</v>
      </c>
      <c r="BC1035" s="169">
        <v>-0.4</v>
      </c>
      <c r="BD1035" s="170">
        <v>23</v>
      </c>
      <c r="BF1035" s="165">
        <v>6</v>
      </c>
      <c r="BG1035" s="167">
        <v>39.982425307557115</v>
      </c>
      <c r="BH1035" s="168">
        <v>-0.3</v>
      </c>
      <c r="BI1035" s="169">
        <v>4.4000000000000004</v>
      </c>
      <c r="BJ1035" s="170">
        <v>47</v>
      </c>
      <c r="BK1035" s="20">
        <f t="shared" si="10"/>
        <v>98</v>
      </c>
      <c r="BL1035" s="165">
        <v>9.8000000000000007</v>
      </c>
      <c r="BM1035" s="167">
        <v>39.045936395759718</v>
      </c>
      <c r="BN1035" s="168">
        <v>-0.3</v>
      </c>
      <c r="BO1035" s="169">
        <v>4.4000000000000004</v>
      </c>
      <c r="BP1035" s="170">
        <v>47</v>
      </c>
      <c r="BR1035" s="165">
        <v>18</v>
      </c>
      <c r="BS1035" s="167">
        <v>3.5149384885764503</v>
      </c>
      <c r="BT1035" s="168">
        <v>-1.8</v>
      </c>
      <c r="BU1035" s="169">
        <v>1.4</v>
      </c>
      <c r="BV1035" s="170">
        <v>32</v>
      </c>
      <c r="BX1035" s="165">
        <v>5</v>
      </c>
      <c r="BY1035" s="167">
        <v>0.61619718309859151</v>
      </c>
      <c r="BZ1035" s="168">
        <v>-2.5</v>
      </c>
      <c r="CA1035" s="169">
        <v>0</v>
      </c>
      <c r="CB1035" s="170">
        <v>25</v>
      </c>
      <c r="CD1035" s="165">
        <v>8</v>
      </c>
      <c r="CE1035" s="167">
        <v>0.35149384885764495</v>
      </c>
      <c r="CF1035" s="168">
        <v>-2.7</v>
      </c>
      <c r="CG1035" s="169">
        <v>-0.4</v>
      </c>
      <c r="CH1035" s="170">
        <v>23</v>
      </c>
      <c r="CJ1035" s="165">
        <v>9</v>
      </c>
      <c r="CK1035" s="167">
        <v>0.26362038664323373</v>
      </c>
      <c r="CL1035" s="168">
        <v>-2.8</v>
      </c>
      <c r="CM1035" s="169">
        <v>-0.6</v>
      </c>
      <c r="CN1035" s="170">
        <v>22</v>
      </c>
      <c r="CP1035" s="165">
        <v>2</v>
      </c>
      <c r="CQ1035" s="167">
        <v>2.8998242530755709</v>
      </c>
      <c r="CR1035" s="168">
        <v>-1.9</v>
      </c>
      <c r="CS1035" s="169">
        <v>1.2</v>
      </c>
      <c r="CT1035" s="170">
        <v>31</v>
      </c>
      <c r="CV1035" s="165">
        <v>39</v>
      </c>
      <c r="CW1035" s="167">
        <v>0.2640845070422535</v>
      </c>
      <c r="CX1035" s="168">
        <v>-2.8</v>
      </c>
      <c r="CY1035" s="169">
        <v>-0.6</v>
      </c>
      <c r="CZ1035" s="170">
        <v>22</v>
      </c>
      <c r="DB1035" s="165">
        <v>60</v>
      </c>
      <c r="DC1035" s="167">
        <v>0.35799522673031026</v>
      </c>
      <c r="DD1035" s="168">
        <v>-2.7</v>
      </c>
      <c r="DE1035" s="169">
        <v>-0.4</v>
      </c>
      <c r="DF1035" s="170">
        <v>23</v>
      </c>
    </row>
    <row r="1036" spans="15:110" hidden="1" x14ac:dyDescent="0.2">
      <c r="AB1036" s="165">
        <v>22</v>
      </c>
      <c r="AC1036" s="167">
        <v>0.35149384885764495</v>
      </c>
      <c r="AD1036" s="168">
        <v>-2.7</v>
      </c>
      <c r="AE1036" s="169">
        <v>-0.4</v>
      </c>
      <c r="AF1036" s="170">
        <v>23</v>
      </c>
      <c r="AG1036" s="20">
        <f t="shared" si="8"/>
        <v>3</v>
      </c>
      <c r="AH1036" s="165">
        <v>1.5</v>
      </c>
      <c r="AI1036" s="167">
        <v>0.53003533568904593</v>
      </c>
      <c r="AJ1036" s="168">
        <v>-2.6</v>
      </c>
      <c r="AK1036" s="169">
        <v>-0.2</v>
      </c>
      <c r="AL1036" s="170">
        <v>24</v>
      </c>
      <c r="AN1036" s="165">
        <v>14</v>
      </c>
      <c r="AO1036" s="167">
        <v>0.44014084507042256</v>
      </c>
      <c r="AP1036" s="168">
        <v>-2.6</v>
      </c>
      <c r="AQ1036" s="169">
        <v>-0.2</v>
      </c>
      <c r="AR1036" s="170">
        <v>24</v>
      </c>
      <c r="AT1036" s="165">
        <v>23</v>
      </c>
      <c r="AU1036" s="167">
        <v>0.26362038664323373</v>
      </c>
      <c r="AV1036" s="168">
        <v>-2.8</v>
      </c>
      <c r="AW1036" s="169">
        <v>-0.6</v>
      </c>
      <c r="AX1036" s="170">
        <v>22</v>
      </c>
      <c r="AY1036" s="20">
        <f t="shared" si="9"/>
        <v>32</v>
      </c>
      <c r="AZ1036" s="165">
        <v>16</v>
      </c>
      <c r="BA1036" s="171">
        <v>1.1423550087873462</v>
      </c>
      <c r="BB1036" s="168">
        <v>-2.2999999999999998</v>
      </c>
      <c r="BC1036" s="169">
        <v>0.4</v>
      </c>
      <c r="BD1036" s="170">
        <v>27</v>
      </c>
      <c r="BF1036" s="165">
        <v>7</v>
      </c>
      <c r="BG1036" s="167">
        <v>73.022847100175753</v>
      </c>
      <c r="BH1036" s="168">
        <v>0.6</v>
      </c>
      <c r="BI1036" s="169">
        <v>6.2</v>
      </c>
      <c r="BJ1036" s="170">
        <v>56</v>
      </c>
      <c r="BK1036" s="20">
        <f t="shared" si="10"/>
        <v>97</v>
      </c>
      <c r="BL1036" s="165">
        <v>9.6999999999999993</v>
      </c>
      <c r="BM1036" s="167">
        <v>40.636042402826853</v>
      </c>
      <c r="BN1036" s="168">
        <v>-0.2</v>
      </c>
      <c r="BO1036" s="169">
        <v>4.5999999999999996</v>
      </c>
      <c r="BP1036" s="170">
        <v>48</v>
      </c>
      <c r="BR1036" s="165">
        <v>19</v>
      </c>
      <c r="BS1036" s="167">
        <v>13.268892794376097</v>
      </c>
      <c r="BT1036" s="168">
        <v>-1.1000000000000001</v>
      </c>
      <c r="BU1036" s="169">
        <v>2.8</v>
      </c>
      <c r="BV1036" s="170">
        <v>39</v>
      </c>
      <c r="BX1036" s="165">
        <v>6</v>
      </c>
      <c r="BY1036" s="167">
        <v>1.056338028169014</v>
      </c>
      <c r="BZ1036" s="168">
        <v>-2.2999999999999998</v>
      </c>
      <c r="CA1036" s="169">
        <v>0.4</v>
      </c>
      <c r="CB1036" s="170">
        <v>27</v>
      </c>
      <c r="CD1036" s="165">
        <v>9</v>
      </c>
      <c r="CE1036" s="167">
        <v>0.35149384885764495</v>
      </c>
      <c r="CF1036" s="168">
        <v>-2.7</v>
      </c>
      <c r="CG1036" s="169">
        <v>-0.4</v>
      </c>
      <c r="CH1036" s="170">
        <v>23</v>
      </c>
      <c r="CJ1036" s="165">
        <v>10</v>
      </c>
      <c r="CK1036" s="167">
        <v>0.26362038664323373</v>
      </c>
      <c r="CL1036" s="168">
        <v>-2.8</v>
      </c>
      <c r="CM1036" s="169">
        <v>-0.6</v>
      </c>
      <c r="CN1036" s="170">
        <v>22</v>
      </c>
      <c r="CP1036" s="165">
        <v>3</v>
      </c>
      <c r="CQ1036" s="167">
        <v>10.808435852372583</v>
      </c>
      <c r="CR1036" s="168">
        <v>-1.2</v>
      </c>
      <c r="CS1036" s="169">
        <v>2.6</v>
      </c>
      <c r="CT1036" s="170">
        <v>38</v>
      </c>
      <c r="CV1036" s="165">
        <v>38</v>
      </c>
      <c r="CW1036" s="167">
        <v>0.2640845070422535</v>
      </c>
      <c r="CX1036" s="168">
        <v>-2.8</v>
      </c>
      <c r="CY1036" s="169">
        <v>-0.6</v>
      </c>
      <c r="CZ1036" s="170">
        <v>22</v>
      </c>
      <c r="DB1036" s="165">
        <v>59</v>
      </c>
      <c r="DC1036" s="167">
        <v>0.35799522673031026</v>
      </c>
      <c r="DD1036" s="168">
        <v>-2.7</v>
      </c>
      <c r="DE1036" s="169">
        <v>-0.4</v>
      </c>
      <c r="DF1036" s="170">
        <v>23</v>
      </c>
    </row>
    <row r="1037" spans="15:110" ht="13.15" hidden="1" thickBot="1" x14ac:dyDescent="0.25">
      <c r="S1037" s="143"/>
      <c r="T1037" s="143"/>
      <c r="AB1037" s="165">
        <v>23</v>
      </c>
      <c r="AC1037" s="167">
        <v>0.35149384885764495</v>
      </c>
      <c r="AD1037" s="168">
        <v>-2.7</v>
      </c>
      <c r="AE1037" s="169">
        <v>-0.4</v>
      </c>
      <c r="AF1037" s="170">
        <v>23</v>
      </c>
      <c r="AG1037" s="20">
        <f t="shared" si="8"/>
        <v>4</v>
      </c>
      <c r="AH1037" s="165">
        <v>2</v>
      </c>
      <c r="AI1037" s="167">
        <v>0.53003533568904593</v>
      </c>
      <c r="AJ1037" s="168">
        <v>-2.6</v>
      </c>
      <c r="AK1037" s="169">
        <v>-0.2</v>
      </c>
      <c r="AL1037" s="170">
        <v>24</v>
      </c>
      <c r="AN1037" s="165">
        <v>15</v>
      </c>
      <c r="AO1037" s="167">
        <v>0.44014084507042256</v>
      </c>
      <c r="AP1037" s="168">
        <v>-2.6</v>
      </c>
      <c r="AQ1037" s="169">
        <v>-0.2</v>
      </c>
      <c r="AR1037" s="170">
        <v>24</v>
      </c>
      <c r="AT1037" s="165">
        <v>24</v>
      </c>
      <c r="AU1037" s="167">
        <v>0.26362038664323373</v>
      </c>
      <c r="AV1037" s="168">
        <v>-2.8</v>
      </c>
      <c r="AW1037" s="169">
        <v>-0.6</v>
      </c>
      <c r="AX1037" s="170">
        <v>22</v>
      </c>
      <c r="AY1037" s="20">
        <f t="shared" si="9"/>
        <v>33</v>
      </c>
      <c r="AZ1037" s="165">
        <v>16.5</v>
      </c>
      <c r="BA1037" s="171">
        <v>3.0755711775043935</v>
      </c>
      <c r="BB1037" s="168">
        <v>-1.9</v>
      </c>
      <c r="BC1037" s="169">
        <v>1.2</v>
      </c>
      <c r="BD1037" s="170">
        <v>31</v>
      </c>
      <c r="BF1037" s="165">
        <v>8</v>
      </c>
      <c r="BG1037" s="167">
        <v>92.706502636203865</v>
      </c>
      <c r="BH1037" s="168">
        <v>1.5</v>
      </c>
      <c r="BI1037" s="169">
        <v>8</v>
      </c>
      <c r="BJ1037" s="170">
        <v>65</v>
      </c>
      <c r="BK1037" s="20">
        <f t="shared" si="10"/>
        <v>96</v>
      </c>
      <c r="BL1037" s="165">
        <v>9.6</v>
      </c>
      <c r="BM1037" s="167">
        <v>41.872791519434628</v>
      </c>
      <c r="BN1037" s="168">
        <v>-0.2</v>
      </c>
      <c r="BO1037" s="169">
        <v>4.5999999999999996</v>
      </c>
      <c r="BP1037" s="170">
        <v>48</v>
      </c>
      <c r="BR1037" s="172">
        <v>20</v>
      </c>
      <c r="BS1037" s="173">
        <v>60.632688927943754</v>
      </c>
      <c r="BT1037" s="174">
        <v>0.3</v>
      </c>
      <c r="BU1037" s="175">
        <v>5.6</v>
      </c>
      <c r="BV1037" s="176">
        <v>53</v>
      </c>
      <c r="BX1037" s="165">
        <v>7</v>
      </c>
      <c r="BY1037" s="167">
        <v>1.584507042253521</v>
      </c>
      <c r="BZ1037" s="168">
        <v>-2.2000000000000002</v>
      </c>
      <c r="CA1037" s="169">
        <v>0.6</v>
      </c>
      <c r="CB1037" s="170">
        <v>28</v>
      </c>
      <c r="CD1037" s="165">
        <v>10</v>
      </c>
      <c r="CE1037" s="167">
        <v>0.61511423550087874</v>
      </c>
      <c r="CF1037" s="168">
        <v>-2.5</v>
      </c>
      <c r="CG1037" s="169">
        <v>0</v>
      </c>
      <c r="CH1037" s="170">
        <v>25</v>
      </c>
      <c r="CJ1037" s="165">
        <v>11</v>
      </c>
      <c r="CK1037" s="167">
        <v>0.26362038664323373</v>
      </c>
      <c r="CL1037" s="168">
        <v>-2.8</v>
      </c>
      <c r="CM1037" s="169">
        <v>-0.6</v>
      </c>
      <c r="CN1037" s="170">
        <v>22</v>
      </c>
      <c r="CP1037" s="165">
        <v>4</v>
      </c>
      <c r="CQ1037" s="167">
        <v>28.383128295254835</v>
      </c>
      <c r="CR1037" s="168">
        <v>-0.6</v>
      </c>
      <c r="CS1037" s="169">
        <v>3.8</v>
      </c>
      <c r="CT1037" s="170">
        <v>44</v>
      </c>
      <c r="CV1037" s="165">
        <v>37</v>
      </c>
      <c r="CW1037" s="167">
        <v>0.2640845070422535</v>
      </c>
      <c r="CX1037" s="168">
        <v>-2.8</v>
      </c>
      <c r="CY1037" s="169">
        <v>-0.6</v>
      </c>
      <c r="CZ1037" s="170">
        <v>22</v>
      </c>
      <c r="DB1037" s="165">
        <v>58</v>
      </c>
      <c r="DC1037" s="167">
        <v>0.59665871121718372</v>
      </c>
      <c r="DD1037" s="168">
        <v>-2.5</v>
      </c>
      <c r="DE1037" s="169">
        <v>0</v>
      </c>
      <c r="DF1037" s="170">
        <v>25</v>
      </c>
    </row>
    <row r="1038" spans="15:110" ht="13.15" hidden="1" thickBot="1" x14ac:dyDescent="0.25">
      <c r="S1038" s="146"/>
      <c r="T1038" s="146"/>
      <c r="AB1038" s="165">
        <v>24</v>
      </c>
      <c r="AC1038" s="167">
        <v>0.35149384885764495</v>
      </c>
      <c r="AD1038" s="168">
        <v>-2.7</v>
      </c>
      <c r="AE1038" s="169">
        <v>-0.4</v>
      </c>
      <c r="AF1038" s="170">
        <v>23</v>
      </c>
      <c r="AG1038" s="20">
        <f t="shared" si="8"/>
        <v>5</v>
      </c>
      <c r="AH1038" s="165">
        <v>2.5</v>
      </c>
      <c r="AI1038" s="167">
        <v>0.79505300353356878</v>
      </c>
      <c r="AJ1038" s="168">
        <v>-2.4</v>
      </c>
      <c r="AK1038" s="169">
        <v>0.2</v>
      </c>
      <c r="AL1038" s="170">
        <v>26</v>
      </c>
      <c r="AN1038" s="165">
        <v>16</v>
      </c>
      <c r="AO1038" s="167">
        <v>0.44014084507042256</v>
      </c>
      <c r="AP1038" s="168">
        <v>-2.6</v>
      </c>
      <c r="AQ1038" s="169">
        <v>-0.2</v>
      </c>
      <c r="AR1038" s="170">
        <v>24</v>
      </c>
      <c r="AT1038" s="165">
        <v>25</v>
      </c>
      <c r="AU1038" s="167">
        <v>0.26362038664323373</v>
      </c>
      <c r="AV1038" s="168">
        <v>-2.8</v>
      </c>
      <c r="AW1038" s="169">
        <v>-0.6</v>
      </c>
      <c r="AX1038" s="170">
        <v>22</v>
      </c>
      <c r="AY1038" s="20">
        <f t="shared" si="9"/>
        <v>34</v>
      </c>
      <c r="AZ1038" s="165">
        <v>17</v>
      </c>
      <c r="BA1038" s="171">
        <v>6.6783831282952555</v>
      </c>
      <c r="BB1038" s="168">
        <v>-1.5</v>
      </c>
      <c r="BC1038" s="169">
        <v>2</v>
      </c>
      <c r="BD1038" s="170">
        <v>35</v>
      </c>
      <c r="BF1038" s="172">
        <v>9</v>
      </c>
      <c r="BG1038" s="173">
        <v>98.506151142355009</v>
      </c>
      <c r="BH1038" s="174">
        <v>2.2000000000000002</v>
      </c>
      <c r="BI1038" s="175">
        <v>9.4</v>
      </c>
      <c r="BJ1038" s="176">
        <v>72</v>
      </c>
      <c r="BK1038" s="20">
        <f t="shared" si="10"/>
        <v>95</v>
      </c>
      <c r="BL1038" s="165">
        <v>9.5</v>
      </c>
      <c r="BM1038" s="167">
        <v>44.169611307420489</v>
      </c>
      <c r="BN1038" s="168">
        <v>-0.1</v>
      </c>
      <c r="BO1038" s="169">
        <v>4.8</v>
      </c>
      <c r="BP1038" s="170">
        <v>49</v>
      </c>
      <c r="BX1038" s="165">
        <v>8</v>
      </c>
      <c r="BY1038" s="167">
        <v>2.112676056338028</v>
      </c>
      <c r="BZ1038" s="168">
        <v>-2</v>
      </c>
      <c r="CA1038" s="169">
        <v>1</v>
      </c>
      <c r="CB1038" s="170">
        <v>30</v>
      </c>
      <c r="CD1038" s="165">
        <v>11</v>
      </c>
      <c r="CE1038" s="167">
        <v>0.7908611599297013</v>
      </c>
      <c r="CF1038" s="168">
        <v>-2.4</v>
      </c>
      <c r="CG1038" s="169">
        <v>0.2</v>
      </c>
      <c r="CH1038" s="170">
        <v>26</v>
      </c>
      <c r="CJ1038" s="165">
        <v>12</v>
      </c>
      <c r="CK1038" s="167">
        <v>0.61511423550087874</v>
      </c>
      <c r="CL1038" s="168">
        <v>-2.5</v>
      </c>
      <c r="CM1038" s="169">
        <v>0</v>
      </c>
      <c r="CN1038" s="170">
        <v>25</v>
      </c>
      <c r="CP1038" s="165">
        <v>5</v>
      </c>
      <c r="CQ1038" s="167">
        <v>58.435852372583476</v>
      </c>
      <c r="CR1038" s="168">
        <v>0.2</v>
      </c>
      <c r="CS1038" s="169">
        <v>5.4</v>
      </c>
      <c r="CT1038" s="170">
        <v>52</v>
      </c>
      <c r="CV1038" s="165">
        <v>36</v>
      </c>
      <c r="CW1038" s="167">
        <v>0.528169014084507</v>
      </c>
      <c r="CX1038" s="168">
        <v>-2.6</v>
      </c>
      <c r="CY1038" s="169">
        <v>-0.2</v>
      </c>
      <c r="CZ1038" s="170">
        <v>24</v>
      </c>
      <c r="DB1038" s="165">
        <v>57</v>
      </c>
      <c r="DC1038" s="167">
        <v>0.8353221957040573</v>
      </c>
      <c r="DD1038" s="168">
        <v>-2.4</v>
      </c>
      <c r="DE1038" s="169">
        <v>0.2</v>
      </c>
      <c r="DF1038" s="170">
        <v>26</v>
      </c>
    </row>
    <row r="1039" spans="15:110" ht="13.15" hidden="1" thickBot="1" x14ac:dyDescent="0.25">
      <c r="S1039" s="146"/>
      <c r="T1039" s="146"/>
      <c r="AB1039" s="165">
        <v>25</v>
      </c>
      <c r="AC1039" s="167">
        <v>0.35149384885764495</v>
      </c>
      <c r="AD1039" s="168">
        <v>-2.7</v>
      </c>
      <c r="AE1039" s="169">
        <v>-0.4</v>
      </c>
      <c r="AF1039" s="170">
        <v>23</v>
      </c>
      <c r="AG1039" s="20">
        <f t="shared" si="8"/>
        <v>6</v>
      </c>
      <c r="AH1039" s="165">
        <v>3</v>
      </c>
      <c r="AI1039" s="167">
        <v>1.2367491166077738</v>
      </c>
      <c r="AJ1039" s="168">
        <v>-2.2000000000000002</v>
      </c>
      <c r="AK1039" s="169">
        <v>0.6</v>
      </c>
      <c r="AL1039" s="170">
        <v>28</v>
      </c>
      <c r="AN1039" s="165">
        <v>17</v>
      </c>
      <c r="AO1039" s="167">
        <v>0.88028169014084512</v>
      </c>
      <c r="AP1039" s="168">
        <v>-2.4</v>
      </c>
      <c r="AQ1039" s="169">
        <v>0.2</v>
      </c>
      <c r="AR1039" s="170">
        <v>26</v>
      </c>
      <c r="AT1039" s="165">
        <v>26</v>
      </c>
      <c r="AU1039" s="167">
        <v>0.26362038664323373</v>
      </c>
      <c r="AV1039" s="168">
        <v>-2.8</v>
      </c>
      <c r="AW1039" s="169">
        <v>-0.6</v>
      </c>
      <c r="AX1039" s="170">
        <v>22</v>
      </c>
      <c r="AY1039" s="20">
        <f t="shared" si="9"/>
        <v>35</v>
      </c>
      <c r="AZ1039" s="165">
        <v>17.5</v>
      </c>
      <c r="BA1039" s="171">
        <v>17.223198594024606</v>
      </c>
      <c r="BB1039" s="168">
        <v>-0.9</v>
      </c>
      <c r="BC1039" s="169">
        <v>3.2</v>
      </c>
      <c r="BD1039" s="170">
        <v>41</v>
      </c>
      <c r="BK1039" s="20">
        <f t="shared" si="10"/>
        <v>94</v>
      </c>
      <c r="BL1039" s="165">
        <v>9.4</v>
      </c>
      <c r="BM1039" s="167">
        <v>46.819787985865723</v>
      </c>
      <c r="BN1039" s="168">
        <v>-0.1</v>
      </c>
      <c r="BO1039" s="169">
        <v>4.8</v>
      </c>
      <c r="BP1039" s="170">
        <v>49</v>
      </c>
      <c r="BX1039" s="165">
        <v>9</v>
      </c>
      <c r="BY1039" s="167">
        <v>2.552816901408451</v>
      </c>
      <c r="BZ1039" s="168">
        <v>-2</v>
      </c>
      <c r="CA1039" s="169">
        <v>1</v>
      </c>
      <c r="CB1039" s="170">
        <v>30</v>
      </c>
      <c r="CD1039" s="165">
        <v>12</v>
      </c>
      <c r="CE1039" s="167">
        <v>1.2302284710017575</v>
      </c>
      <c r="CF1039" s="168">
        <v>-2.2000000000000002</v>
      </c>
      <c r="CG1039" s="169">
        <v>0.6</v>
      </c>
      <c r="CH1039" s="170">
        <v>28</v>
      </c>
      <c r="CJ1039" s="165">
        <v>13</v>
      </c>
      <c r="CK1039" s="167">
        <v>0.61511423550087874</v>
      </c>
      <c r="CL1039" s="168">
        <v>-2.5</v>
      </c>
      <c r="CM1039" s="169">
        <v>0</v>
      </c>
      <c r="CN1039" s="170">
        <v>25</v>
      </c>
      <c r="CP1039" s="172">
        <v>6</v>
      </c>
      <c r="CQ1039" s="173">
        <v>88.224956063268891</v>
      </c>
      <c r="CR1039" s="174">
        <v>1.2</v>
      </c>
      <c r="CS1039" s="175">
        <v>7.4</v>
      </c>
      <c r="CT1039" s="176">
        <v>62</v>
      </c>
      <c r="CV1039" s="165">
        <v>35</v>
      </c>
      <c r="CW1039" s="167">
        <v>0.79225352112676051</v>
      </c>
      <c r="CX1039" s="168">
        <v>-2.4</v>
      </c>
      <c r="CY1039" s="169">
        <v>0.2</v>
      </c>
      <c r="CZ1039" s="170">
        <v>26</v>
      </c>
      <c r="DB1039" s="165">
        <v>56</v>
      </c>
      <c r="DC1039" s="167">
        <v>0.8353221957040573</v>
      </c>
      <c r="DD1039" s="168">
        <v>-2.4</v>
      </c>
      <c r="DE1039" s="169">
        <v>0.2</v>
      </c>
      <c r="DF1039" s="170">
        <v>26</v>
      </c>
    </row>
    <row r="1040" spans="15:110" ht="13.8" hidden="1" thickBot="1" x14ac:dyDescent="0.3">
      <c r="O1040" s="20" t="s">
        <v>4</v>
      </c>
      <c r="P1040" s="20" t="s">
        <v>179</v>
      </c>
      <c r="S1040" s="154"/>
      <c r="T1040" s="154"/>
      <c r="AB1040" s="165">
        <v>26</v>
      </c>
      <c r="AC1040" s="167">
        <v>0.35149384885764495</v>
      </c>
      <c r="AD1040" s="168">
        <v>-2.7</v>
      </c>
      <c r="AE1040" s="169">
        <v>-0.4</v>
      </c>
      <c r="AF1040" s="170">
        <v>23</v>
      </c>
      <c r="AG1040" s="20">
        <f t="shared" si="8"/>
        <v>7</v>
      </c>
      <c r="AH1040" s="165">
        <v>3.5</v>
      </c>
      <c r="AI1040" s="167">
        <v>1.8551236749116609</v>
      </c>
      <c r="AJ1040" s="168">
        <v>-2.1</v>
      </c>
      <c r="AK1040" s="169">
        <v>0.8</v>
      </c>
      <c r="AL1040" s="170">
        <v>29</v>
      </c>
      <c r="AN1040" s="165">
        <v>18</v>
      </c>
      <c r="AO1040" s="167">
        <v>0.88028169014084512</v>
      </c>
      <c r="AP1040" s="168">
        <v>-2.4</v>
      </c>
      <c r="AQ1040" s="169">
        <v>0.2</v>
      </c>
      <c r="AR1040" s="170">
        <v>26</v>
      </c>
      <c r="AT1040" s="165">
        <v>27</v>
      </c>
      <c r="AU1040" s="167">
        <v>0.26362038664323373</v>
      </c>
      <c r="AV1040" s="168">
        <v>-2.8</v>
      </c>
      <c r="AW1040" s="169">
        <v>-0.6</v>
      </c>
      <c r="AX1040" s="170">
        <v>22</v>
      </c>
      <c r="AY1040" s="20">
        <f t="shared" si="9"/>
        <v>36</v>
      </c>
      <c r="AZ1040" s="172">
        <v>18</v>
      </c>
      <c r="BA1040" s="177">
        <v>62.741652021089635</v>
      </c>
      <c r="BB1040" s="174">
        <v>0.3</v>
      </c>
      <c r="BC1040" s="175">
        <v>5.6</v>
      </c>
      <c r="BD1040" s="176">
        <v>53</v>
      </c>
      <c r="BK1040" s="20">
        <f t="shared" si="10"/>
        <v>93</v>
      </c>
      <c r="BL1040" s="165">
        <v>9.3000000000000007</v>
      </c>
      <c r="BM1040" s="167">
        <v>49.469964664310957</v>
      </c>
      <c r="BN1040" s="168">
        <v>0</v>
      </c>
      <c r="BO1040" s="169">
        <v>5</v>
      </c>
      <c r="BP1040" s="170">
        <v>50</v>
      </c>
      <c r="BR1040" s="138" t="s">
        <v>232</v>
      </c>
      <c r="BS1040" s="139"/>
      <c r="BT1040" s="139"/>
      <c r="BU1040" s="140" t="s">
        <v>215</v>
      </c>
      <c r="BV1040" s="141">
        <v>569</v>
      </c>
      <c r="BX1040" s="165">
        <v>10</v>
      </c>
      <c r="BY1040" s="167">
        <v>3.873239436619718</v>
      </c>
      <c r="BZ1040" s="168">
        <v>-1.8</v>
      </c>
      <c r="CA1040" s="169">
        <v>1.4</v>
      </c>
      <c r="CB1040" s="170">
        <v>32</v>
      </c>
      <c r="CD1040" s="165">
        <v>13</v>
      </c>
      <c r="CE1040" s="167">
        <v>1.7574692442882252</v>
      </c>
      <c r="CF1040" s="168">
        <v>-2.1</v>
      </c>
      <c r="CG1040" s="169">
        <v>0.8</v>
      </c>
      <c r="CH1040" s="170">
        <v>29</v>
      </c>
      <c r="CJ1040" s="165">
        <v>14</v>
      </c>
      <c r="CK1040" s="167">
        <v>0.61511423550087874</v>
      </c>
      <c r="CL1040" s="168">
        <v>-2.5</v>
      </c>
      <c r="CM1040" s="169">
        <v>0</v>
      </c>
      <c r="CN1040" s="170">
        <v>25</v>
      </c>
      <c r="CV1040" s="165">
        <v>34</v>
      </c>
      <c r="CW1040" s="167">
        <v>0.96830985915492951</v>
      </c>
      <c r="CX1040" s="168">
        <v>-2.2999999999999998</v>
      </c>
      <c r="CY1040" s="169">
        <v>0.4</v>
      </c>
      <c r="CZ1040" s="170">
        <v>27</v>
      </c>
      <c r="DB1040" s="165">
        <v>55</v>
      </c>
      <c r="DC1040" s="167">
        <v>0.8353221957040573</v>
      </c>
      <c r="DD1040" s="168">
        <v>-2.4</v>
      </c>
      <c r="DE1040" s="169">
        <v>0.2</v>
      </c>
      <c r="DF1040" s="170">
        <v>26</v>
      </c>
    </row>
    <row r="1041" spans="15:110" ht="13.8" hidden="1" thickBot="1" x14ac:dyDescent="0.3">
      <c r="O1041" s="20" t="e">
        <f>$F16-21.06*$R$1031-5.07*$R$1030+2</f>
        <v>#REF!</v>
      </c>
      <c r="P1041" s="20" t="e">
        <f>$F16-21.06*$R$1031-5.07*$R$1030-2</f>
        <v>#REF!</v>
      </c>
      <c r="S1041" s="178">
        <f>IF(T1041&lt;19,19,IF(T1041&gt;74,74,T1041))</f>
        <v>74</v>
      </c>
      <c r="T1041" s="11" t="str">
        <f>IF($C$5="m",O1041,IF($C$5="w",P1041,""))</f>
        <v/>
      </c>
      <c r="U1041" s="147" t="s">
        <v>163</v>
      </c>
      <c r="AB1041" s="165">
        <v>27</v>
      </c>
      <c r="AC1041" s="167">
        <v>0.35149384885764495</v>
      </c>
      <c r="AD1041" s="168">
        <v>-2.7</v>
      </c>
      <c r="AE1041" s="169">
        <v>-0.4</v>
      </c>
      <c r="AF1041" s="170">
        <v>23</v>
      </c>
      <c r="AG1041" s="20">
        <f t="shared" si="8"/>
        <v>8</v>
      </c>
      <c r="AH1041" s="165">
        <v>4</v>
      </c>
      <c r="AI1041" s="167">
        <v>2.6501766784452299</v>
      </c>
      <c r="AJ1041" s="168">
        <v>-1.9</v>
      </c>
      <c r="AK1041" s="169">
        <v>1.2</v>
      </c>
      <c r="AL1041" s="170">
        <v>31</v>
      </c>
      <c r="AN1041" s="165">
        <v>19</v>
      </c>
      <c r="AO1041" s="167">
        <v>1.4084507042253522</v>
      </c>
      <c r="AP1041" s="168">
        <v>-2.2000000000000002</v>
      </c>
      <c r="AQ1041" s="169">
        <v>0.6</v>
      </c>
      <c r="AR1041" s="170">
        <v>28</v>
      </c>
      <c r="AT1041" s="165">
        <v>28</v>
      </c>
      <c r="AU1041" s="167">
        <v>0.26362038664323373</v>
      </c>
      <c r="AV1041" s="168">
        <v>-2.8</v>
      </c>
      <c r="AW1041" s="169">
        <v>-0.6</v>
      </c>
      <c r="AX1041" s="170">
        <v>22</v>
      </c>
      <c r="BF1041" s="138" t="s">
        <v>51</v>
      </c>
      <c r="BG1041" s="139"/>
      <c r="BH1041" s="139"/>
      <c r="BI1041" s="140" t="s">
        <v>180</v>
      </c>
      <c r="BJ1041" s="141">
        <v>569</v>
      </c>
      <c r="BK1041" s="20">
        <f t="shared" si="10"/>
        <v>92</v>
      </c>
      <c r="BL1041" s="165">
        <v>9.1999999999999993</v>
      </c>
      <c r="BM1041" s="167">
        <v>52.120141342756185</v>
      </c>
      <c r="BN1041" s="168">
        <v>0.1</v>
      </c>
      <c r="BO1041" s="169">
        <v>5.2</v>
      </c>
      <c r="BP1041" s="170">
        <v>51</v>
      </c>
      <c r="BR1041" s="144" t="s">
        <v>161</v>
      </c>
      <c r="BV1041" s="145"/>
      <c r="BX1041" s="165">
        <v>11</v>
      </c>
      <c r="BY1041" s="167">
        <v>6.426056338028169</v>
      </c>
      <c r="BZ1041" s="168">
        <v>-1.5</v>
      </c>
      <c r="CA1041" s="169">
        <v>2</v>
      </c>
      <c r="CB1041" s="170">
        <v>35</v>
      </c>
      <c r="CD1041" s="165">
        <v>14</v>
      </c>
      <c r="CE1041" s="167">
        <v>1.7574692442882252</v>
      </c>
      <c r="CF1041" s="168">
        <v>-2.1</v>
      </c>
      <c r="CG1041" s="169">
        <v>0.8</v>
      </c>
      <c r="CH1041" s="170">
        <v>29</v>
      </c>
      <c r="CJ1041" s="165">
        <v>15</v>
      </c>
      <c r="CK1041" s="167">
        <v>0.61511423550087874</v>
      </c>
      <c r="CL1041" s="168">
        <v>-2.5</v>
      </c>
      <c r="CM1041" s="169">
        <v>0</v>
      </c>
      <c r="CN1041" s="170">
        <v>25</v>
      </c>
      <c r="CV1041" s="165">
        <v>33</v>
      </c>
      <c r="CW1041" s="167">
        <v>1.1443661971830987</v>
      </c>
      <c r="CX1041" s="168">
        <v>-2.2999999999999998</v>
      </c>
      <c r="CY1041" s="169">
        <v>0.4</v>
      </c>
      <c r="CZ1041" s="170">
        <v>27</v>
      </c>
      <c r="DB1041" s="165">
        <v>54</v>
      </c>
      <c r="DC1041" s="167">
        <v>0.8353221957040573</v>
      </c>
      <c r="DD1041" s="168">
        <v>-2.4</v>
      </c>
      <c r="DE1041" s="169">
        <v>0.2</v>
      </c>
      <c r="DF1041" s="170">
        <v>26</v>
      </c>
    </row>
    <row r="1042" spans="15:110" ht="13.8" hidden="1" thickBot="1" x14ac:dyDescent="0.3">
      <c r="S1042" s="178" t="e">
        <f>IF(T1042&lt;2,2,IF(T1042&gt;15,15,T1042))</f>
        <v>#REF!</v>
      </c>
      <c r="T1042" s="11" t="e">
        <f>$F17-2.87*$R$1031-0.61*$R$1030</f>
        <v>#REF!</v>
      </c>
      <c r="U1042" s="147" t="s">
        <v>165</v>
      </c>
      <c r="AB1042" s="165">
        <v>28</v>
      </c>
      <c r="AC1042" s="167">
        <v>0.61511423550087874</v>
      </c>
      <c r="AD1042" s="168">
        <v>-2.5</v>
      </c>
      <c r="AE1042" s="169">
        <v>0</v>
      </c>
      <c r="AF1042" s="170">
        <v>25</v>
      </c>
      <c r="AG1042" s="20">
        <f t="shared" si="8"/>
        <v>9</v>
      </c>
      <c r="AH1042" s="165">
        <v>4.5</v>
      </c>
      <c r="AI1042" s="167">
        <v>3.2685512367491167</v>
      </c>
      <c r="AJ1042" s="168">
        <v>-1.8</v>
      </c>
      <c r="AK1042" s="169">
        <v>1.4</v>
      </c>
      <c r="AL1042" s="170">
        <v>32</v>
      </c>
      <c r="AN1042" s="165">
        <v>20</v>
      </c>
      <c r="AO1042" s="167">
        <v>1.936619718309859</v>
      </c>
      <c r="AP1042" s="168">
        <v>-2.1</v>
      </c>
      <c r="AQ1042" s="169">
        <v>0.8</v>
      </c>
      <c r="AR1042" s="170">
        <v>29</v>
      </c>
      <c r="AT1042" s="165">
        <v>29</v>
      </c>
      <c r="AU1042" s="167">
        <v>0.26362038664323373</v>
      </c>
      <c r="AV1042" s="168">
        <v>-2.8</v>
      </c>
      <c r="AW1042" s="169">
        <v>-0.6</v>
      </c>
      <c r="AX1042" s="170">
        <v>22</v>
      </c>
      <c r="BF1042" s="144" t="s">
        <v>161</v>
      </c>
      <c r="BJ1042" s="145"/>
      <c r="BK1042" s="20">
        <f t="shared" si="10"/>
        <v>91</v>
      </c>
      <c r="BL1042" s="165">
        <v>9.1</v>
      </c>
      <c r="BM1042" s="167">
        <v>54.505300353356887</v>
      </c>
      <c r="BN1042" s="168">
        <v>0.1</v>
      </c>
      <c r="BO1042" s="169">
        <v>5.2</v>
      </c>
      <c r="BP1042" s="170">
        <v>51</v>
      </c>
      <c r="BR1042" s="147"/>
      <c r="BS1042" s="148"/>
      <c r="BT1042" s="179" t="s">
        <v>170</v>
      </c>
      <c r="BU1042" s="148"/>
      <c r="BV1042" s="149"/>
      <c r="BX1042" s="165">
        <v>12</v>
      </c>
      <c r="BY1042" s="167">
        <v>10.475352112676056</v>
      </c>
      <c r="BZ1042" s="168">
        <v>-1.3</v>
      </c>
      <c r="CA1042" s="169">
        <v>2.4</v>
      </c>
      <c r="CB1042" s="170">
        <v>37</v>
      </c>
      <c r="CD1042" s="165">
        <v>15</v>
      </c>
      <c r="CE1042" s="167">
        <v>2.2847100175746924</v>
      </c>
      <c r="CF1042" s="168">
        <v>-2</v>
      </c>
      <c r="CG1042" s="169">
        <v>1</v>
      </c>
      <c r="CH1042" s="170">
        <v>30</v>
      </c>
      <c r="CJ1042" s="165">
        <v>16</v>
      </c>
      <c r="CK1042" s="167">
        <v>1.3181019332161688</v>
      </c>
      <c r="CL1042" s="168">
        <v>-2.2000000000000002</v>
      </c>
      <c r="CM1042" s="169">
        <v>0.6</v>
      </c>
      <c r="CN1042" s="170">
        <v>28</v>
      </c>
      <c r="CP1042" s="138" t="s">
        <v>98</v>
      </c>
      <c r="CQ1042" s="139"/>
      <c r="CR1042" s="139"/>
      <c r="CS1042" s="140" t="s">
        <v>215</v>
      </c>
      <c r="CT1042" s="141">
        <v>569</v>
      </c>
      <c r="CV1042" s="165">
        <v>32</v>
      </c>
      <c r="CW1042" s="167">
        <v>1.584507042253521</v>
      </c>
      <c r="CX1042" s="168">
        <v>-2.2000000000000002</v>
      </c>
      <c r="CY1042" s="169">
        <v>0.6</v>
      </c>
      <c r="CZ1042" s="170">
        <v>28</v>
      </c>
      <c r="DB1042" s="165">
        <v>53</v>
      </c>
      <c r="DC1042" s="167">
        <v>0.8353221957040573</v>
      </c>
      <c r="DD1042" s="168">
        <v>-2.4</v>
      </c>
      <c r="DE1042" s="169">
        <v>0.2</v>
      </c>
      <c r="DF1042" s="170">
        <v>26</v>
      </c>
    </row>
    <row r="1043" spans="15:110" ht="13.8" hidden="1" thickBot="1" x14ac:dyDescent="0.3">
      <c r="S1043" s="178" t="e">
        <f>IF(T1043&lt;0,0,IF(T1043&gt;15,15,T1043))</f>
        <v>#REF!</v>
      </c>
      <c r="T1043" s="11" t="e">
        <f>$F18-4.64*$R$1031-1.02*$R$1030</f>
        <v>#REF!</v>
      </c>
      <c r="U1043" s="147" t="s">
        <v>166</v>
      </c>
      <c r="AB1043" s="165">
        <v>29</v>
      </c>
      <c r="AC1043" s="167">
        <v>0.61511423550087874</v>
      </c>
      <c r="AD1043" s="168">
        <v>-2.5</v>
      </c>
      <c r="AE1043" s="169">
        <v>0</v>
      </c>
      <c r="AF1043" s="170">
        <v>25</v>
      </c>
      <c r="AG1043" s="20">
        <f t="shared" si="8"/>
        <v>10</v>
      </c>
      <c r="AH1043" s="165">
        <v>5</v>
      </c>
      <c r="AI1043" s="167">
        <v>4.2402826855123674</v>
      </c>
      <c r="AJ1043" s="168">
        <v>-1.7</v>
      </c>
      <c r="AK1043" s="169">
        <v>1.6</v>
      </c>
      <c r="AL1043" s="170">
        <v>33</v>
      </c>
      <c r="AN1043" s="165">
        <v>21</v>
      </c>
      <c r="AO1043" s="167">
        <v>1.936619718309859</v>
      </c>
      <c r="AP1043" s="168">
        <v>-2.1</v>
      </c>
      <c r="AQ1043" s="169">
        <v>0.8</v>
      </c>
      <c r="AR1043" s="170">
        <v>29</v>
      </c>
      <c r="AT1043" s="165">
        <v>30</v>
      </c>
      <c r="AU1043" s="167">
        <v>0.26362038664323373</v>
      </c>
      <c r="AV1043" s="168">
        <v>-2.8</v>
      </c>
      <c r="AW1043" s="169">
        <v>-0.6</v>
      </c>
      <c r="AX1043" s="170">
        <v>22</v>
      </c>
      <c r="AZ1043" s="138" t="s">
        <v>214</v>
      </c>
      <c r="BA1043" s="139"/>
      <c r="BB1043" s="139"/>
      <c r="BC1043" s="140" t="s">
        <v>215</v>
      </c>
      <c r="BD1043" s="141">
        <v>569</v>
      </c>
      <c r="BF1043" s="147"/>
      <c r="BG1043" s="148"/>
      <c r="BH1043" s="179" t="s">
        <v>170</v>
      </c>
      <c r="BI1043" s="148"/>
      <c r="BJ1043" s="149"/>
      <c r="BK1043" s="20">
        <f t="shared" si="10"/>
        <v>90</v>
      </c>
      <c r="BL1043" s="165">
        <v>9</v>
      </c>
      <c r="BM1043" s="167">
        <v>56.802120141342762</v>
      </c>
      <c r="BN1043" s="168">
        <v>0.2</v>
      </c>
      <c r="BO1043" s="169">
        <v>5.4</v>
      </c>
      <c r="BP1043" s="170">
        <v>52</v>
      </c>
      <c r="BR1043" s="150" t="s">
        <v>164</v>
      </c>
      <c r="BS1043" s="151" t="s">
        <v>81</v>
      </c>
      <c r="BT1043" s="152"/>
      <c r="BU1043" s="152"/>
      <c r="BV1043" s="153"/>
      <c r="BX1043" s="165">
        <v>13</v>
      </c>
      <c r="BY1043" s="167">
        <v>17.341549295774648</v>
      </c>
      <c r="BZ1043" s="168">
        <v>-0.9</v>
      </c>
      <c r="CA1043" s="169">
        <v>3.2</v>
      </c>
      <c r="CB1043" s="170">
        <v>41</v>
      </c>
      <c r="CD1043" s="165">
        <v>16</v>
      </c>
      <c r="CE1043" s="167">
        <v>2.9876977152899822</v>
      </c>
      <c r="CF1043" s="168">
        <v>-1.9</v>
      </c>
      <c r="CG1043" s="169">
        <v>1.2</v>
      </c>
      <c r="CH1043" s="170">
        <v>31</v>
      </c>
      <c r="CJ1043" s="165">
        <v>17</v>
      </c>
      <c r="CK1043" s="167">
        <v>2.4604569420035149</v>
      </c>
      <c r="CL1043" s="168">
        <v>-2</v>
      </c>
      <c r="CM1043" s="169">
        <v>1</v>
      </c>
      <c r="CN1043" s="170">
        <v>30</v>
      </c>
      <c r="CP1043" s="144" t="s">
        <v>161</v>
      </c>
      <c r="CT1043" s="145"/>
      <c r="CV1043" s="165">
        <v>31</v>
      </c>
      <c r="CW1043" s="167">
        <v>2.3767605633802815</v>
      </c>
      <c r="CX1043" s="168">
        <v>-2</v>
      </c>
      <c r="CY1043" s="169">
        <v>1</v>
      </c>
      <c r="CZ1043" s="170">
        <v>30</v>
      </c>
      <c r="DB1043" s="165">
        <v>52</v>
      </c>
      <c r="DC1043" s="167">
        <v>0.8353221957040573</v>
      </c>
      <c r="DD1043" s="168">
        <v>-2.4</v>
      </c>
      <c r="DE1043" s="169">
        <v>0.2</v>
      </c>
      <c r="DF1043" s="170">
        <v>26</v>
      </c>
    </row>
    <row r="1044" spans="15:110" ht="13.15" hidden="1" thickBot="1" x14ac:dyDescent="0.25">
      <c r="S1044" s="178" t="e">
        <f>IF(T1044&lt;2,2,IF(T1044&gt;15,15,T1044))</f>
        <v>#REF!</v>
      </c>
      <c r="T1044" s="11" t="e">
        <f>$F19-4.61*$R$1031-1.03*$R$1030</f>
        <v>#REF!</v>
      </c>
      <c r="U1044" s="147" t="s">
        <v>168</v>
      </c>
      <c r="AB1044" s="165">
        <v>30</v>
      </c>
      <c r="AC1044" s="167">
        <v>0.61511423550087874</v>
      </c>
      <c r="AD1044" s="168">
        <v>-2.5</v>
      </c>
      <c r="AE1044" s="169">
        <v>0</v>
      </c>
      <c r="AF1044" s="170">
        <v>25</v>
      </c>
      <c r="AG1044" s="20">
        <f t="shared" si="8"/>
        <v>11</v>
      </c>
      <c r="AH1044" s="165">
        <v>5.5</v>
      </c>
      <c r="AI1044" s="167">
        <v>5.830388692579505</v>
      </c>
      <c r="AJ1044" s="168">
        <v>-1.6</v>
      </c>
      <c r="AK1044" s="169">
        <v>1.8</v>
      </c>
      <c r="AL1044" s="170">
        <v>34</v>
      </c>
      <c r="AN1044" s="165">
        <v>22</v>
      </c>
      <c r="AO1044" s="167">
        <v>2.024647887323944</v>
      </c>
      <c r="AP1044" s="168">
        <v>-2.1</v>
      </c>
      <c r="AQ1044" s="169">
        <v>0.8</v>
      </c>
      <c r="AR1044" s="170">
        <v>29</v>
      </c>
      <c r="AT1044" s="165">
        <v>31</v>
      </c>
      <c r="AU1044" s="167">
        <v>0.52724077328646746</v>
      </c>
      <c r="AV1044" s="168">
        <v>-2.6</v>
      </c>
      <c r="AW1044" s="169">
        <v>-0.2</v>
      </c>
      <c r="AX1044" s="170">
        <v>24</v>
      </c>
      <c r="AZ1044" s="144" t="s">
        <v>161</v>
      </c>
      <c r="BB1044" s="20" t="s">
        <v>162</v>
      </c>
      <c r="BD1044" s="145"/>
      <c r="BF1044" s="150" t="s">
        <v>164</v>
      </c>
      <c r="BG1044" s="151" t="s">
        <v>82</v>
      </c>
      <c r="BH1044" s="152"/>
      <c r="BI1044" s="152"/>
      <c r="BJ1044" s="153"/>
      <c r="BK1044" s="20">
        <f t="shared" si="10"/>
        <v>89</v>
      </c>
      <c r="BL1044" s="165">
        <v>8.9</v>
      </c>
      <c r="BM1044" s="167">
        <v>58.833922261484098</v>
      </c>
      <c r="BN1044" s="168">
        <v>0.2</v>
      </c>
      <c r="BO1044" s="169">
        <v>5.4</v>
      </c>
      <c r="BP1044" s="170">
        <v>52</v>
      </c>
      <c r="BR1044" s="155" t="s">
        <v>10</v>
      </c>
      <c r="BS1044" s="156" t="s">
        <v>13</v>
      </c>
      <c r="BT1044" s="156" t="s">
        <v>14</v>
      </c>
      <c r="BU1044" s="156" t="s">
        <v>15</v>
      </c>
      <c r="BV1044" s="159" t="s">
        <v>16</v>
      </c>
      <c r="BX1044" s="165">
        <v>14</v>
      </c>
      <c r="BY1044" s="167">
        <v>30.01760563380282</v>
      </c>
      <c r="BZ1044" s="168">
        <v>-0.5</v>
      </c>
      <c r="CA1044" s="169">
        <v>4</v>
      </c>
      <c r="CB1044" s="170">
        <v>45</v>
      </c>
      <c r="CD1044" s="165">
        <v>17</v>
      </c>
      <c r="CE1044" s="167">
        <v>3.9543057996485063</v>
      </c>
      <c r="CF1044" s="168">
        <v>-1.8</v>
      </c>
      <c r="CG1044" s="169">
        <v>1.4</v>
      </c>
      <c r="CH1044" s="170">
        <v>32</v>
      </c>
      <c r="CJ1044" s="165">
        <v>18</v>
      </c>
      <c r="CK1044" s="167">
        <v>4.5694200351493848</v>
      </c>
      <c r="CL1044" s="168">
        <v>-1.7</v>
      </c>
      <c r="CM1044" s="169">
        <v>1.6</v>
      </c>
      <c r="CN1044" s="170">
        <v>33</v>
      </c>
      <c r="CP1044" s="147"/>
      <c r="CQ1044" s="148"/>
      <c r="CR1044" s="179" t="s">
        <v>170</v>
      </c>
      <c r="CS1044" s="148"/>
      <c r="CT1044" s="149"/>
      <c r="CV1044" s="165">
        <v>30</v>
      </c>
      <c r="CW1044" s="167">
        <v>3.169014084507042</v>
      </c>
      <c r="CX1044" s="168">
        <v>-1.9</v>
      </c>
      <c r="CY1044" s="169">
        <v>1.2</v>
      </c>
      <c r="CZ1044" s="170">
        <v>31</v>
      </c>
      <c r="DB1044" s="165">
        <v>51</v>
      </c>
      <c r="DC1044" s="167">
        <v>0.8353221957040573</v>
      </c>
      <c r="DD1044" s="168">
        <v>-2.4</v>
      </c>
      <c r="DE1044" s="169">
        <v>0.2</v>
      </c>
      <c r="DF1044" s="170">
        <v>26</v>
      </c>
    </row>
    <row r="1045" spans="15:110" ht="13.15" hidden="1" thickBot="1" x14ac:dyDescent="0.25">
      <c r="S1045" s="178" t="e">
        <f>IF(F20&lt;7,7,IF(F20&gt;15,15,F20))</f>
        <v>#REF!</v>
      </c>
      <c r="AB1045" s="165">
        <v>31</v>
      </c>
      <c r="AC1045" s="167">
        <v>0.61511423550087874</v>
      </c>
      <c r="AD1045" s="168">
        <v>-2.5</v>
      </c>
      <c r="AE1045" s="169">
        <v>0</v>
      </c>
      <c r="AF1045" s="170">
        <v>25</v>
      </c>
      <c r="AG1045" s="20">
        <f t="shared" si="8"/>
        <v>12</v>
      </c>
      <c r="AH1045" s="165">
        <v>6</v>
      </c>
      <c r="AI1045" s="167">
        <v>7.4204946996466434</v>
      </c>
      <c r="AJ1045" s="168">
        <v>-1.4</v>
      </c>
      <c r="AK1045" s="169">
        <v>2.2000000000000002</v>
      </c>
      <c r="AL1045" s="170">
        <v>36</v>
      </c>
      <c r="AN1045" s="165">
        <v>23</v>
      </c>
      <c r="AO1045" s="167">
        <v>2.640845070422535</v>
      </c>
      <c r="AP1045" s="168">
        <v>-1.9</v>
      </c>
      <c r="AQ1045" s="169">
        <v>1.2</v>
      </c>
      <c r="AR1045" s="170">
        <v>31</v>
      </c>
      <c r="AT1045" s="165">
        <v>32</v>
      </c>
      <c r="AU1045" s="167">
        <v>0.52724077328646746</v>
      </c>
      <c r="AV1045" s="168">
        <v>-2.6</v>
      </c>
      <c r="AW1045" s="169">
        <v>-0.2</v>
      </c>
      <c r="AX1045" s="170">
        <v>24</v>
      </c>
      <c r="AZ1045" s="147"/>
      <c r="BA1045" s="148"/>
      <c r="BB1045" s="179" t="s">
        <v>170</v>
      </c>
      <c r="BC1045" s="148"/>
      <c r="BD1045" s="149"/>
      <c r="BF1045" s="155" t="s">
        <v>10</v>
      </c>
      <c r="BG1045" s="156" t="s">
        <v>13</v>
      </c>
      <c r="BH1045" s="156" t="s">
        <v>14</v>
      </c>
      <c r="BI1045" s="156" t="s">
        <v>15</v>
      </c>
      <c r="BJ1045" s="159" t="s">
        <v>16</v>
      </c>
      <c r="BK1045" s="20">
        <f t="shared" si="10"/>
        <v>88</v>
      </c>
      <c r="BL1045" s="165">
        <v>8.8000000000000007</v>
      </c>
      <c r="BM1045" s="167">
        <v>61.042402826855124</v>
      </c>
      <c r="BN1045" s="168">
        <v>0.3</v>
      </c>
      <c r="BO1045" s="169">
        <v>5.6</v>
      </c>
      <c r="BP1045" s="170">
        <v>53</v>
      </c>
      <c r="BR1045" s="165">
        <v>2</v>
      </c>
      <c r="BS1045" s="167">
        <v>0.17574692442882248</v>
      </c>
      <c r="BT1045" s="168">
        <v>-2.9</v>
      </c>
      <c r="BU1045" s="169">
        <v>-0.8</v>
      </c>
      <c r="BV1045" s="170">
        <v>21</v>
      </c>
      <c r="BX1045" s="165">
        <v>15</v>
      </c>
      <c r="BY1045" s="167">
        <v>52.464788732394361</v>
      </c>
      <c r="BZ1045" s="168">
        <v>0.1</v>
      </c>
      <c r="CA1045" s="169">
        <v>5.2</v>
      </c>
      <c r="CB1045" s="170">
        <v>51</v>
      </c>
      <c r="CD1045" s="165">
        <v>18</v>
      </c>
      <c r="CE1045" s="167">
        <v>5.1845342706502633</v>
      </c>
      <c r="CF1045" s="168">
        <v>-1.6</v>
      </c>
      <c r="CG1045" s="169">
        <v>1.8</v>
      </c>
      <c r="CH1045" s="170">
        <v>34</v>
      </c>
      <c r="CJ1045" s="165">
        <v>19</v>
      </c>
      <c r="CK1045" s="167">
        <v>6.942003514938488</v>
      </c>
      <c r="CL1045" s="168">
        <v>-1.5</v>
      </c>
      <c r="CM1045" s="169">
        <v>2</v>
      </c>
      <c r="CN1045" s="170">
        <v>35</v>
      </c>
      <c r="CP1045" s="150" t="s">
        <v>164</v>
      </c>
      <c r="CQ1045" s="151" t="s">
        <v>99</v>
      </c>
      <c r="CR1045" s="152"/>
      <c r="CS1045" s="152"/>
      <c r="CT1045" s="153"/>
      <c r="CV1045" s="165">
        <v>29</v>
      </c>
      <c r="CW1045" s="167">
        <v>3.609154929577465</v>
      </c>
      <c r="CX1045" s="168">
        <v>-1.8</v>
      </c>
      <c r="CY1045" s="169">
        <v>1.4</v>
      </c>
      <c r="CZ1045" s="170">
        <v>32</v>
      </c>
      <c r="DB1045" s="165">
        <v>50</v>
      </c>
      <c r="DC1045" s="167">
        <v>1.0739856801909307</v>
      </c>
      <c r="DD1045" s="168">
        <v>-2.2999999999999998</v>
      </c>
      <c r="DE1045" s="169">
        <v>0.4</v>
      </c>
      <c r="DF1045" s="170">
        <v>27</v>
      </c>
    </row>
    <row r="1046" spans="15:110" ht="13.15" hidden="1" thickBot="1" x14ac:dyDescent="0.25">
      <c r="S1046" s="178" t="e">
        <f>IF(T1046&lt;1,1,IF(T1046&gt;15,15,T1046))</f>
        <v>#REF!</v>
      </c>
      <c r="T1046" s="11" t="e">
        <f>$F21-6.11*$R$1031-0.8*$R$1030</f>
        <v>#REF!</v>
      </c>
      <c r="U1046" s="147" t="s">
        <v>171</v>
      </c>
      <c r="AB1046" s="165">
        <v>32</v>
      </c>
      <c r="AC1046" s="167">
        <v>0.61511423550087874</v>
      </c>
      <c r="AD1046" s="168">
        <v>-2.5</v>
      </c>
      <c r="AE1046" s="169">
        <v>0</v>
      </c>
      <c r="AF1046" s="170">
        <v>25</v>
      </c>
      <c r="AG1046" s="20">
        <f t="shared" si="8"/>
        <v>13</v>
      </c>
      <c r="AH1046" s="165">
        <v>6.5</v>
      </c>
      <c r="AI1046" s="167">
        <v>9.2756183745583041</v>
      </c>
      <c r="AJ1046" s="168">
        <v>-1.3</v>
      </c>
      <c r="AK1046" s="169">
        <v>2.4</v>
      </c>
      <c r="AL1046" s="170">
        <v>37</v>
      </c>
      <c r="AN1046" s="165">
        <v>24</v>
      </c>
      <c r="AO1046" s="167">
        <v>3.169014084507042</v>
      </c>
      <c r="AP1046" s="168">
        <v>-1.9</v>
      </c>
      <c r="AQ1046" s="169">
        <v>1.2</v>
      </c>
      <c r="AR1046" s="170">
        <v>31</v>
      </c>
      <c r="AT1046" s="165">
        <v>33</v>
      </c>
      <c r="AU1046" s="167">
        <v>0.70298769771528991</v>
      </c>
      <c r="AV1046" s="168">
        <v>-2.5</v>
      </c>
      <c r="AW1046" s="169">
        <v>0</v>
      </c>
      <c r="AX1046" s="170">
        <v>25</v>
      </c>
      <c r="AZ1046" s="150" t="s">
        <v>164</v>
      </c>
      <c r="BA1046" s="151" t="s">
        <v>78</v>
      </c>
      <c r="BB1046" s="152"/>
      <c r="BC1046" s="152"/>
      <c r="BD1046" s="153"/>
      <c r="BF1046" s="165">
        <v>3</v>
      </c>
      <c r="BG1046" s="167">
        <v>0.70298769771528991</v>
      </c>
      <c r="BH1046" s="168">
        <v>-2.5</v>
      </c>
      <c r="BI1046" s="169">
        <v>0</v>
      </c>
      <c r="BJ1046" s="170">
        <v>25</v>
      </c>
      <c r="BK1046" s="20">
        <f t="shared" si="10"/>
        <v>87</v>
      </c>
      <c r="BL1046" s="165">
        <v>8.6999999999999993</v>
      </c>
      <c r="BM1046" s="167">
        <v>63.60424028268551</v>
      </c>
      <c r="BN1046" s="168">
        <v>0.3</v>
      </c>
      <c r="BO1046" s="169">
        <v>5.6</v>
      </c>
      <c r="BP1046" s="170">
        <v>53</v>
      </c>
      <c r="BR1046" s="165">
        <v>1</v>
      </c>
      <c r="BS1046" s="167">
        <v>5.0087873462214407</v>
      </c>
      <c r="BT1046" s="168">
        <v>-1.6</v>
      </c>
      <c r="BU1046" s="169">
        <v>1.8</v>
      </c>
      <c r="BV1046" s="170">
        <v>34</v>
      </c>
      <c r="BX1046" s="172">
        <v>16</v>
      </c>
      <c r="BY1046" s="173">
        <v>83.274647887323937</v>
      </c>
      <c r="BZ1046" s="174">
        <v>1</v>
      </c>
      <c r="CA1046" s="175">
        <v>7</v>
      </c>
      <c r="CB1046" s="176">
        <v>60</v>
      </c>
      <c r="CD1046" s="165">
        <v>19</v>
      </c>
      <c r="CE1046" s="167">
        <v>6.942003514938488</v>
      </c>
      <c r="CF1046" s="168">
        <v>-1.5</v>
      </c>
      <c r="CG1046" s="169">
        <v>2</v>
      </c>
      <c r="CH1046" s="170">
        <v>35</v>
      </c>
      <c r="CJ1046" s="165">
        <v>20</v>
      </c>
      <c r="CK1046" s="167">
        <v>9.1388400702987695</v>
      </c>
      <c r="CL1046" s="168">
        <v>-1.3</v>
      </c>
      <c r="CM1046" s="169">
        <v>2.4</v>
      </c>
      <c r="CN1046" s="170">
        <v>37</v>
      </c>
      <c r="CP1046" s="155" t="s">
        <v>10</v>
      </c>
      <c r="CQ1046" s="156" t="s">
        <v>13</v>
      </c>
      <c r="CR1046" s="156" t="s">
        <v>14</v>
      </c>
      <c r="CS1046" s="156" t="s">
        <v>15</v>
      </c>
      <c r="CT1046" s="159" t="s">
        <v>16</v>
      </c>
      <c r="CV1046" s="165">
        <v>28</v>
      </c>
      <c r="CW1046" s="167">
        <v>4.48943661971831</v>
      </c>
      <c r="CX1046" s="168">
        <v>-1.7</v>
      </c>
      <c r="CY1046" s="169">
        <v>1.6</v>
      </c>
      <c r="CZ1046" s="170">
        <v>33</v>
      </c>
      <c r="DB1046" s="165">
        <v>49</v>
      </c>
      <c r="DC1046" s="167">
        <v>1.3126491646778042</v>
      </c>
      <c r="DD1046" s="168">
        <v>-2.2000000000000002</v>
      </c>
      <c r="DE1046" s="169">
        <v>0.6</v>
      </c>
      <c r="DF1046" s="170">
        <v>28</v>
      </c>
    </row>
    <row r="1047" spans="15:110" ht="13.15" hidden="1" thickBot="1" x14ac:dyDescent="0.25">
      <c r="S1047" s="178" t="e">
        <f>IF(T1047&lt;2,2,IF(T1047&gt;15,15,T1047))</f>
        <v>#REF!</v>
      </c>
      <c r="T1047" s="11" t="e">
        <f>$F22-2.96*$R$1031-0.17*$R$1032</f>
        <v>#REF!</v>
      </c>
      <c r="U1047" s="147" t="s">
        <v>172</v>
      </c>
      <c r="AB1047" s="165">
        <v>33</v>
      </c>
      <c r="AC1047" s="167">
        <v>0.61511423550087874</v>
      </c>
      <c r="AD1047" s="168">
        <v>-2.5</v>
      </c>
      <c r="AE1047" s="169">
        <v>0</v>
      </c>
      <c r="AF1047" s="170">
        <v>25</v>
      </c>
      <c r="AG1047" s="20">
        <f t="shared" si="8"/>
        <v>14</v>
      </c>
      <c r="AH1047" s="165">
        <v>7</v>
      </c>
      <c r="AI1047" s="167">
        <v>11.925795053003533</v>
      </c>
      <c r="AJ1047" s="168">
        <v>-1.2</v>
      </c>
      <c r="AK1047" s="169">
        <v>2.6</v>
      </c>
      <c r="AL1047" s="170">
        <v>38</v>
      </c>
      <c r="AN1047" s="165">
        <v>25</v>
      </c>
      <c r="AO1047" s="167">
        <v>3.697183098591549</v>
      </c>
      <c r="AP1047" s="168">
        <v>-1.8</v>
      </c>
      <c r="AQ1047" s="169">
        <v>1.4</v>
      </c>
      <c r="AR1047" s="170">
        <v>32</v>
      </c>
      <c r="AT1047" s="165">
        <v>34</v>
      </c>
      <c r="AU1047" s="167">
        <v>0.70298769771528991</v>
      </c>
      <c r="AV1047" s="168">
        <v>-2.5</v>
      </c>
      <c r="AW1047" s="169">
        <v>0</v>
      </c>
      <c r="AX1047" s="170">
        <v>25</v>
      </c>
      <c r="AZ1047" s="155" t="s">
        <v>10</v>
      </c>
      <c r="BA1047" s="156" t="s">
        <v>13</v>
      </c>
      <c r="BB1047" s="156" t="s">
        <v>14</v>
      </c>
      <c r="BC1047" s="156" t="s">
        <v>15</v>
      </c>
      <c r="BD1047" s="159" t="s">
        <v>16</v>
      </c>
      <c r="BF1047" s="165">
        <v>2</v>
      </c>
      <c r="BG1047" s="167">
        <v>6.5026362038664329</v>
      </c>
      <c r="BH1047" s="168">
        <v>-1.5</v>
      </c>
      <c r="BI1047" s="169">
        <v>2</v>
      </c>
      <c r="BJ1047" s="170">
        <v>35</v>
      </c>
      <c r="BK1047" s="20">
        <f t="shared" si="10"/>
        <v>86</v>
      </c>
      <c r="BL1047" s="165">
        <v>8.6</v>
      </c>
      <c r="BM1047" s="167">
        <v>65.282685512367493</v>
      </c>
      <c r="BN1047" s="168">
        <v>0.4</v>
      </c>
      <c r="BO1047" s="169">
        <v>5.8</v>
      </c>
      <c r="BP1047" s="170">
        <v>54</v>
      </c>
      <c r="BR1047" s="172">
        <v>0</v>
      </c>
      <c r="BS1047" s="173">
        <v>54.833040421792624</v>
      </c>
      <c r="BT1047" s="174">
        <v>0.1</v>
      </c>
      <c r="BU1047" s="175">
        <v>5.2</v>
      </c>
      <c r="BV1047" s="176">
        <v>51</v>
      </c>
      <c r="CD1047" s="165">
        <v>20</v>
      </c>
      <c r="CE1047" s="167">
        <v>8.9630931458699479</v>
      </c>
      <c r="CF1047" s="168">
        <v>-1.3</v>
      </c>
      <c r="CG1047" s="169">
        <v>2.4</v>
      </c>
      <c r="CH1047" s="170">
        <v>37</v>
      </c>
      <c r="CJ1047" s="165">
        <v>21</v>
      </c>
      <c r="CK1047" s="167">
        <v>11.335676625659051</v>
      </c>
      <c r="CL1047" s="168">
        <v>-1.2</v>
      </c>
      <c r="CM1047" s="169">
        <v>2.6</v>
      </c>
      <c r="CN1047" s="170">
        <v>38</v>
      </c>
      <c r="CP1047" s="165">
        <v>5</v>
      </c>
      <c r="CQ1047" s="167">
        <v>8.7873462214411238E-2</v>
      </c>
      <c r="CR1047" s="168">
        <v>-3</v>
      </c>
      <c r="CS1047" s="169">
        <v>-1</v>
      </c>
      <c r="CT1047" s="170">
        <v>20</v>
      </c>
      <c r="CV1047" s="165">
        <v>27</v>
      </c>
      <c r="CW1047" s="167">
        <v>6.3380281690140841</v>
      </c>
      <c r="CX1047" s="168">
        <v>-1.5</v>
      </c>
      <c r="CY1047" s="169">
        <v>2</v>
      </c>
      <c r="CZ1047" s="170">
        <v>35</v>
      </c>
      <c r="DB1047" s="165">
        <v>48</v>
      </c>
      <c r="DC1047" s="167">
        <v>1.5513126491646778</v>
      </c>
      <c r="DD1047" s="168">
        <v>-2.2000000000000002</v>
      </c>
      <c r="DE1047" s="169">
        <v>0.6</v>
      </c>
      <c r="DF1047" s="170">
        <v>28</v>
      </c>
    </row>
    <row r="1048" spans="15:110" ht="13.15" hidden="1" thickBot="1" x14ac:dyDescent="0.25">
      <c r="S1048" s="178" t="e">
        <f>IF(T1048&lt;0,0,IF(T1048&gt;15,15,T1048))</f>
        <v>#REF!</v>
      </c>
      <c r="T1048" s="11" t="e">
        <f>$F23-4.64*$R$1031-0.17*$R$1032</f>
        <v>#REF!</v>
      </c>
      <c r="U1048" s="147" t="s">
        <v>382</v>
      </c>
      <c r="AB1048" s="165">
        <v>34</v>
      </c>
      <c r="AC1048" s="167">
        <v>0.61511423550087874</v>
      </c>
      <c r="AD1048" s="168">
        <v>-2.5</v>
      </c>
      <c r="AE1048" s="169">
        <v>0</v>
      </c>
      <c r="AF1048" s="170">
        <v>25</v>
      </c>
      <c r="AG1048" s="20">
        <f t="shared" si="8"/>
        <v>15</v>
      </c>
      <c r="AH1048" s="165">
        <v>7.5</v>
      </c>
      <c r="AI1048" s="167">
        <v>15.812720848056539</v>
      </c>
      <c r="AJ1048" s="168">
        <v>-1</v>
      </c>
      <c r="AK1048" s="169">
        <v>3</v>
      </c>
      <c r="AL1048" s="170">
        <v>40</v>
      </c>
      <c r="AN1048" s="165">
        <v>26</v>
      </c>
      <c r="AO1048" s="167">
        <v>4.5774647887323949</v>
      </c>
      <c r="AP1048" s="168">
        <v>-1.7</v>
      </c>
      <c r="AQ1048" s="169">
        <v>1.6</v>
      </c>
      <c r="AR1048" s="170">
        <v>33</v>
      </c>
      <c r="AT1048" s="165">
        <v>35</v>
      </c>
      <c r="AU1048" s="167">
        <v>0.70298769771528991</v>
      </c>
      <c r="AV1048" s="168">
        <v>-2.5</v>
      </c>
      <c r="AW1048" s="169">
        <v>0</v>
      </c>
      <c r="AX1048" s="170">
        <v>25</v>
      </c>
      <c r="AY1048" s="20">
        <f t="shared" ref="AY1048:AY1053" si="11">AZ1048*2</f>
        <v>5</v>
      </c>
      <c r="AZ1048" s="165">
        <v>2.5</v>
      </c>
      <c r="BA1048" s="166">
        <v>0.35149384885764495</v>
      </c>
      <c r="BB1048" s="162">
        <v>-2.7</v>
      </c>
      <c r="BC1048" s="163">
        <v>-0.4</v>
      </c>
      <c r="BD1048" s="164">
        <v>23</v>
      </c>
      <c r="BF1048" s="165">
        <v>1</v>
      </c>
      <c r="BG1048" s="167">
        <v>29.173989455184536</v>
      </c>
      <c r="BH1048" s="168">
        <v>-0.5</v>
      </c>
      <c r="BI1048" s="169">
        <v>4</v>
      </c>
      <c r="BJ1048" s="170">
        <v>45</v>
      </c>
      <c r="BK1048" s="20">
        <f t="shared" si="10"/>
        <v>85</v>
      </c>
      <c r="BL1048" s="165">
        <v>8.5</v>
      </c>
      <c r="BM1048" s="167">
        <v>66.607773851590096</v>
      </c>
      <c r="BN1048" s="168">
        <v>0.4</v>
      </c>
      <c r="BO1048" s="169">
        <v>5.8</v>
      </c>
      <c r="BP1048" s="170">
        <v>54</v>
      </c>
      <c r="CD1048" s="165">
        <v>21</v>
      </c>
      <c r="CE1048" s="167">
        <v>10.54481546572935</v>
      </c>
      <c r="CF1048" s="168">
        <v>-1.3</v>
      </c>
      <c r="CG1048" s="169">
        <v>2.4</v>
      </c>
      <c r="CH1048" s="170">
        <v>37</v>
      </c>
      <c r="CJ1048" s="165">
        <v>22</v>
      </c>
      <c r="CK1048" s="167">
        <v>13.620386643233742</v>
      </c>
      <c r="CL1048" s="168">
        <v>-1.1000000000000001</v>
      </c>
      <c r="CM1048" s="169">
        <v>2.8</v>
      </c>
      <c r="CN1048" s="170">
        <v>39</v>
      </c>
      <c r="CP1048" s="165">
        <v>4</v>
      </c>
      <c r="CQ1048" s="167">
        <v>0.35149384885764495</v>
      </c>
      <c r="CR1048" s="168">
        <v>-2.7</v>
      </c>
      <c r="CS1048" s="169">
        <v>-0.4</v>
      </c>
      <c r="CT1048" s="170">
        <v>23</v>
      </c>
      <c r="CV1048" s="165">
        <v>26</v>
      </c>
      <c r="CW1048" s="167">
        <v>8.274647887323944</v>
      </c>
      <c r="CX1048" s="168">
        <v>-1.4</v>
      </c>
      <c r="CY1048" s="169">
        <v>2.2000000000000002</v>
      </c>
      <c r="CZ1048" s="170">
        <v>36</v>
      </c>
      <c r="DB1048" s="165">
        <v>47</v>
      </c>
      <c r="DC1048" s="167">
        <v>1.7899761336515514</v>
      </c>
      <c r="DD1048" s="168">
        <v>-2.1</v>
      </c>
      <c r="DE1048" s="169">
        <v>0.8</v>
      </c>
      <c r="DF1048" s="170">
        <v>29</v>
      </c>
    </row>
    <row r="1049" spans="15:110" ht="13.8" hidden="1" thickBot="1" x14ac:dyDescent="0.3">
      <c r="S1049" s="178" t="e">
        <f>IF(T1049&lt;0,0,IF(T1049&gt;15,15,T1049))</f>
        <v>#REF!</v>
      </c>
      <c r="T1049" s="11" t="e">
        <f>$F24-5.55*$R$1031-0.16*$R$1032</f>
        <v>#REF!</v>
      </c>
      <c r="U1049" s="147" t="s">
        <v>383</v>
      </c>
      <c r="AB1049" s="165">
        <v>35</v>
      </c>
      <c r="AC1049" s="167">
        <v>0.87873462214411258</v>
      </c>
      <c r="AD1049" s="168">
        <v>-2.4</v>
      </c>
      <c r="AE1049" s="169">
        <v>0.2</v>
      </c>
      <c r="AF1049" s="170">
        <v>26</v>
      </c>
      <c r="AG1049" s="20">
        <f t="shared" si="8"/>
        <v>16</v>
      </c>
      <c r="AH1049" s="165">
        <v>8</v>
      </c>
      <c r="AI1049" s="167">
        <v>19.522968197879859</v>
      </c>
      <c r="AJ1049" s="168">
        <v>-0.9</v>
      </c>
      <c r="AK1049" s="169">
        <v>3.2</v>
      </c>
      <c r="AL1049" s="170">
        <v>41</v>
      </c>
      <c r="AN1049" s="165">
        <v>27</v>
      </c>
      <c r="AO1049" s="167">
        <v>4.929577464788732</v>
      </c>
      <c r="AP1049" s="168">
        <v>-1.7</v>
      </c>
      <c r="AQ1049" s="169">
        <v>1.6</v>
      </c>
      <c r="AR1049" s="170">
        <v>33</v>
      </c>
      <c r="AT1049" s="165">
        <v>36</v>
      </c>
      <c r="AU1049" s="167">
        <v>0.70298769771528991</v>
      </c>
      <c r="AV1049" s="168">
        <v>-2.5</v>
      </c>
      <c r="AW1049" s="169">
        <v>0</v>
      </c>
      <c r="AX1049" s="170">
        <v>25</v>
      </c>
      <c r="AY1049" s="20">
        <f t="shared" si="11"/>
        <v>4</v>
      </c>
      <c r="AZ1049" s="165">
        <v>2</v>
      </c>
      <c r="BA1049" s="171">
        <v>0.87873462214411258</v>
      </c>
      <c r="BB1049" s="168">
        <v>-2.4</v>
      </c>
      <c r="BC1049" s="169">
        <v>0.2</v>
      </c>
      <c r="BD1049" s="170">
        <v>26</v>
      </c>
      <c r="BF1049" s="172">
        <v>0</v>
      </c>
      <c r="BG1049" s="173">
        <v>73.374340949033396</v>
      </c>
      <c r="BH1049" s="174">
        <v>0.6</v>
      </c>
      <c r="BI1049" s="175">
        <v>6.2</v>
      </c>
      <c r="BJ1049" s="176">
        <v>56</v>
      </c>
      <c r="BK1049" s="20">
        <f t="shared" si="10"/>
        <v>84</v>
      </c>
      <c r="BL1049" s="165">
        <v>8.4</v>
      </c>
      <c r="BM1049" s="167">
        <v>68.462897526501763</v>
      </c>
      <c r="BN1049" s="168">
        <v>0.5</v>
      </c>
      <c r="BO1049" s="169">
        <v>6</v>
      </c>
      <c r="BP1049" s="170">
        <v>55</v>
      </c>
      <c r="BX1049" s="138" t="s">
        <v>83</v>
      </c>
      <c r="BY1049" s="139"/>
      <c r="BZ1049" s="139"/>
      <c r="CA1049" s="140" t="s">
        <v>215</v>
      </c>
      <c r="CB1049" s="141">
        <v>568</v>
      </c>
      <c r="CD1049" s="165">
        <v>22</v>
      </c>
      <c r="CE1049" s="167">
        <v>12.038664323374341</v>
      </c>
      <c r="CF1049" s="168">
        <v>-1.2</v>
      </c>
      <c r="CG1049" s="169">
        <v>2.6</v>
      </c>
      <c r="CH1049" s="170">
        <v>38</v>
      </c>
      <c r="CJ1049" s="165">
        <v>23</v>
      </c>
      <c r="CK1049" s="167">
        <v>16.871704745166959</v>
      </c>
      <c r="CL1049" s="168">
        <v>-1</v>
      </c>
      <c r="CM1049" s="169">
        <v>3</v>
      </c>
      <c r="CN1049" s="170">
        <v>40</v>
      </c>
      <c r="CP1049" s="165">
        <v>3</v>
      </c>
      <c r="CQ1049" s="167">
        <v>0.70298769771528991</v>
      </c>
      <c r="CR1049" s="168">
        <v>-2.5</v>
      </c>
      <c r="CS1049" s="169">
        <v>0</v>
      </c>
      <c r="CT1049" s="170">
        <v>25</v>
      </c>
      <c r="CV1049" s="165">
        <v>25</v>
      </c>
      <c r="CW1049" s="167">
        <v>10.915492957746478</v>
      </c>
      <c r="CX1049" s="168">
        <v>-1.2</v>
      </c>
      <c r="CY1049" s="169">
        <v>2.6</v>
      </c>
      <c r="CZ1049" s="170">
        <v>38</v>
      </c>
      <c r="DB1049" s="165">
        <v>46</v>
      </c>
      <c r="DC1049" s="167">
        <v>2.6252983293556085</v>
      </c>
      <c r="DD1049" s="168">
        <v>-1.9</v>
      </c>
      <c r="DE1049" s="169">
        <v>1.2</v>
      </c>
      <c r="DF1049" s="170">
        <v>31</v>
      </c>
    </row>
    <row r="1050" spans="15:110" ht="13.15" hidden="1" x14ac:dyDescent="0.25">
      <c r="S1050" s="178" t="e">
        <f>IF(T1050&lt;0,0,IF(T1050&gt;15,15,T1050))</f>
        <v>#REF!</v>
      </c>
      <c r="T1050" s="11" t="e">
        <f>$F25-5.02*$R$1031-1.05*$R$1030</f>
        <v>#REF!</v>
      </c>
      <c r="U1050" s="147" t="s">
        <v>384</v>
      </c>
      <c r="AB1050" s="165">
        <v>36</v>
      </c>
      <c r="AC1050" s="167">
        <v>1.4938488576449911</v>
      </c>
      <c r="AD1050" s="168">
        <v>-2.2000000000000002</v>
      </c>
      <c r="AE1050" s="169">
        <v>0.6</v>
      </c>
      <c r="AF1050" s="170">
        <v>28</v>
      </c>
      <c r="AG1050" s="20">
        <f t="shared" si="8"/>
        <v>17</v>
      </c>
      <c r="AH1050" s="165">
        <v>8.5</v>
      </c>
      <c r="AI1050" s="167">
        <v>22.879858657243815</v>
      </c>
      <c r="AJ1050" s="168">
        <v>-0.7</v>
      </c>
      <c r="AK1050" s="169">
        <v>3.6</v>
      </c>
      <c r="AL1050" s="170">
        <v>43</v>
      </c>
      <c r="AN1050" s="165">
        <v>28</v>
      </c>
      <c r="AO1050" s="167">
        <v>5.9859154929577461</v>
      </c>
      <c r="AP1050" s="168">
        <v>-1.6</v>
      </c>
      <c r="AQ1050" s="169">
        <v>1.8</v>
      </c>
      <c r="AR1050" s="170">
        <v>34</v>
      </c>
      <c r="AT1050" s="165">
        <v>37</v>
      </c>
      <c r="AU1050" s="167">
        <v>0.87873462214411258</v>
      </c>
      <c r="AV1050" s="168">
        <v>-2.4</v>
      </c>
      <c r="AW1050" s="169">
        <v>0.2</v>
      </c>
      <c r="AX1050" s="170">
        <v>26</v>
      </c>
      <c r="AY1050" s="20">
        <f t="shared" si="11"/>
        <v>3</v>
      </c>
      <c r="AZ1050" s="165">
        <v>1.5</v>
      </c>
      <c r="BA1050" s="171">
        <v>1.6695957820738139</v>
      </c>
      <c r="BB1050" s="168">
        <v>-2.1</v>
      </c>
      <c r="BC1050" s="169">
        <v>0.8</v>
      </c>
      <c r="BD1050" s="170">
        <v>29</v>
      </c>
      <c r="BK1050" s="20">
        <f t="shared" si="10"/>
        <v>83</v>
      </c>
      <c r="BL1050" s="165">
        <v>8.3000000000000007</v>
      </c>
      <c r="BM1050" s="167">
        <v>70.671378091872796</v>
      </c>
      <c r="BN1050" s="168">
        <v>0.5</v>
      </c>
      <c r="BO1050" s="169">
        <v>6</v>
      </c>
      <c r="BP1050" s="170">
        <v>55</v>
      </c>
      <c r="BR1050" s="138" t="s">
        <v>232</v>
      </c>
      <c r="BS1050" s="139"/>
      <c r="BT1050" s="139"/>
      <c r="BU1050" s="140" t="s">
        <v>215</v>
      </c>
      <c r="BV1050" s="141">
        <v>569</v>
      </c>
      <c r="BX1050" s="144" t="s">
        <v>161</v>
      </c>
      <c r="CB1050" s="145"/>
      <c r="CD1050" s="165">
        <v>23</v>
      </c>
      <c r="CE1050" s="167">
        <v>14.059753954305801</v>
      </c>
      <c r="CF1050" s="168">
        <v>-1.1000000000000001</v>
      </c>
      <c r="CG1050" s="169">
        <v>2.8</v>
      </c>
      <c r="CH1050" s="170">
        <v>39</v>
      </c>
      <c r="CJ1050" s="165">
        <v>24</v>
      </c>
      <c r="CK1050" s="167">
        <v>20.298769771528999</v>
      </c>
      <c r="CL1050" s="168">
        <v>-0.8</v>
      </c>
      <c r="CM1050" s="169">
        <v>3.4</v>
      </c>
      <c r="CN1050" s="170">
        <v>42</v>
      </c>
      <c r="CP1050" s="165">
        <v>2</v>
      </c>
      <c r="CQ1050" s="167">
        <v>1.9332161687170473</v>
      </c>
      <c r="CR1050" s="168">
        <v>-2.1</v>
      </c>
      <c r="CS1050" s="169">
        <v>0.8</v>
      </c>
      <c r="CT1050" s="170">
        <v>29</v>
      </c>
      <c r="CV1050" s="165">
        <v>24</v>
      </c>
      <c r="CW1050" s="167">
        <v>14.700704225352112</v>
      </c>
      <c r="CX1050" s="168">
        <v>-1.1000000000000001</v>
      </c>
      <c r="CY1050" s="169">
        <v>2.8</v>
      </c>
      <c r="CZ1050" s="170">
        <v>39</v>
      </c>
      <c r="DB1050" s="165">
        <v>45</v>
      </c>
      <c r="DC1050" s="167">
        <v>3.8186157517899764</v>
      </c>
      <c r="DD1050" s="168">
        <v>-1.8</v>
      </c>
      <c r="DE1050" s="169">
        <v>1.4</v>
      </c>
      <c r="DF1050" s="170">
        <v>32</v>
      </c>
    </row>
    <row r="1051" spans="15:110" ht="13.15" hidden="1" thickBot="1" x14ac:dyDescent="0.25">
      <c r="S1051" s="178" t="e">
        <f>IF(T1051&lt;4,4,IF(T1051&gt;15,15,T1051))</f>
        <v>#REF!</v>
      </c>
      <c r="T1051" s="11" t="e">
        <f>$F26-5.61*$R$1031-0.86*$R$1030</f>
        <v>#REF!</v>
      </c>
      <c r="U1051" s="147" t="s">
        <v>173</v>
      </c>
      <c r="AB1051" s="165">
        <v>37</v>
      </c>
      <c r="AC1051" s="167">
        <v>2.2847100175746924</v>
      </c>
      <c r="AD1051" s="168">
        <v>-2</v>
      </c>
      <c r="AE1051" s="169">
        <v>1</v>
      </c>
      <c r="AF1051" s="170">
        <v>30</v>
      </c>
      <c r="AG1051" s="20">
        <f t="shared" si="8"/>
        <v>18</v>
      </c>
      <c r="AH1051" s="165">
        <v>9</v>
      </c>
      <c r="AI1051" s="167">
        <v>27.385159010600706</v>
      </c>
      <c r="AJ1051" s="168">
        <v>-0.6</v>
      </c>
      <c r="AK1051" s="169">
        <v>3.8</v>
      </c>
      <c r="AL1051" s="170">
        <v>44</v>
      </c>
      <c r="AN1051" s="165">
        <v>29</v>
      </c>
      <c r="AO1051" s="167">
        <v>7.042253521126761</v>
      </c>
      <c r="AP1051" s="168">
        <v>-1.5</v>
      </c>
      <c r="AQ1051" s="169">
        <v>2</v>
      </c>
      <c r="AR1051" s="170">
        <v>35</v>
      </c>
      <c r="AT1051" s="165">
        <v>38</v>
      </c>
      <c r="AU1051" s="167">
        <v>0.87873462214411258</v>
      </c>
      <c r="AV1051" s="168">
        <v>-2.4</v>
      </c>
      <c r="AW1051" s="169">
        <v>0.2</v>
      </c>
      <c r="AX1051" s="170">
        <v>26</v>
      </c>
      <c r="AY1051" s="20">
        <f t="shared" si="11"/>
        <v>2</v>
      </c>
      <c r="AZ1051" s="165">
        <v>1</v>
      </c>
      <c r="BA1051" s="171">
        <v>3.5149384885764503</v>
      </c>
      <c r="BB1051" s="168">
        <v>-1.8</v>
      </c>
      <c r="BC1051" s="169">
        <v>1.4</v>
      </c>
      <c r="BD1051" s="170">
        <v>32</v>
      </c>
      <c r="BK1051" s="20">
        <f t="shared" si="10"/>
        <v>82</v>
      </c>
      <c r="BL1051" s="165">
        <v>8.1999999999999993</v>
      </c>
      <c r="BM1051" s="167">
        <v>72.791519434628967</v>
      </c>
      <c r="BN1051" s="168">
        <v>0.6</v>
      </c>
      <c r="BO1051" s="169">
        <v>6.2</v>
      </c>
      <c r="BP1051" s="170">
        <v>56</v>
      </c>
      <c r="BR1051" s="144" t="s">
        <v>161</v>
      </c>
      <c r="BV1051" s="145"/>
      <c r="BX1051" s="147" t="s">
        <v>235</v>
      </c>
      <c r="BY1051" s="148"/>
      <c r="BZ1051" s="148"/>
      <c r="CA1051" s="148"/>
      <c r="CB1051" s="149"/>
      <c r="CD1051" s="165">
        <v>24</v>
      </c>
      <c r="CE1051" s="167">
        <v>17.486818980667838</v>
      </c>
      <c r="CF1051" s="168">
        <v>-0.9</v>
      </c>
      <c r="CG1051" s="169">
        <v>3.2</v>
      </c>
      <c r="CH1051" s="170">
        <v>41</v>
      </c>
      <c r="CJ1051" s="165">
        <v>25</v>
      </c>
      <c r="CK1051" s="167">
        <v>24.692442882249559</v>
      </c>
      <c r="CL1051" s="168">
        <v>-0.7</v>
      </c>
      <c r="CM1051" s="169">
        <v>3.6</v>
      </c>
      <c r="CN1051" s="170">
        <v>43</v>
      </c>
      <c r="CP1051" s="165">
        <v>1</v>
      </c>
      <c r="CQ1051" s="167">
        <v>9.1388400702987695</v>
      </c>
      <c r="CR1051" s="168">
        <v>-1.3</v>
      </c>
      <c r="CS1051" s="169">
        <v>2.4</v>
      </c>
      <c r="CT1051" s="170">
        <v>37</v>
      </c>
      <c r="CV1051" s="165">
        <v>23</v>
      </c>
      <c r="CW1051" s="167">
        <v>19.102112676056336</v>
      </c>
      <c r="CX1051" s="168">
        <v>-0.9</v>
      </c>
      <c r="CY1051" s="169">
        <v>3.2</v>
      </c>
      <c r="CZ1051" s="170">
        <v>41</v>
      </c>
      <c r="DB1051" s="165">
        <v>44</v>
      </c>
      <c r="DC1051" s="167">
        <v>4.5346062052505962</v>
      </c>
      <c r="DD1051" s="168">
        <v>-1.7</v>
      </c>
      <c r="DE1051" s="169">
        <v>1.6</v>
      </c>
      <c r="DF1051" s="170">
        <v>33</v>
      </c>
    </row>
    <row r="1052" spans="15:110" ht="13.15" hidden="1" thickBot="1" x14ac:dyDescent="0.25">
      <c r="S1052" s="178" t="e">
        <f>IF(T1052&lt;-3,-3,IF(T1052&gt;13,13,T1052))</f>
        <v>#REF!</v>
      </c>
      <c r="T1052" s="11" t="e">
        <f>$F27-(0.04*$R$1029)+(0.02*$R$1032)</f>
        <v>#REF!</v>
      </c>
      <c r="U1052" s="147" t="s">
        <v>175</v>
      </c>
      <c r="AB1052" s="165">
        <v>38</v>
      </c>
      <c r="AC1052" s="167">
        <v>2.8119507908611596</v>
      </c>
      <c r="AD1052" s="168">
        <v>-1.9</v>
      </c>
      <c r="AE1052" s="169">
        <v>1.2</v>
      </c>
      <c r="AF1052" s="170">
        <v>31</v>
      </c>
      <c r="AG1052" s="20">
        <f t="shared" si="8"/>
        <v>19</v>
      </c>
      <c r="AH1052" s="165">
        <v>9.5</v>
      </c>
      <c r="AI1052" s="167">
        <v>31.802120141342755</v>
      </c>
      <c r="AJ1052" s="168">
        <v>-0.5</v>
      </c>
      <c r="AK1052" s="169">
        <v>4</v>
      </c>
      <c r="AL1052" s="170">
        <v>45</v>
      </c>
      <c r="AN1052" s="165">
        <v>30</v>
      </c>
      <c r="AO1052" s="167">
        <v>7.7464788732394361</v>
      </c>
      <c r="AP1052" s="168">
        <v>-1.4</v>
      </c>
      <c r="AQ1052" s="169">
        <v>2.2000000000000002</v>
      </c>
      <c r="AR1052" s="170">
        <v>36</v>
      </c>
      <c r="AT1052" s="165">
        <v>39</v>
      </c>
      <c r="AU1052" s="167">
        <v>1.4059753954305798</v>
      </c>
      <c r="AV1052" s="168">
        <v>-2.2000000000000002</v>
      </c>
      <c r="AW1052" s="169">
        <v>0.6</v>
      </c>
      <c r="AX1052" s="170">
        <v>28</v>
      </c>
      <c r="AY1052" s="20">
        <f t="shared" si="11"/>
        <v>1</v>
      </c>
      <c r="AZ1052" s="165">
        <v>0.5</v>
      </c>
      <c r="BA1052" s="171">
        <v>11.335676625659051</v>
      </c>
      <c r="BB1052" s="168">
        <v>-1.2</v>
      </c>
      <c r="BC1052" s="169">
        <v>2.6</v>
      </c>
      <c r="BD1052" s="170">
        <v>38</v>
      </c>
      <c r="BK1052" s="20">
        <f t="shared" si="10"/>
        <v>81</v>
      </c>
      <c r="BL1052" s="165">
        <v>8.1</v>
      </c>
      <c r="BM1052" s="167">
        <v>74.558303886925785</v>
      </c>
      <c r="BN1052" s="168">
        <v>0.7</v>
      </c>
      <c r="BO1052" s="169">
        <v>6.4</v>
      </c>
      <c r="BP1052" s="170">
        <v>57</v>
      </c>
      <c r="BR1052" s="147"/>
      <c r="BS1052" s="148"/>
      <c r="BT1052" s="179" t="s">
        <v>170</v>
      </c>
      <c r="BU1052" s="148"/>
      <c r="BV1052" s="149"/>
      <c r="BX1052" s="150" t="s">
        <v>164</v>
      </c>
      <c r="BY1052" s="151" t="s">
        <v>82</v>
      </c>
      <c r="BZ1052" s="152"/>
      <c r="CA1052" s="152"/>
      <c r="CB1052" s="153"/>
      <c r="CD1052" s="165">
        <v>25</v>
      </c>
      <c r="CE1052" s="167">
        <v>22.231985940246048</v>
      </c>
      <c r="CF1052" s="168">
        <v>-0.8</v>
      </c>
      <c r="CG1052" s="169">
        <v>3.4</v>
      </c>
      <c r="CH1052" s="170">
        <v>42</v>
      </c>
      <c r="CJ1052" s="165">
        <v>26</v>
      </c>
      <c r="CK1052" s="167">
        <v>29.789103690685415</v>
      </c>
      <c r="CL1052" s="168">
        <v>-0.5</v>
      </c>
      <c r="CM1052" s="169">
        <v>4</v>
      </c>
      <c r="CN1052" s="170">
        <v>45</v>
      </c>
      <c r="CP1052" s="172">
        <v>0</v>
      </c>
      <c r="CQ1052" s="173">
        <v>57.644991212653771</v>
      </c>
      <c r="CR1052" s="174">
        <v>0.2</v>
      </c>
      <c r="CS1052" s="175">
        <v>5.4</v>
      </c>
      <c r="CT1052" s="176">
        <v>52</v>
      </c>
      <c r="CV1052" s="165">
        <v>22</v>
      </c>
      <c r="CW1052" s="167">
        <v>24.55985915492958</v>
      </c>
      <c r="CX1052" s="168">
        <v>-0.7</v>
      </c>
      <c r="CY1052" s="169">
        <v>3.6</v>
      </c>
      <c r="CZ1052" s="170">
        <v>43</v>
      </c>
      <c r="DB1052" s="165">
        <v>43</v>
      </c>
      <c r="DC1052" s="167">
        <v>5.7279236276849641</v>
      </c>
      <c r="DD1052" s="168">
        <v>-1.6</v>
      </c>
      <c r="DE1052" s="169">
        <v>1.8</v>
      </c>
      <c r="DF1052" s="170">
        <v>34</v>
      </c>
    </row>
    <row r="1053" spans="15:110" ht="13.8" hidden="1" thickBot="1" x14ac:dyDescent="0.3">
      <c r="S1053" s="178" t="e">
        <f>IF(T1053&lt;-5,-5,IF(T1053&gt;8,8,T1053))</f>
        <v>#REF!</v>
      </c>
      <c r="T1053" s="11" t="e">
        <f>$F28-(0.03*$R$1029)+(0.01*$R$1030)</f>
        <v>#REF!</v>
      </c>
      <c r="U1053" s="147" t="s">
        <v>176</v>
      </c>
      <c r="AB1053" s="165">
        <v>39</v>
      </c>
      <c r="AC1053" s="167">
        <v>3.690685413005272</v>
      </c>
      <c r="AD1053" s="168">
        <v>-1.8</v>
      </c>
      <c r="AE1053" s="169">
        <v>1.4</v>
      </c>
      <c r="AF1053" s="170">
        <v>32</v>
      </c>
      <c r="AG1053" s="20">
        <f t="shared" si="8"/>
        <v>20</v>
      </c>
      <c r="AH1053" s="165">
        <v>10</v>
      </c>
      <c r="AI1053" s="167">
        <v>36.484098939929325</v>
      </c>
      <c r="AJ1053" s="168">
        <v>-0.3</v>
      </c>
      <c r="AK1053" s="169">
        <v>4.4000000000000004</v>
      </c>
      <c r="AL1053" s="170">
        <v>47</v>
      </c>
      <c r="AN1053" s="165">
        <v>31</v>
      </c>
      <c r="AO1053" s="167">
        <v>8.626760563380282</v>
      </c>
      <c r="AP1053" s="167">
        <v>-1.4</v>
      </c>
      <c r="AQ1053" s="169">
        <v>2.2000000000000002</v>
      </c>
      <c r="AR1053" s="170">
        <v>36</v>
      </c>
      <c r="AT1053" s="165">
        <v>40</v>
      </c>
      <c r="AU1053" s="167">
        <v>1.6695957820738139</v>
      </c>
      <c r="AV1053" s="168">
        <v>-2.1</v>
      </c>
      <c r="AW1053" s="169">
        <v>0.8</v>
      </c>
      <c r="AX1053" s="170">
        <v>29</v>
      </c>
      <c r="AY1053" s="20">
        <f t="shared" si="11"/>
        <v>0</v>
      </c>
      <c r="AZ1053" s="172">
        <v>0</v>
      </c>
      <c r="BA1053" s="177">
        <v>58.963093145869948</v>
      </c>
      <c r="BB1053" s="174">
        <v>0.2</v>
      </c>
      <c r="BC1053" s="175">
        <v>5.4</v>
      </c>
      <c r="BD1053" s="176">
        <v>52</v>
      </c>
      <c r="BF1053" s="138" t="s">
        <v>53</v>
      </c>
      <c r="BG1053" s="139"/>
      <c r="BH1053" s="139"/>
      <c r="BI1053" s="140" t="s">
        <v>180</v>
      </c>
      <c r="BJ1053" s="141">
        <v>563</v>
      </c>
      <c r="BK1053" s="20">
        <f t="shared" si="10"/>
        <v>80</v>
      </c>
      <c r="BL1053" s="165">
        <v>8</v>
      </c>
      <c r="BM1053" s="167">
        <v>76.413427561837452</v>
      </c>
      <c r="BN1053" s="168">
        <v>0.7</v>
      </c>
      <c r="BO1053" s="169">
        <v>6.4</v>
      </c>
      <c r="BP1053" s="170">
        <v>57</v>
      </c>
      <c r="BR1053" s="150" t="s">
        <v>164</v>
      </c>
      <c r="BS1053" s="151" t="s">
        <v>82</v>
      </c>
      <c r="BT1053" s="152"/>
      <c r="BU1053" s="152"/>
      <c r="BV1053" s="153"/>
      <c r="BX1053" s="155" t="s">
        <v>10</v>
      </c>
      <c r="BY1053" s="158" t="s">
        <v>13</v>
      </c>
      <c r="BZ1053" s="156" t="s">
        <v>14</v>
      </c>
      <c r="CA1053" s="156" t="s">
        <v>15</v>
      </c>
      <c r="CB1053" s="159" t="s">
        <v>16</v>
      </c>
      <c r="CD1053" s="165">
        <v>26</v>
      </c>
      <c r="CE1053" s="167">
        <v>26.625659050966611</v>
      </c>
      <c r="CF1053" s="168">
        <v>-0.6</v>
      </c>
      <c r="CG1053" s="169">
        <v>3.8</v>
      </c>
      <c r="CH1053" s="170">
        <v>44</v>
      </c>
      <c r="CJ1053" s="165">
        <v>27</v>
      </c>
      <c r="CK1053" s="167">
        <v>33.479789103690685</v>
      </c>
      <c r="CL1053" s="168">
        <v>-0.4</v>
      </c>
      <c r="CM1053" s="169">
        <v>4.2</v>
      </c>
      <c r="CN1053" s="170">
        <v>46</v>
      </c>
      <c r="CV1053" s="165">
        <v>21</v>
      </c>
      <c r="CW1053" s="167">
        <v>32.306338028169016</v>
      </c>
      <c r="CX1053" s="168">
        <v>-0.5</v>
      </c>
      <c r="CY1053" s="169">
        <v>4</v>
      </c>
      <c r="CZ1053" s="170">
        <v>45</v>
      </c>
      <c r="DB1053" s="165">
        <v>42</v>
      </c>
      <c r="DC1053" s="167">
        <v>7.5178997613365164</v>
      </c>
      <c r="DD1053" s="168">
        <v>-1.4</v>
      </c>
      <c r="DE1053" s="169">
        <v>2.2000000000000002</v>
      </c>
      <c r="DF1053" s="170">
        <v>36</v>
      </c>
    </row>
    <row r="1054" spans="15:110" ht="13.15" hidden="1" thickBot="1" x14ac:dyDescent="0.25">
      <c r="S1054" s="178" t="e">
        <f>IF(T1054&lt;0,0,IF(T1054&gt;24,24,T1054))</f>
        <v>#REF!</v>
      </c>
      <c r="T1054" s="11" t="e">
        <f>$F29-(0.04*$R$1029)+(0.72*$R$1030)</f>
        <v>#REF!</v>
      </c>
      <c r="U1054" s="147" t="s">
        <v>177</v>
      </c>
      <c r="AB1054" s="165">
        <v>40</v>
      </c>
      <c r="AC1054" s="167">
        <v>4.9209138840070299</v>
      </c>
      <c r="AD1054" s="168">
        <v>-1.7</v>
      </c>
      <c r="AE1054" s="169">
        <v>1.6</v>
      </c>
      <c r="AF1054" s="170">
        <v>33</v>
      </c>
      <c r="AG1054" s="20">
        <f t="shared" si="8"/>
        <v>21</v>
      </c>
      <c r="AH1054" s="165">
        <v>10.5</v>
      </c>
      <c r="AI1054" s="167">
        <v>42.226148409893995</v>
      </c>
      <c r="AJ1054" s="168">
        <v>-0.2</v>
      </c>
      <c r="AK1054" s="169">
        <v>4.5999999999999996</v>
      </c>
      <c r="AL1054" s="170">
        <v>48</v>
      </c>
      <c r="AN1054" s="165">
        <v>32</v>
      </c>
      <c r="AO1054" s="167">
        <v>10.299295774647888</v>
      </c>
      <c r="AP1054" s="168">
        <v>-1.3</v>
      </c>
      <c r="AQ1054" s="169">
        <v>2.4</v>
      </c>
      <c r="AR1054" s="170">
        <v>37</v>
      </c>
      <c r="AT1054" s="165">
        <v>41</v>
      </c>
      <c r="AU1054" s="167">
        <v>1.6695957820738139</v>
      </c>
      <c r="AV1054" s="168">
        <v>-2.1</v>
      </c>
      <c r="AW1054" s="169">
        <v>0.8</v>
      </c>
      <c r="AX1054" s="170">
        <v>29</v>
      </c>
      <c r="BF1054" s="144" t="s">
        <v>161</v>
      </c>
      <c r="BJ1054" s="145"/>
      <c r="BK1054" s="20">
        <f t="shared" si="10"/>
        <v>79</v>
      </c>
      <c r="BL1054" s="165">
        <v>7.9</v>
      </c>
      <c r="BM1054" s="167">
        <v>78.003533568904587</v>
      </c>
      <c r="BN1054" s="168">
        <v>0.8</v>
      </c>
      <c r="BO1054" s="169">
        <v>6.6</v>
      </c>
      <c r="BP1054" s="170">
        <v>58</v>
      </c>
      <c r="BR1054" s="155" t="s">
        <v>10</v>
      </c>
      <c r="BS1054" s="156" t="s">
        <v>13</v>
      </c>
      <c r="BT1054" s="156" t="s">
        <v>14</v>
      </c>
      <c r="BU1054" s="156" t="s">
        <v>15</v>
      </c>
      <c r="BV1054" s="159" t="s">
        <v>16</v>
      </c>
      <c r="BX1054" s="165">
        <v>15</v>
      </c>
      <c r="BY1054" s="167">
        <v>8.8028169014084515E-2</v>
      </c>
      <c r="BZ1054" s="168">
        <v>-3</v>
      </c>
      <c r="CA1054" s="169">
        <v>-1</v>
      </c>
      <c r="CB1054" s="170">
        <v>20</v>
      </c>
      <c r="CD1054" s="165">
        <v>27</v>
      </c>
      <c r="CE1054" s="167">
        <v>30.667838312829527</v>
      </c>
      <c r="CF1054" s="168">
        <v>-0.5</v>
      </c>
      <c r="CG1054" s="169">
        <v>4</v>
      </c>
      <c r="CH1054" s="170">
        <v>45</v>
      </c>
      <c r="CJ1054" s="165">
        <v>28</v>
      </c>
      <c r="CK1054" s="167">
        <v>37.697715289982426</v>
      </c>
      <c r="CL1054" s="168">
        <v>-0.3</v>
      </c>
      <c r="CM1054" s="169">
        <v>4.4000000000000004</v>
      </c>
      <c r="CN1054" s="170">
        <v>47</v>
      </c>
      <c r="CV1054" s="165">
        <v>20</v>
      </c>
      <c r="CW1054" s="167">
        <v>42.077464788732392</v>
      </c>
      <c r="CX1054" s="168">
        <v>-0.2</v>
      </c>
      <c r="CY1054" s="169">
        <v>4.5999999999999996</v>
      </c>
      <c r="CZ1054" s="170">
        <v>48</v>
      </c>
      <c r="DB1054" s="165">
        <v>41</v>
      </c>
      <c r="DC1054" s="167">
        <v>10.262529832935559</v>
      </c>
      <c r="DD1054" s="168">
        <v>-1.3</v>
      </c>
      <c r="DE1054" s="169">
        <v>2.4</v>
      </c>
      <c r="DF1054" s="170">
        <v>37</v>
      </c>
    </row>
    <row r="1055" spans="15:110" ht="13.8" hidden="1" thickBot="1" x14ac:dyDescent="0.3">
      <c r="S1055" s="178" t="e">
        <f>IF(T1055&lt;0,0,IF(T1055&gt;17,17,T1055))</f>
        <v>#REF!</v>
      </c>
      <c r="T1055" s="11" t="e">
        <f>$F30-(0.02*$R$1029)+(0.2*$R$1032)</f>
        <v>#REF!</v>
      </c>
      <c r="U1055" s="147" t="s">
        <v>178</v>
      </c>
      <c r="AB1055" s="165">
        <v>41</v>
      </c>
      <c r="AC1055" s="167">
        <v>5.8875219683655535</v>
      </c>
      <c r="AD1055" s="168">
        <v>-1.6</v>
      </c>
      <c r="AE1055" s="169">
        <v>1.8</v>
      </c>
      <c r="AF1055" s="170">
        <v>34</v>
      </c>
      <c r="AG1055" s="20">
        <f t="shared" si="8"/>
        <v>22</v>
      </c>
      <c r="AH1055" s="165">
        <v>11</v>
      </c>
      <c r="AI1055" s="167">
        <v>47.438162544169607</v>
      </c>
      <c r="AJ1055" s="168">
        <v>-0.1</v>
      </c>
      <c r="AK1055" s="169">
        <v>4.8</v>
      </c>
      <c r="AL1055" s="170">
        <v>49</v>
      </c>
      <c r="AN1055" s="165">
        <v>33</v>
      </c>
      <c r="AO1055" s="167">
        <v>12.059859154929578</v>
      </c>
      <c r="AP1055" s="168">
        <v>-1.2</v>
      </c>
      <c r="AQ1055" s="169">
        <v>2.6</v>
      </c>
      <c r="AR1055" s="170">
        <v>38</v>
      </c>
      <c r="AT1055" s="165">
        <v>42</v>
      </c>
      <c r="AU1055" s="167">
        <v>2.1968365553602811</v>
      </c>
      <c r="AV1055" s="168">
        <v>-2</v>
      </c>
      <c r="AW1055" s="169">
        <v>1</v>
      </c>
      <c r="AX1055" s="170">
        <v>30</v>
      </c>
      <c r="BF1055" s="147" t="s">
        <v>222</v>
      </c>
      <c r="BG1055" s="148"/>
      <c r="BH1055" s="148"/>
      <c r="BI1055" s="148"/>
      <c r="BJ1055" s="149"/>
      <c r="BK1055" s="20">
        <f t="shared" si="10"/>
        <v>78</v>
      </c>
      <c r="BL1055" s="165">
        <v>7.8</v>
      </c>
      <c r="BM1055" s="167">
        <v>79.946996466431102</v>
      </c>
      <c r="BN1055" s="168">
        <v>0.8</v>
      </c>
      <c r="BO1055" s="169">
        <v>6.6</v>
      </c>
      <c r="BP1055" s="170">
        <v>58</v>
      </c>
      <c r="BR1055" s="165">
        <v>3</v>
      </c>
      <c r="BS1055" s="167">
        <v>8.7873462214411238E-2</v>
      </c>
      <c r="BT1055" s="168">
        <v>-3</v>
      </c>
      <c r="BU1055" s="169">
        <v>-1</v>
      </c>
      <c r="BV1055" s="170">
        <v>20</v>
      </c>
      <c r="BX1055" s="165">
        <v>14</v>
      </c>
      <c r="BY1055" s="167">
        <v>0.35211267605633806</v>
      </c>
      <c r="BZ1055" s="168">
        <v>-2.7</v>
      </c>
      <c r="CA1055" s="169">
        <v>-0.4</v>
      </c>
      <c r="CB1055" s="170">
        <v>23</v>
      </c>
      <c r="CD1055" s="165">
        <v>28</v>
      </c>
      <c r="CE1055" s="167">
        <v>34.534270650263622</v>
      </c>
      <c r="CF1055" s="168">
        <v>-0.4</v>
      </c>
      <c r="CG1055" s="169">
        <v>4.2</v>
      </c>
      <c r="CH1055" s="170">
        <v>46</v>
      </c>
      <c r="CJ1055" s="165">
        <v>29</v>
      </c>
      <c r="CK1055" s="167">
        <v>42.970123022847098</v>
      </c>
      <c r="CL1055" s="168">
        <v>-0.2</v>
      </c>
      <c r="CM1055" s="169">
        <v>4.5999999999999996</v>
      </c>
      <c r="CN1055" s="170">
        <v>48</v>
      </c>
      <c r="CP1055" s="138" t="s">
        <v>98</v>
      </c>
      <c r="CQ1055" s="139"/>
      <c r="CR1055" s="139"/>
      <c r="CS1055" s="140" t="s">
        <v>215</v>
      </c>
      <c r="CT1055" s="141">
        <v>569</v>
      </c>
      <c r="CV1055" s="165">
        <v>19</v>
      </c>
      <c r="CW1055" s="167">
        <v>52.2887323943662</v>
      </c>
      <c r="CX1055" s="168">
        <v>0.1</v>
      </c>
      <c r="CY1055" s="169">
        <v>5.2</v>
      </c>
      <c r="CZ1055" s="170">
        <v>51</v>
      </c>
      <c r="DB1055" s="165">
        <v>40</v>
      </c>
      <c r="DC1055" s="167">
        <v>13.24582338902148</v>
      </c>
      <c r="DD1055" s="168">
        <v>-1.1000000000000001</v>
      </c>
      <c r="DE1055" s="169">
        <v>2.8</v>
      </c>
      <c r="DF1055" s="170">
        <v>39</v>
      </c>
    </row>
    <row r="1056" spans="15:110" ht="13.8" hidden="1" thickBot="1" x14ac:dyDescent="0.3">
      <c r="S1056" s="178" t="e">
        <f>IF(F31&lt;0,0,IF(F31&gt;7,7,F31))</f>
        <v>#REF!</v>
      </c>
      <c r="AB1056" s="165">
        <v>42</v>
      </c>
      <c r="AC1056" s="167">
        <v>6.942003514938488</v>
      </c>
      <c r="AD1056" s="168">
        <v>-1.5</v>
      </c>
      <c r="AE1056" s="169">
        <v>2</v>
      </c>
      <c r="AF1056" s="170">
        <v>35</v>
      </c>
      <c r="AG1056" s="20">
        <f t="shared" si="8"/>
        <v>23</v>
      </c>
      <c r="AH1056" s="165">
        <v>11.5</v>
      </c>
      <c r="AI1056" s="167">
        <v>52.82685512367491</v>
      </c>
      <c r="AJ1056" s="168">
        <v>0.1</v>
      </c>
      <c r="AK1056" s="169">
        <v>5.2</v>
      </c>
      <c r="AL1056" s="170">
        <v>51</v>
      </c>
      <c r="AN1056" s="165">
        <v>34</v>
      </c>
      <c r="AO1056" s="167">
        <v>13.732394366197184</v>
      </c>
      <c r="AP1056" s="168">
        <v>-1.1000000000000001</v>
      </c>
      <c r="AQ1056" s="169">
        <v>2.8</v>
      </c>
      <c r="AR1056" s="170">
        <v>39</v>
      </c>
      <c r="AT1056" s="165">
        <v>43</v>
      </c>
      <c r="AU1056" s="167">
        <v>2.3725834797891037</v>
      </c>
      <c r="AV1056" s="168">
        <v>-2</v>
      </c>
      <c r="AW1056" s="169">
        <v>1</v>
      </c>
      <c r="AX1056" s="170">
        <v>30</v>
      </c>
      <c r="AZ1056" s="138" t="s">
        <v>214</v>
      </c>
      <c r="BA1056" s="139"/>
      <c r="BB1056" s="139"/>
      <c r="BC1056" s="140" t="s">
        <v>215</v>
      </c>
      <c r="BD1056" s="141">
        <v>569</v>
      </c>
      <c r="BF1056" s="150" t="s">
        <v>164</v>
      </c>
      <c r="BG1056" s="151" t="s">
        <v>132</v>
      </c>
      <c r="BH1056" s="152"/>
      <c r="BI1056" s="152"/>
      <c r="BJ1056" s="153"/>
      <c r="BK1056" s="20">
        <f t="shared" si="10"/>
        <v>77</v>
      </c>
      <c r="BL1056" s="165">
        <v>7.7</v>
      </c>
      <c r="BM1056" s="167">
        <v>82.685512367491171</v>
      </c>
      <c r="BN1056" s="168">
        <v>0.9</v>
      </c>
      <c r="BO1056" s="169">
        <v>6.8</v>
      </c>
      <c r="BP1056" s="170">
        <v>59</v>
      </c>
      <c r="BR1056" s="165">
        <v>2</v>
      </c>
      <c r="BS1056" s="167">
        <v>1.4059753954305798</v>
      </c>
      <c r="BT1056" s="168">
        <v>-2.2000000000000002</v>
      </c>
      <c r="BU1056" s="169">
        <v>0.6</v>
      </c>
      <c r="BV1056" s="170">
        <v>28</v>
      </c>
      <c r="BX1056" s="165">
        <v>13</v>
      </c>
      <c r="BY1056" s="167">
        <v>0.35211267605633806</v>
      </c>
      <c r="BZ1056" s="168">
        <v>-2.7</v>
      </c>
      <c r="CA1056" s="169">
        <v>-0.4</v>
      </c>
      <c r="CB1056" s="170">
        <v>23</v>
      </c>
      <c r="CD1056" s="165">
        <v>29</v>
      </c>
      <c r="CE1056" s="167">
        <v>38.664323374340945</v>
      </c>
      <c r="CF1056" s="168">
        <v>-0.3</v>
      </c>
      <c r="CG1056" s="169">
        <v>4.4000000000000004</v>
      </c>
      <c r="CH1056" s="170">
        <v>47</v>
      </c>
      <c r="CJ1056" s="165">
        <v>30</v>
      </c>
      <c r="CK1056" s="167">
        <v>47.891036906854126</v>
      </c>
      <c r="CL1056" s="168">
        <v>-0.1</v>
      </c>
      <c r="CM1056" s="169">
        <v>4.8</v>
      </c>
      <c r="CN1056" s="170">
        <v>49</v>
      </c>
      <c r="CP1056" s="144" t="s">
        <v>161</v>
      </c>
      <c r="CT1056" s="145"/>
      <c r="CV1056" s="165">
        <v>18</v>
      </c>
      <c r="CW1056" s="167">
        <v>61.971830985915489</v>
      </c>
      <c r="CX1056" s="168">
        <v>0.3</v>
      </c>
      <c r="CY1056" s="169">
        <v>5.6</v>
      </c>
      <c r="CZ1056" s="170">
        <v>53</v>
      </c>
      <c r="DB1056" s="165">
        <v>39</v>
      </c>
      <c r="DC1056" s="167">
        <v>16.467780429594274</v>
      </c>
      <c r="DD1056" s="168">
        <v>-1</v>
      </c>
      <c r="DE1056" s="169">
        <v>3</v>
      </c>
      <c r="DF1056" s="170">
        <v>40</v>
      </c>
    </row>
    <row r="1057" spans="17:110" ht="13.15" hidden="1" thickBot="1" x14ac:dyDescent="0.25">
      <c r="S1057" s="178" t="e">
        <f>IF(F32&lt;0,0,IF(F32&gt;3,3,F32))</f>
        <v>#REF!</v>
      </c>
      <c r="AB1057" s="165">
        <v>43</v>
      </c>
      <c r="AC1057" s="167">
        <v>7.9086115992970125</v>
      </c>
      <c r="AD1057" s="168">
        <v>-1.4</v>
      </c>
      <c r="AE1057" s="169">
        <v>2.2000000000000002</v>
      </c>
      <c r="AF1057" s="170">
        <v>36</v>
      </c>
      <c r="AG1057" s="20">
        <f t="shared" si="8"/>
        <v>24</v>
      </c>
      <c r="AH1057" s="165">
        <v>12</v>
      </c>
      <c r="AI1057" s="167">
        <v>59.275618374558306</v>
      </c>
      <c r="AJ1057" s="168">
        <v>0.2</v>
      </c>
      <c r="AK1057" s="169">
        <v>5.4</v>
      </c>
      <c r="AL1057" s="170">
        <v>52</v>
      </c>
      <c r="AN1057" s="165">
        <v>35</v>
      </c>
      <c r="AO1057" s="167">
        <v>14.964788732394366</v>
      </c>
      <c r="AP1057" s="168">
        <v>-1</v>
      </c>
      <c r="AQ1057" s="169">
        <v>3</v>
      </c>
      <c r="AR1057" s="170">
        <v>40</v>
      </c>
      <c r="AT1057" s="165">
        <v>44</v>
      </c>
      <c r="AU1057" s="167">
        <v>2.6362038664323375</v>
      </c>
      <c r="AV1057" s="168">
        <v>-1.9</v>
      </c>
      <c r="AW1057" s="169">
        <v>1.2</v>
      </c>
      <c r="AX1057" s="170">
        <v>31</v>
      </c>
      <c r="AZ1057" s="144" t="s">
        <v>161</v>
      </c>
      <c r="BB1057" s="20" t="s">
        <v>162</v>
      </c>
      <c r="BD1057" s="145"/>
      <c r="BF1057" s="155" t="s">
        <v>10</v>
      </c>
      <c r="BG1057" s="158" t="s">
        <v>13</v>
      </c>
      <c r="BH1057" s="156" t="s">
        <v>14</v>
      </c>
      <c r="BI1057" s="156" t="s">
        <v>15</v>
      </c>
      <c r="BJ1057" s="159" t="s">
        <v>16</v>
      </c>
      <c r="BK1057" s="20">
        <f t="shared" si="10"/>
        <v>76</v>
      </c>
      <c r="BL1057" s="165">
        <v>7.6</v>
      </c>
      <c r="BM1057" s="167">
        <v>84.628975265017672</v>
      </c>
      <c r="BN1057" s="168">
        <v>1</v>
      </c>
      <c r="BO1057" s="169">
        <v>7</v>
      </c>
      <c r="BP1057" s="170">
        <v>60</v>
      </c>
      <c r="BR1057" s="165">
        <v>1</v>
      </c>
      <c r="BS1057" s="167">
        <v>7.8207381370826017</v>
      </c>
      <c r="BT1057" s="168">
        <v>-1.4</v>
      </c>
      <c r="BU1057" s="169">
        <v>2.2000000000000002</v>
      </c>
      <c r="BV1057" s="170">
        <v>36</v>
      </c>
      <c r="BX1057" s="165">
        <v>12</v>
      </c>
      <c r="BY1057" s="167">
        <v>0.35211267605633806</v>
      </c>
      <c r="BZ1057" s="168">
        <v>-2.7</v>
      </c>
      <c r="CA1057" s="169">
        <v>-0.4</v>
      </c>
      <c r="CB1057" s="170">
        <v>23</v>
      </c>
      <c r="CD1057" s="165">
        <v>30</v>
      </c>
      <c r="CE1057" s="167">
        <v>42.706502636203872</v>
      </c>
      <c r="CF1057" s="168">
        <v>-0.2</v>
      </c>
      <c r="CG1057" s="169">
        <v>4.5999999999999996</v>
      </c>
      <c r="CH1057" s="170">
        <v>48</v>
      </c>
      <c r="CJ1057" s="165">
        <v>31</v>
      </c>
      <c r="CK1057" s="167">
        <v>52.548330404217921</v>
      </c>
      <c r="CL1057" s="168">
        <v>0.1</v>
      </c>
      <c r="CM1057" s="169">
        <v>5.2</v>
      </c>
      <c r="CN1057" s="170">
        <v>51</v>
      </c>
      <c r="CP1057" s="147"/>
      <c r="CQ1057" s="148"/>
      <c r="CR1057" s="179" t="s">
        <v>170</v>
      </c>
      <c r="CS1057" s="148"/>
      <c r="CT1057" s="149"/>
      <c r="CV1057" s="165">
        <v>17</v>
      </c>
      <c r="CW1057" s="167">
        <v>72.447183098591552</v>
      </c>
      <c r="CX1057" s="168">
        <v>0.6</v>
      </c>
      <c r="CY1057" s="169">
        <v>6.2</v>
      </c>
      <c r="CZ1057" s="170">
        <v>56</v>
      </c>
      <c r="DB1057" s="165">
        <v>38</v>
      </c>
      <c r="DC1057" s="167">
        <v>23.389021479713605</v>
      </c>
      <c r="DD1057" s="168">
        <v>-0.7</v>
      </c>
      <c r="DE1057" s="169">
        <v>3.6</v>
      </c>
      <c r="DF1057" s="170">
        <v>43</v>
      </c>
    </row>
    <row r="1058" spans="17:110" ht="13.15" hidden="1" thickBot="1" x14ac:dyDescent="0.25">
      <c r="AB1058" s="165">
        <v>44</v>
      </c>
      <c r="AC1058" s="167">
        <v>8.6994727592267136</v>
      </c>
      <c r="AD1058" s="168">
        <v>-1.4</v>
      </c>
      <c r="AE1058" s="169">
        <v>2.2000000000000002</v>
      </c>
      <c r="AF1058" s="170">
        <v>36</v>
      </c>
      <c r="AG1058" s="20">
        <f t="shared" si="8"/>
        <v>25</v>
      </c>
      <c r="AH1058" s="165">
        <v>12.5</v>
      </c>
      <c r="AI1058" s="167">
        <v>64.752650176678443</v>
      </c>
      <c r="AJ1058" s="168">
        <v>0.4</v>
      </c>
      <c r="AK1058" s="169">
        <v>5.8</v>
      </c>
      <c r="AL1058" s="170">
        <v>54</v>
      </c>
      <c r="AN1058" s="165">
        <v>36</v>
      </c>
      <c r="AO1058" s="167">
        <v>16.637323943661972</v>
      </c>
      <c r="AP1058" s="168">
        <v>-1</v>
      </c>
      <c r="AQ1058" s="169">
        <v>3</v>
      </c>
      <c r="AR1058" s="170">
        <v>40</v>
      </c>
      <c r="AT1058" s="165">
        <v>45</v>
      </c>
      <c r="AU1058" s="167">
        <v>2.8998242530755709</v>
      </c>
      <c r="AV1058" s="168">
        <v>-1.9</v>
      </c>
      <c r="AW1058" s="169">
        <v>1.2</v>
      </c>
      <c r="AX1058" s="170">
        <v>31</v>
      </c>
      <c r="AZ1058" s="147" t="s">
        <v>217</v>
      </c>
      <c r="BA1058" s="148"/>
      <c r="BB1058" s="148"/>
      <c r="BC1058" s="148"/>
      <c r="BD1058" s="149"/>
      <c r="BF1058" s="165">
        <v>3</v>
      </c>
      <c r="BG1058" s="167">
        <v>0.71047957371225579</v>
      </c>
      <c r="BH1058" s="168">
        <v>-2.5</v>
      </c>
      <c r="BI1058" s="169">
        <v>0</v>
      </c>
      <c r="BJ1058" s="170">
        <v>25</v>
      </c>
      <c r="BK1058" s="20">
        <f t="shared" si="10"/>
        <v>75</v>
      </c>
      <c r="BL1058" s="165">
        <v>7.5</v>
      </c>
      <c r="BM1058" s="167">
        <v>86.219081272084807</v>
      </c>
      <c r="BN1058" s="168">
        <v>1.1000000000000001</v>
      </c>
      <c r="BO1058" s="169">
        <v>7.2</v>
      </c>
      <c r="BP1058" s="170">
        <v>61</v>
      </c>
      <c r="BR1058" s="172">
        <v>0</v>
      </c>
      <c r="BS1058" s="173">
        <v>56.50263620386643</v>
      </c>
      <c r="BT1058" s="174">
        <v>0.2</v>
      </c>
      <c r="BU1058" s="175">
        <v>5.4</v>
      </c>
      <c r="BV1058" s="176">
        <v>52</v>
      </c>
      <c r="BX1058" s="165">
        <v>11</v>
      </c>
      <c r="BY1058" s="167">
        <v>0.35211267605633806</v>
      </c>
      <c r="BZ1058" s="168">
        <v>-2.7</v>
      </c>
      <c r="CA1058" s="169">
        <v>-0.4</v>
      </c>
      <c r="CB1058" s="170">
        <v>23</v>
      </c>
      <c r="CD1058" s="165">
        <v>31</v>
      </c>
      <c r="CE1058" s="167">
        <v>47.100175746924428</v>
      </c>
      <c r="CF1058" s="168">
        <v>-0.1</v>
      </c>
      <c r="CG1058" s="169">
        <v>4.8</v>
      </c>
      <c r="CH1058" s="170">
        <v>49</v>
      </c>
      <c r="CJ1058" s="165">
        <v>32</v>
      </c>
      <c r="CK1058" s="167">
        <v>56.942003514938492</v>
      </c>
      <c r="CL1058" s="168">
        <v>0.2</v>
      </c>
      <c r="CM1058" s="169">
        <v>5.4</v>
      </c>
      <c r="CN1058" s="170">
        <v>52</v>
      </c>
      <c r="CP1058" s="150" t="s">
        <v>164</v>
      </c>
      <c r="CQ1058" s="151" t="s">
        <v>100</v>
      </c>
      <c r="CR1058" s="152"/>
      <c r="CS1058" s="152"/>
      <c r="CT1058" s="153"/>
      <c r="CV1058" s="165">
        <v>16</v>
      </c>
      <c r="CW1058" s="167">
        <v>82.922535211267601</v>
      </c>
      <c r="CX1058" s="168">
        <v>1</v>
      </c>
      <c r="CY1058" s="169">
        <v>7</v>
      </c>
      <c r="CZ1058" s="170">
        <v>60</v>
      </c>
      <c r="DB1058" s="165">
        <v>37</v>
      </c>
      <c r="DC1058" s="167">
        <v>34.367541766109781</v>
      </c>
      <c r="DD1058" s="168">
        <v>-0.4</v>
      </c>
      <c r="DE1058" s="169">
        <v>4.2</v>
      </c>
      <c r="DF1058" s="170">
        <v>46</v>
      </c>
    </row>
    <row r="1059" spans="17:110" ht="13.15" hidden="1" thickBot="1" x14ac:dyDescent="0.25">
      <c r="AB1059" s="165">
        <v>45</v>
      </c>
      <c r="AC1059" s="167">
        <v>10.281195079086116</v>
      </c>
      <c r="AD1059" s="168">
        <v>-1.3</v>
      </c>
      <c r="AE1059" s="169">
        <v>2.4</v>
      </c>
      <c r="AF1059" s="170">
        <v>37</v>
      </c>
      <c r="AG1059" s="20">
        <f t="shared" si="8"/>
        <v>26</v>
      </c>
      <c r="AH1059" s="165">
        <v>13</v>
      </c>
      <c r="AI1059" s="167">
        <v>69.081272084805661</v>
      </c>
      <c r="AJ1059" s="168">
        <v>0.5</v>
      </c>
      <c r="AK1059" s="169">
        <v>6</v>
      </c>
      <c r="AL1059" s="170">
        <v>55</v>
      </c>
      <c r="AN1059" s="165">
        <v>37</v>
      </c>
      <c r="AO1059" s="167">
        <v>18.30985915492958</v>
      </c>
      <c r="AP1059" s="168">
        <v>-0.9</v>
      </c>
      <c r="AQ1059" s="169">
        <v>3.2</v>
      </c>
      <c r="AR1059" s="170">
        <v>41</v>
      </c>
      <c r="AT1059" s="165">
        <v>46</v>
      </c>
      <c r="AU1059" s="167">
        <v>3.427065026362039</v>
      </c>
      <c r="AV1059" s="168">
        <v>-1.8</v>
      </c>
      <c r="AW1059" s="169">
        <v>1.4</v>
      </c>
      <c r="AX1059" s="170">
        <v>32</v>
      </c>
      <c r="AZ1059" s="150" t="s">
        <v>164</v>
      </c>
      <c r="BA1059" s="151" t="s">
        <v>79</v>
      </c>
      <c r="BB1059" s="152"/>
      <c r="BC1059" s="152"/>
      <c r="BD1059" s="153"/>
      <c r="BF1059" s="165">
        <v>4</v>
      </c>
      <c r="BG1059" s="167">
        <v>3.7300177619893424</v>
      </c>
      <c r="BH1059" s="168">
        <v>-1.8</v>
      </c>
      <c r="BI1059" s="169">
        <v>1.4</v>
      </c>
      <c r="BJ1059" s="170">
        <v>32</v>
      </c>
      <c r="BK1059" s="20">
        <f t="shared" si="10"/>
        <v>74</v>
      </c>
      <c r="BL1059" s="165">
        <v>7.4</v>
      </c>
      <c r="BM1059" s="167">
        <v>88.074204946996474</v>
      </c>
      <c r="BN1059" s="168">
        <v>1.2</v>
      </c>
      <c r="BO1059" s="169">
        <v>7.4</v>
      </c>
      <c r="BP1059" s="170">
        <v>62</v>
      </c>
      <c r="BX1059" s="165">
        <v>10</v>
      </c>
      <c r="BY1059" s="167">
        <v>0.35211267605633806</v>
      </c>
      <c r="BZ1059" s="168">
        <v>-2.7</v>
      </c>
      <c r="CA1059" s="169">
        <v>-0.4</v>
      </c>
      <c r="CB1059" s="170">
        <v>23</v>
      </c>
      <c r="CD1059" s="165">
        <v>32</v>
      </c>
      <c r="CE1059" s="167">
        <v>52.724077328646743</v>
      </c>
      <c r="CF1059" s="168">
        <v>0.1</v>
      </c>
      <c r="CG1059" s="169">
        <v>5.2</v>
      </c>
      <c r="CH1059" s="170">
        <v>51</v>
      </c>
      <c r="CJ1059" s="165">
        <v>33</v>
      </c>
      <c r="CK1059" s="167">
        <v>61.247803163444637</v>
      </c>
      <c r="CL1059" s="168">
        <v>0.3</v>
      </c>
      <c r="CM1059" s="169">
        <v>5.6</v>
      </c>
      <c r="CN1059" s="170">
        <v>53</v>
      </c>
      <c r="CP1059" s="155" t="s">
        <v>10</v>
      </c>
      <c r="CQ1059" s="156" t="s">
        <v>13</v>
      </c>
      <c r="CR1059" s="156" t="s">
        <v>14</v>
      </c>
      <c r="CS1059" s="156" t="s">
        <v>15</v>
      </c>
      <c r="CT1059" s="159" t="s">
        <v>16</v>
      </c>
      <c r="CV1059" s="165">
        <v>15</v>
      </c>
      <c r="CW1059" s="167">
        <v>91.021126760563376</v>
      </c>
      <c r="CX1059" s="168">
        <v>1.3</v>
      </c>
      <c r="CY1059" s="169">
        <v>7.6</v>
      </c>
      <c r="CZ1059" s="170">
        <v>63</v>
      </c>
      <c r="DB1059" s="165">
        <v>36</v>
      </c>
      <c r="DC1059" s="167">
        <v>46.181384248210023</v>
      </c>
      <c r="DD1059" s="168">
        <v>-0.1</v>
      </c>
      <c r="DE1059" s="169">
        <v>4.8</v>
      </c>
      <c r="DF1059" s="170">
        <v>49</v>
      </c>
    </row>
    <row r="1060" spans="17:110" ht="13.15" hidden="1" thickBot="1" x14ac:dyDescent="0.25">
      <c r="Q1060" s="20" t="s">
        <v>128</v>
      </c>
      <c r="R1060" s="20" t="s">
        <v>272</v>
      </c>
      <c r="AB1060" s="165">
        <v>46</v>
      </c>
      <c r="AC1060" s="167">
        <v>12.302284710017574</v>
      </c>
      <c r="AD1060" s="168">
        <v>-1.2</v>
      </c>
      <c r="AE1060" s="169">
        <v>2.6</v>
      </c>
      <c r="AF1060" s="170">
        <v>38</v>
      </c>
      <c r="AG1060" s="20">
        <f t="shared" si="8"/>
        <v>27</v>
      </c>
      <c r="AH1060" s="165">
        <v>13.5</v>
      </c>
      <c r="AI1060" s="167">
        <v>72.879858657243815</v>
      </c>
      <c r="AJ1060" s="168">
        <v>0.6</v>
      </c>
      <c r="AK1060" s="169">
        <v>6.2</v>
      </c>
      <c r="AL1060" s="170">
        <v>56</v>
      </c>
      <c r="AN1060" s="165">
        <v>38</v>
      </c>
      <c r="AO1060" s="167">
        <v>20.422535211267608</v>
      </c>
      <c r="AP1060" s="168">
        <v>-0.8</v>
      </c>
      <c r="AQ1060" s="169">
        <v>3.4</v>
      </c>
      <c r="AR1060" s="170">
        <v>42</v>
      </c>
      <c r="AT1060" s="165">
        <v>47</v>
      </c>
      <c r="AU1060" s="167">
        <v>3.9543057996485063</v>
      </c>
      <c r="AV1060" s="168">
        <v>-1.8</v>
      </c>
      <c r="AW1060" s="169">
        <v>1.4</v>
      </c>
      <c r="AX1060" s="170">
        <v>32</v>
      </c>
      <c r="AZ1060" s="155" t="s">
        <v>10</v>
      </c>
      <c r="BA1060" s="158" t="s">
        <v>13</v>
      </c>
      <c r="BB1060" s="156" t="s">
        <v>14</v>
      </c>
      <c r="BC1060" s="156" t="s">
        <v>15</v>
      </c>
      <c r="BD1060" s="159" t="s">
        <v>16</v>
      </c>
      <c r="BF1060" s="165">
        <v>5</v>
      </c>
      <c r="BG1060" s="167">
        <v>18.294849023090588</v>
      </c>
      <c r="BH1060" s="168">
        <v>-0.9</v>
      </c>
      <c r="BI1060" s="169">
        <v>3.2</v>
      </c>
      <c r="BJ1060" s="170">
        <v>41</v>
      </c>
      <c r="BK1060" s="20">
        <f t="shared" si="10"/>
        <v>73</v>
      </c>
      <c r="BL1060" s="165">
        <v>7.3</v>
      </c>
      <c r="BM1060" s="167">
        <v>89.487632508833926</v>
      </c>
      <c r="BN1060" s="168">
        <v>1.3</v>
      </c>
      <c r="BO1060" s="169">
        <v>7.6</v>
      </c>
      <c r="BP1060" s="170">
        <v>63</v>
      </c>
      <c r="BX1060" s="165">
        <v>9</v>
      </c>
      <c r="BY1060" s="167">
        <v>0.61619718309859151</v>
      </c>
      <c r="BZ1060" s="168">
        <v>-2.5</v>
      </c>
      <c r="CA1060" s="169">
        <v>0</v>
      </c>
      <c r="CB1060" s="170">
        <v>25</v>
      </c>
      <c r="CD1060" s="165">
        <v>33</v>
      </c>
      <c r="CE1060" s="167">
        <v>58.435852372583476</v>
      </c>
      <c r="CF1060" s="168">
        <v>0.2</v>
      </c>
      <c r="CG1060" s="169">
        <v>5.4</v>
      </c>
      <c r="CH1060" s="170">
        <v>52</v>
      </c>
      <c r="CJ1060" s="165">
        <v>34</v>
      </c>
      <c r="CK1060" s="167">
        <v>65.6414762741652</v>
      </c>
      <c r="CL1060" s="168">
        <v>0.4</v>
      </c>
      <c r="CM1060" s="169">
        <v>5.8</v>
      </c>
      <c r="CN1060" s="170">
        <v>54</v>
      </c>
      <c r="CP1060" s="165">
        <v>3</v>
      </c>
      <c r="CQ1060" s="167">
        <v>8.7873462214411238E-2</v>
      </c>
      <c r="CR1060" s="168">
        <v>-3</v>
      </c>
      <c r="CS1060" s="169">
        <v>-1</v>
      </c>
      <c r="CT1060" s="170">
        <v>20</v>
      </c>
      <c r="CV1060" s="165">
        <v>14</v>
      </c>
      <c r="CW1060" s="167">
        <v>96.302816901408448</v>
      </c>
      <c r="CX1060" s="168">
        <v>1.8</v>
      </c>
      <c r="CY1060" s="169">
        <v>8.6</v>
      </c>
      <c r="CZ1060" s="170">
        <v>68</v>
      </c>
      <c r="DB1060" s="165">
        <v>35</v>
      </c>
      <c r="DC1060" s="167">
        <v>58.353221957040567</v>
      </c>
      <c r="DD1060" s="168">
        <v>0.2</v>
      </c>
      <c r="DE1060" s="169">
        <v>5.4</v>
      </c>
      <c r="DF1060" s="170">
        <v>52</v>
      </c>
    </row>
    <row r="1061" spans="17:110" hidden="1" x14ac:dyDescent="0.2">
      <c r="Q1061" s="11" t="e">
        <f>$F37-1.52*$R$1031-2.33*$R$1030+1</f>
        <v>#REF!</v>
      </c>
      <c r="R1061" s="11" t="e">
        <f>$F37-1.52*$R$1031-2.33*$R$1030-1</f>
        <v>#REF!</v>
      </c>
      <c r="S1061" s="178" t="e">
        <f>IF(T1061&lt;0,0,IF(T1061&gt;22,22,T1061))</f>
        <v>#REF!</v>
      </c>
      <c r="T1061" s="11" t="e">
        <f>IF($F$35="A",Q1061,IF($F$35="B",R1061,""))</f>
        <v>#REF!</v>
      </c>
      <c r="U1061" s="147" t="s">
        <v>181</v>
      </c>
      <c r="AB1061" s="165">
        <v>47</v>
      </c>
      <c r="AC1061" s="167">
        <v>14.411247803163443</v>
      </c>
      <c r="AD1061" s="168">
        <v>-1.1000000000000001</v>
      </c>
      <c r="AE1061" s="169">
        <v>2.8</v>
      </c>
      <c r="AF1061" s="170">
        <v>39</v>
      </c>
      <c r="AG1061" s="20">
        <f t="shared" si="8"/>
        <v>28</v>
      </c>
      <c r="AH1061" s="165">
        <v>14</v>
      </c>
      <c r="AI1061" s="167">
        <v>76.5017667844523</v>
      </c>
      <c r="AJ1061" s="168">
        <v>0.7</v>
      </c>
      <c r="AK1061" s="169">
        <v>6.4</v>
      </c>
      <c r="AL1061" s="170">
        <v>57</v>
      </c>
      <c r="AN1061" s="165">
        <v>39</v>
      </c>
      <c r="AO1061" s="167">
        <v>22.535211267605636</v>
      </c>
      <c r="AP1061" s="168">
        <v>-0.8</v>
      </c>
      <c r="AQ1061" s="169">
        <v>3.4</v>
      </c>
      <c r="AR1061" s="170">
        <v>42</v>
      </c>
      <c r="AT1061" s="165">
        <v>48</v>
      </c>
      <c r="AU1061" s="167">
        <v>4.3057996485061514</v>
      </c>
      <c r="AV1061" s="168">
        <v>-1.7</v>
      </c>
      <c r="AW1061" s="169">
        <v>1.6</v>
      </c>
      <c r="AX1061" s="170">
        <v>33</v>
      </c>
      <c r="AY1061" s="20">
        <f t="shared" ref="AY1061:AY1071" si="12">AZ1061*2</f>
        <v>10</v>
      </c>
      <c r="AZ1061" s="165">
        <v>5</v>
      </c>
      <c r="BA1061" s="166">
        <v>8.7873462214411238E-2</v>
      </c>
      <c r="BB1061" s="162">
        <v>-3</v>
      </c>
      <c r="BC1061" s="163">
        <v>-1</v>
      </c>
      <c r="BD1061" s="164">
        <v>20</v>
      </c>
      <c r="BF1061" s="165">
        <v>6</v>
      </c>
      <c r="BG1061" s="167">
        <v>50.976909413854358</v>
      </c>
      <c r="BH1061" s="168">
        <v>0</v>
      </c>
      <c r="BI1061" s="169">
        <v>5</v>
      </c>
      <c r="BJ1061" s="170">
        <v>50</v>
      </c>
      <c r="BK1061" s="20">
        <f t="shared" si="10"/>
        <v>72</v>
      </c>
      <c r="BL1061" s="165">
        <v>7.2</v>
      </c>
      <c r="BM1061" s="167">
        <v>90.371024734982328</v>
      </c>
      <c r="BN1061" s="168">
        <v>1.3</v>
      </c>
      <c r="BO1061" s="169">
        <v>7.6</v>
      </c>
      <c r="BP1061" s="170">
        <v>63</v>
      </c>
      <c r="BX1061" s="165">
        <v>8</v>
      </c>
      <c r="BY1061" s="167">
        <v>1.056338028169014</v>
      </c>
      <c r="BZ1061" s="168">
        <v>-2.2999999999999998</v>
      </c>
      <c r="CA1061" s="169">
        <v>0.4</v>
      </c>
      <c r="CB1061" s="170">
        <v>27</v>
      </c>
      <c r="CD1061" s="165">
        <v>34</v>
      </c>
      <c r="CE1061" s="167">
        <v>64.32337434094903</v>
      </c>
      <c r="CF1061" s="168">
        <v>0.4</v>
      </c>
      <c r="CG1061" s="169">
        <v>5.8</v>
      </c>
      <c r="CH1061" s="170">
        <v>54</v>
      </c>
      <c r="CJ1061" s="165">
        <v>35</v>
      </c>
      <c r="CK1061" s="167">
        <v>69.507908611599305</v>
      </c>
      <c r="CL1061" s="168">
        <v>0.5</v>
      </c>
      <c r="CM1061" s="169">
        <v>6</v>
      </c>
      <c r="CN1061" s="170">
        <v>55</v>
      </c>
      <c r="CP1061" s="165">
        <v>2</v>
      </c>
      <c r="CQ1061" s="167">
        <v>1.2302284710017575</v>
      </c>
      <c r="CR1061" s="168">
        <v>-2.2000000000000002</v>
      </c>
      <c r="CS1061" s="169">
        <v>0.6</v>
      </c>
      <c r="CT1061" s="170">
        <v>28</v>
      </c>
      <c r="CV1061" s="165">
        <v>13</v>
      </c>
      <c r="CW1061" s="167">
        <v>98.855633802816897</v>
      </c>
      <c r="CX1061" s="168">
        <v>2.2999999999999998</v>
      </c>
      <c r="CY1061" s="169">
        <v>9.6</v>
      </c>
      <c r="CZ1061" s="170">
        <v>73</v>
      </c>
      <c r="DB1061" s="165">
        <v>34</v>
      </c>
      <c r="DC1061" s="167">
        <v>76.252983293556085</v>
      </c>
      <c r="DD1061" s="168">
        <v>0.7</v>
      </c>
      <c r="DE1061" s="169">
        <v>6.4</v>
      </c>
      <c r="DF1061" s="170">
        <v>57</v>
      </c>
    </row>
    <row r="1062" spans="17:110" ht="13.15" hidden="1" thickBot="1" x14ac:dyDescent="0.25">
      <c r="Q1062" s="11" t="e">
        <f>$F38-2.03*$R$1031-2.51*$R$1030+1</f>
        <v>#REF!</v>
      </c>
      <c r="R1062" s="11" t="e">
        <f>$F38-2.03*$R$1031-2.51*$R$1030-1</f>
        <v>#REF!</v>
      </c>
      <c r="S1062" s="178" t="e">
        <f>IF(T1062&lt;0,0,IF(T1062&gt;23,23,T1062))</f>
        <v>#REF!</v>
      </c>
      <c r="T1062" s="11" t="e">
        <f>IF($F$35="A",Q1062,IF($F$35="B",R1062,""))</f>
        <v>#REF!</v>
      </c>
      <c r="U1062" s="147" t="s">
        <v>182</v>
      </c>
      <c r="AB1062" s="165">
        <v>48</v>
      </c>
      <c r="AC1062" s="167">
        <v>16.959578207381369</v>
      </c>
      <c r="AD1062" s="168">
        <v>-1</v>
      </c>
      <c r="AE1062" s="169">
        <v>3</v>
      </c>
      <c r="AF1062" s="170">
        <v>40</v>
      </c>
      <c r="AG1062" s="20">
        <f t="shared" si="8"/>
        <v>29</v>
      </c>
      <c r="AH1062" s="165">
        <v>14.5</v>
      </c>
      <c r="AI1062" s="167">
        <v>79.416961130742052</v>
      </c>
      <c r="AJ1062" s="168">
        <v>0.8</v>
      </c>
      <c r="AK1062" s="169">
        <v>6.6</v>
      </c>
      <c r="AL1062" s="170">
        <v>58</v>
      </c>
      <c r="AN1062" s="165">
        <v>40</v>
      </c>
      <c r="AO1062" s="167">
        <v>24.295774647887324</v>
      </c>
      <c r="AP1062" s="168">
        <v>-0.7</v>
      </c>
      <c r="AQ1062" s="169">
        <v>3.6</v>
      </c>
      <c r="AR1062" s="170">
        <v>43</v>
      </c>
      <c r="AT1062" s="165">
        <v>49</v>
      </c>
      <c r="AU1062" s="167">
        <v>4.7451669595782073</v>
      </c>
      <c r="AV1062" s="168">
        <v>-1.7</v>
      </c>
      <c r="AW1062" s="169">
        <v>1.6</v>
      </c>
      <c r="AX1062" s="170">
        <v>33</v>
      </c>
      <c r="AY1062" s="20">
        <f t="shared" si="12"/>
        <v>9</v>
      </c>
      <c r="AZ1062" s="165">
        <v>4.5</v>
      </c>
      <c r="BA1062" s="171">
        <v>0.26362038664323373</v>
      </c>
      <c r="BB1062" s="168">
        <v>-2.8</v>
      </c>
      <c r="BC1062" s="169">
        <v>-0.6</v>
      </c>
      <c r="BD1062" s="170">
        <v>22</v>
      </c>
      <c r="BF1062" s="165">
        <v>7</v>
      </c>
      <c r="BG1062" s="167">
        <v>82.326820603907635</v>
      </c>
      <c r="BH1062" s="168">
        <v>0.9</v>
      </c>
      <c r="BI1062" s="169">
        <v>6.8</v>
      </c>
      <c r="BJ1062" s="170">
        <v>59</v>
      </c>
      <c r="BK1062" s="20">
        <f t="shared" si="10"/>
        <v>71</v>
      </c>
      <c r="BL1062" s="165">
        <v>7.1</v>
      </c>
      <c r="BM1062" s="167">
        <v>91.166077738515909</v>
      </c>
      <c r="BN1062" s="168">
        <v>1.4</v>
      </c>
      <c r="BO1062" s="169">
        <v>7.8</v>
      </c>
      <c r="BP1062" s="170">
        <v>64</v>
      </c>
      <c r="BX1062" s="165">
        <v>7</v>
      </c>
      <c r="BY1062" s="167">
        <v>1.7605633802816902</v>
      </c>
      <c r="BZ1062" s="168">
        <v>-2.1</v>
      </c>
      <c r="CA1062" s="169">
        <v>0.8</v>
      </c>
      <c r="CB1062" s="170">
        <v>29</v>
      </c>
      <c r="CD1062" s="165">
        <v>35</v>
      </c>
      <c r="CE1062" s="167">
        <v>69.244288224956065</v>
      </c>
      <c r="CF1062" s="168">
        <v>0.5</v>
      </c>
      <c r="CG1062" s="169">
        <v>6</v>
      </c>
      <c r="CH1062" s="170">
        <v>55</v>
      </c>
      <c r="CJ1062" s="165">
        <v>36</v>
      </c>
      <c r="CK1062" s="167">
        <v>73.374340949033396</v>
      </c>
      <c r="CL1062" s="168">
        <v>0.6</v>
      </c>
      <c r="CM1062" s="169">
        <v>6.2</v>
      </c>
      <c r="CN1062" s="170">
        <v>56</v>
      </c>
      <c r="CP1062" s="165">
        <v>1</v>
      </c>
      <c r="CQ1062" s="167">
        <v>7.6449912126537791</v>
      </c>
      <c r="CR1062" s="168">
        <v>-1.4</v>
      </c>
      <c r="CS1062" s="169">
        <v>2.2000000000000002</v>
      </c>
      <c r="CT1062" s="170">
        <v>36</v>
      </c>
      <c r="CV1062" s="165">
        <v>12</v>
      </c>
      <c r="CW1062" s="167">
        <v>99.735915492957744</v>
      </c>
      <c r="CX1062" s="168">
        <v>2.8</v>
      </c>
      <c r="CY1062" s="169">
        <v>10.6</v>
      </c>
      <c r="CZ1062" s="170">
        <v>78</v>
      </c>
      <c r="DB1062" s="172">
        <v>33</v>
      </c>
      <c r="DC1062" s="173">
        <v>93.794749403341299</v>
      </c>
      <c r="DD1062" s="174">
        <v>1.5</v>
      </c>
      <c r="DE1062" s="175">
        <v>8</v>
      </c>
      <c r="DF1062" s="176">
        <v>65</v>
      </c>
    </row>
    <row r="1063" spans="17:110" ht="13.15" hidden="1" thickBot="1" x14ac:dyDescent="0.25">
      <c r="Q1063" s="11" t="e">
        <f>$F39-3.11*$R$1031-0.31*$R$1032+1</f>
        <v>#REF!</v>
      </c>
      <c r="R1063" s="11" t="e">
        <f>$F39-3.11*$R$1031-0.31*$R$1032-1</f>
        <v>#REF!</v>
      </c>
      <c r="S1063" s="178" t="e">
        <f>IF(T1063&lt;0,0,IF(T1063&gt;21,21,T1063))</f>
        <v>#REF!</v>
      </c>
      <c r="T1063" s="11" t="e">
        <f>IF($F$35="A",Q1063,IF($F$35="B",R1063,""))</f>
        <v>#REF!</v>
      </c>
      <c r="U1063" s="147" t="s">
        <v>184</v>
      </c>
      <c r="AB1063" s="165">
        <v>49</v>
      </c>
      <c r="AC1063" s="167">
        <v>20.123022847100174</v>
      </c>
      <c r="AD1063" s="168">
        <v>-0.8</v>
      </c>
      <c r="AE1063" s="169">
        <v>3.4</v>
      </c>
      <c r="AF1063" s="170">
        <v>42</v>
      </c>
      <c r="AG1063" s="20">
        <f t="shared" si="8"/>
        <v>30</v>
      </c>
      <c r="AH1063" s="165">
        <v>15</v>
      </c>
      <c r="AI1063" s="167">
        <v>82.420494699646639</v>
      </c>
      <c r="AJ1063" s="168">
        <v>0.9</v>
      </c>
      <c r="AK1063" s="169">
        <v>6.8</v>
      </c>
      <c r="AL1063" s="170">
        <v>59</v>
      </c>
      <c r="AN1063" s="165">
        <v>41</v>
      </c>
      <c r="AO1063" s="167">
        <v>26.23239436619718</v>
      </c>
      <c r="AP1063" s="168">
        <v>-0.6</v>
      </c>
      <c r="AQ1063" s="169">
        <v>3.8</v>
      </c>
      <c r="AR1063" s="170">
        <v>44</v>
      </c>
      <c r="AT1063" s="165">
        <v>50</v>
      </c>
      <c r="AU1063" s="167">
        <v>5.5360281195079093</v>
      </c>
      <c r="AV1063" s="168">
        <v>-1.6</v>
      </c>
      <c r="AW1063" s="169">
        <v>1.8</v>
      </c>
      <c r="AX1063" s="170">
        <v>34</v>
      </c>
      <c r="AY1063" s="20">
        <f t="shared" si="12"/>
        <v>8</v>
      </c>
      <c r="AZ1063" s="165">
        <v>4</v>
      </c>
      <c r="BA1063" s="171">
        <v>0.70298769771528991</v>
      </c>
      <c r="BB1063" s="168">
        <v>-2.5</v>
      </c>
      <c r="BC1063" s="169">
        <v>0</v>
      </c>
      <c r="BD1063" s="170">
        <v>25</v>
      </c>
      <c r="BF1063" s="165">
        <v>8</v>
      </c>
      <c r="BG1063" s="167">
        <v>96.269982238010655</v>
      </c>
      <c r="BH1063" s="168">
        <v>1.8</v>
      </c>
      <c r="BI1063" s="169">
        <v>8.6</v>
      </c>
      <c r="BJ1063" s="170">
        <v>68</v>
      </c>
      <c r="BK1063" s="20">
        <f t="shared" si="10"/>
        <v>70</v>
      </c>
      <c r="BL1063" s="165">
        <v>7</v>
      </c>
      <c r="BM1063" s="167">
        <v>92.226148409893995</v>
      </c>
      <c r="BN1063" s="168">
        <v>1.4</v>
      </c>
      <c r="BO1063" s="169">
        <v>7.8</v>
      </c>
      <c r="BP1063" s="170">
        <v>64</v>
      </c>
      <c r="BX1063" s="165">
        <v>6</v>
      </c>
      <c r="BY1063" s="167">
        <v>2.2887323943661975</v>
      </c>
      <c r="BZ1063" s="168">
        <v>-2</v>
      </c>
      <c r="CA1063" s="169">
        <v>1</v>
      </c>
      <c r="CB1063" s="170">
        <v>30</v>
      </c>
      <c r="CD1063" s="165">
        <v>36</v>
      </c>
      <c r="CE1063" s="167">
        <v>73.022847100175753</v>
      </c>
      <c r="CF1063" s="168">
        <v>0.6</v>
      </c>
      <c r="CG1063" s="169">
        <v>6.2</v>
      </c>
      <c r="CH1063" s="170">
        <v>56</v>
      </c>
      <c r="CJ1063" s="165">
        <v>37</v>
      </c>
      <c r="CK1063" s="167">
        <v>76.977152899824247</v>
      </c>
      <c r="CL1063" s="168">
        <v>0.7</v>
      </c>
      <c r="CM1063" s="169">
        <v>6.4</v>
      </c>
      <c r="CN1063" s="170">
        <v>57</v>
      </c>
      <c r="CP1063" s="172">
        <v>0</v>
      </c>
      <c r="CQ1063" s="173">
        <v>56.50263620386643</v>
      </c>
      <c r="CR1063" s="174">
        <v>0.2</v>
      </c>
      <c r="CS1063" s="175">
        <v>5.4</v>
      </c>
      <c r="CT1063" s="176">
        <v>52</v>
      </c>
      <c r="CV1063" s="165">
        <v>11</v>
      </c>
      <c r="CW1063" s="167">
        <v>99.911971830985919</v>
      </c>
      <c r="CX1063" s="168">
        <v>3</v>
      </c>
      <c r="CY1063" s="169">
        <v>11</v>
      </c>
      <c r="CZ1063" s="170">
        <v>80</v>
      </c>
    </row>
    <row r="1064" spans="17:110" ht="13.15" hidden="1" thickBot="1" x14ac:dyDescent="0.25">
      <c r="Q1064" s="11" t="e">
        <f>$F40-1.62*$R$1031-2.38*$R$1030+1</f>
        <v>#REF!</v>
      </c>
      <c r="R1064" s="11" t="e">
        <f>$F40-1.62*$R$1031-2.38*$R$1030-1</f>
        <v>#REF!</v>
      </c>
      <c r="S1064" s="178" t="e">
        <f>IF(T1064&lt;0,0,IF(T1064&gt;23,23,T1064))</f>
        <v>#REF!</v>
      </c>
      <c r="T1064" s="11" t="e">
        <f>IF($F$35="A",Q1064,IF($F$35="B",R1064,""))</f>
        <v>#REF!</v>
      </c>
      <c r="U1064" s="147" t="s">
        <v>185</v>
      </c>
      <c r="AB1064" s="165">
        <v>50</v>
      </c>
      <c r="AC1064" s="167">
        <v>23.110720562390156</v>
      </c>
      <c r="AD1064" s="168">
        <v>-0.7</v>
      </c>
      <c r="AE1064" s="169">
        <v>3.6</v>
      </c>
      <c r="AF1064" s="170">
        <v>43</v>
      </c>
      <c r="AG1064" s="20">
        <f t="shared" si="8"/>
        <v>31</v>
      </c>
      <c r="AH1064" s="165">
        <v>15.5</v>
      </c>
      <c r="AI1064" s="167">
        <v>85.865724381625441</v>
      </c>
      <c r="AJ1064" s="168">
        <v>1.1000000000000001</v>
      </c>
      <c r="AK1064" s="169">
        <v>7.2</v>
      </c>
      <c r="AL1064" s="170">
        <v>61</v>
      </c>
      <c r="AN1064" s="165">
        <v>42</v>
      </c>
      <c r="AO1064" s="167">
        <v>28.52112676056338</v>
      </c>
      <c r="AP1064" s="168">
        <v>-0.6</v>
      </c>
      <c r="AQ1064" s="169">
        <v>3.8</v>
      </c>
      <c r="AR1064" s="170">
        <v>44</v>
      </c>
      <c r="AT1064" s="165">
        <v>51</v>
      </c>
      <c r="AU1064" s="167">
        <v>6.3268892794376104</v>
      </c>
      <c r="AV1064" s="168">
        <v>-1.5</v>
      </c>
      <c r="AW1064" s="169">
        <v>2</v>
      </c>
      <c r="AX1064" s="170">
        <v>35</v>
      </c>
      <c r="AY1064" s="20">
        <f t="shared" si="12"/>
        <v>7</v>
      </c>
      <c r="AZ1064" s="165">
        <v>3.5</v>
      </c>
      <c r="BA1064" s="171">
        <v>2.2847100175746924</v>
      </c>
      <c r="BB1064" s="168">
        <v>-2</v>
      </c>
      <c r="BC1064" s="169">
        <v>1</v>
      </c>
      <c r="BD1064" s="170">
        <v>30</v>
      </c>
      <c r="BF1064" s="172">
        <v>9</v>
      </c>
      <c r="BG1064" s="173">
        <v>99.644760213143869</v>
      </c>
      <c r="BH1064" s="174">
        <v>2.7</v>
      </c>
      <c r="BI1064" s="175">
        <v>10.4</v>
      </c>
      <c r="BJ1064" s="176">
        <v>77</v>
      </c>
      <c r="BK1064" s="20">
        <f t="shared" si="10"/>
        <v>69</v>
      </c>
      <c r="BL1064" s="165">
        <v>6.9</v>
      </c>
      <c r="BM1064" s="167">
        <v>93.28621908127208</v>
      </c>
      <c r="BN1064" s="168">
        <v>1.5</v>
      </c>
      <c r="BO1064" s="169">
        <v>8</v>
      </c>
      <c r="BP1064" s="170">
        <v>65</v>
      </c>
      <c r="BX1064" s="165">
        <v>5</v>
      </c>
      <c r="BY1064" s="167">
        <v>3.080985915492958</v>
      </c>
      <c r="BZ1064" s="168">
        <v>-1.9</v>
      </c>
      <c r="CA1064" s="169">
        <v>1.2</v>
      </c>
      <c r="CB1064" s="170">
        <v>31</v>
      </c>
      <c r="CD1064" s="165">
        <v>37</v>
      </c>
      <c r="CE1064" s="167">
        <v>76.449912126537782</v>
      </c>
      <c r="CF1064" s="168">
        <v>0.7</v>
      </c>
      <c r="CG1064" s="169">
        <v>6.4</v>
      </c>
      <c r="CH1064" s="170">
        <v>57</v>
      </c>
      <c r="CJ1064" s="165">
        <v>38</v>
      </c>
      <c r="CK1064" s="167">
        <v>80.667838312829517</v>
      </c>
      <c r="CL1064" s="168">
        <v>0.9</v>
      </c>
      <c r="CM1064" s="169">
        <v>6.8</v>
      </c>
      <c r="CN1064" s="170">
        <v>59</v>
      </c>
      <c r="CV1064" s="165">
        <v>10</v>
      </c>
      <c r="CW1064" s="167">
        <v>99.911971830985919</v>
      </c>
      <c r="CX1064" s="168">
        <v>3</v>
      </c>
      <c r="CY1064" s="169">
        <v>11</v>
      </c>
      <c r="CZ1064" s="170">
        <v>80</v>
      </c>
    </row>
    <row r="1065" spans="17:110" ht="13.8" hidden="1" thickBot="1" x14ac:dyDescent="0.3">
      <c r="AB1065" s="165">
        <v>51</v>
      </c>
      <c r="AC1065" s="167">
        <v>25.746924428822492</v>
      </c>
      <c r="AD1065" s="168">
        <v>-0.7</v>
      </c>
      <c r="AE1065" s="169">
        <v>3.6</v>
      </c>
      <c r="AF1065" s="170">
        <v>43</v>
      </c>
      <c r="AG1065" s="20">
        <f t="shared" si="8"/>
        <v>32</v>
      </c>
      <c r="AH1065" s="165">
        <v>16</v>
      </c>
      <c r="AI1065" s="167">
        <v>88.692579505300344</v>
      </c>
      <c r="AJ1065" s="168">
        <v>1.2</v>
      </c>
      <c r="AK1065" s="169">
        <v>7.4</v>
      </c>
      <c r="AL1065" s="170">
        <v>62</v>
      </c>
      <c r="AN1065" s="165">
        <v>43</v>
      </c>
      <c r="AO1065" s="167">
        <v>30.457746478873236</v>
      </c>
      <c r="AP1065" s="168">
        <v>-0.5</v>
      </c>
      <c r="AQ1065" s="169">
        <v>4</v>
      </c>
      <c r="AR1065" s="170">
        <v>45</v>
      </c>
      <c r="AT1065" s="165">
        <v>52</v>
      </c>
      <c r="AU1065" s="167">
        <v>6.854130052724078</v>
      </c>
      <c r="AV1065" s="168">
        <v>-1.5</v>
      </c>
      <c r="AW1065" s="169">
        <v>2</v>
      </c>
      <c r="AX1065" s="170">
        <v>35</v>
      </c>
      <c r="AY1065" s="20">
        <f t="shared" si="12"/>
        <v>6</v>
      </c>
      <c r="AZ1065" s="165">
        <v>3</v>
      </c>
      <c r="BA1065" s="171">
        <v>4.6572934973637956</v>
      </c>
      <c r="BB1065" s="168">
        <v>-1.7</v>
      </c>
      <c r="BC1065" s="169">
        <v>1.6</v>
      </c>
      <c r="BD1065" s="170">
        <v>33</v>
      </c>
      <c r="BK1065" s="20">
        <f t="shared" si="10"/>
        <v>68</v>
      </c>
      <c r="BL1065" s="165">
        <v>6.8</v>
      </c>
      <c r="BM1065" s="167">
        <v>94.434628975265028</v>
      </c>
      <c r="BN1065" s="168">
        <v>1.6</v>
      </c>
      <c r="BO1065" s="169">
        <v>8.1999999999999993</v>
      </c>
      <c r="BP1065" s="170">
        <v>66</v>
      </c>
      <c r="BX1065" s="165">
        <v>4</v>
      </c>
      <c r="BY1065" s="167">
        <v>5.545774647887324</v>
      </c>
      <c r="BZ1065" s="168">
        <v>-1.6</v>
      </c>
      <c r="CA1065" s="169">
        <v>1.8</v>
      </c>
      <c r="CB1065" s="170">
        <v>34</v>
      </c>
      <c r="CD1065" s="165">
        <v>38</v>
      </c>
      <c r="CE1065" s="167">
        <v>78.9103690685413</v>
      </c>
      <c r="CF1065" s="168">
        <v>0.8</v>
      </c>
      <c r="CG1065" s="169">
        <v>6.6</v>
      </c>
      <c r="CH1065" s="170">
        <v>58</v>
      </c>
      <c r="CJ1065" s="165">
        <v>39</v>
      </c>
      <c r="CK1065" s="167">
        <v>84.094903339191561</v>
      </c>
      <c r="CL1065" s="168">
        <v>1</v>
      </c>
      <c r="CM1065" s="169">
        <v>7</v>
      </c>
      <c r="CN1065" s="170">
        <v>60</v>
      </c>
      <c r="CV1065" s="172">
        <v>9</v>
      </c>
      <c r="CW1065" s="173">
        <v>99.911971830985919</v>
      </c>
      <c r="CX1065" s="174">
        <v>3</v>
      </c>
      <c r="CY1065" s="175">
        <v>11</v>
      </c>
      <c r="CZ1065" s="176">
        <v>80</v>
      </c>
      <c r="DB1065" s="138" t="s">
        <v>114</v>
      </c>
      <c r="DC1065" s="139"/>
      <c r="DD1065" s="139"/>
      <c r="DE1065" s="140" t="s">
        <v>215</v>
      </c>
      <c r="DF1065" s="141">
        <v>419</v>
      </c>
    </row>
    <row r="1066" spans="17:110" ht="13.8" hidden="1" thickBot="1" x14ac:dyDescent="0.3">
      <c r="AB1066" s="165">
        <v>52</v>
      </c>
      <c r="AC1066" s="167">
        <v>28.998242530755714</v>
      </c>
      <c r="AD1066" s="168">
        <v>-0.6</v>
      </c>
      <c r="AE1066" s="169">
        <v>3.8</v>
      </c>
      <c r="AF1066" s="170">
        <v>44</v>
      </c>
      <c r="AG1066" s="20">
        <f t="shared" si="8"/>
        <v>33</v>
      </c>
      <c r="AH1066" s="165">
        <v>16.5</v>
      </c>
      <c r="AI1066" s="167">
        <v>91.431095406360413</v>
      </c>
      <c r="AJ1066" s="168">
        <v>1.4</v>
      </c>
      <c r="AK1066" s="169">
        <v>7.8</v>
      </c>
      <c r="AL1066" s="170">
        <v>64</v>
      </c>
      <c r="AN1066" s="165">
        <v>44</v>
      </c>
      <c r="AO1066" s="167">
        <v>32.83450704225352</v>
      </c>
      <c r="AP1066" s="168">
        <v>-0.4</v>
      </c>
      <c r="AQ1066" s="169">
        <v>4.2</v>
      </c>
      <c r="AR1066" s="170">
        <v>46</v>
      </c>
      <c r="AT1066" s="165">
        <v>53</v>
      </c>
      <c r="AU1066" s="167">
        <v>7.381370826010544</v>
      </c>
      <c r="AV1066" s="168">
        <v>-1.4</v>
      </c>
      <c r="AW1066" s="169">
        <v>2.2000000000000002</v>
      </c>
      <c r="AX1066" s="170">
        <v>36</v>
      </c>
      <c r="AY1066" s="20">
        <f t="shared" si="12"/>
        <v>5</v>
      </c>
      <c r="AZ1066" s="165">
        <v>2.5</v>
      </c>
      <c r="BA1066" s="171">
        <v>8.6994727592267136</v>
      </c>
      <c r="BB1066" s="168">
        <v>-1.4</v>
      </c>
      <c r="BC1066" s="169">
        <v>2.2000000000000002</v>
      </c>
      <c r="BD1066" s="170">
        <v>36</v>
      </c>
      <c r="BK1066" s="20">
        <f t="shared" si="10"/>
        <v>67</v>
      </c>
      <c r="BL1066" s="165">
        <v>6.7</v>
      </c>
      <c r="BM1066" s="167">
        <v>95.406360424028264</v>
      </c>
      <c r="BN1066" s="168">
        <v>1.7</v>
      </c>
      <c r="BO1066" s="169">
        <v>8.4</v>
      </c>
      <c r="BP1066" s="170">
        <v>67</v>
      </c>
      <c r="BX1066" s="165">
        <v>3</v>
      </c>
      <c r="BY1066" s="167">
        <v>8.8028169014084501</v>
      </c>
      <c r="BZ1066" s="168">
        <v>-1.4</v>
      </c>
      <c r="CA1066" s="169">
        <v>2.2000000000000002</v>
      </c>
      <c r="CB1066" s="170">
        <v>36</v>
      </c>
      <c r="CD1066" s="165">
        <v>39</v>
      </c>
      <c r="CE1066" s="167">
        <v>81.107205623901578</v>
      </c>
      <c r="CF1066" s="168">
        <v>0.9</v>
      </c>
      <c r="CG1066" s="169">
        <v>6.8</v>
      </c>
      <c r="CH1066" s="170">
        <v>59</v>
      </c>
      <c r="CJ1066" s="165">
        <v>40</v>
      </c>
      <c r="CK1066" s="167">
        <v>86.7311072056239</v>
      </c>
      <c r="CL1066" s="168">
        <v>1.1000000000000001</v>
      </c>
      <c r="CM1066" s="169">
        <v>7.2</v>
      </c>
      <c r="CN1066" s="170">
        <v>61</v>
      </c>
      <c r="CP1066" s="138" t="s">
        <v>98</v>
      </c>
      <c r="CQ1066" s="139"/>
      <c r="CR1066" s="139"/>
      <c r="CS1066" s="140" t="s">
        <v>215</v>
      </c>
      <c r="CT1066" s="141">
        <v>569</v>
      </c>
      <c r="DB1066" s="144" t="s">
        <v>161</v>
      </c>
      <c r="DD1066" s="20" t="s">
        <v>162</v>
      </c>
      <c r="DF1066" s="145"/>
    </row>
    <row r="1067" spans="17:110" ht="13.8" hidden="1" thickBot="1" x14ac:dyDescent="0.3">
      <c r="AB1067" s="165">
        <v>53</v>
      </c>
      <c r="AC1067" s="167">
        <v>32.68892794376098</v>
      </c>
      <c r="AD1067" s="168">
        <v>-0.4</v>
      </c>
      <c r="AE1067" s="169">
        <v>4.2</v>
      </c>
      <c r="AF1067" s="170">
        <v>46</v>
      </c>
      <c r="AG1067" s="20">
        <f t="shared" si="8"/>
        <v>34</v>
      </c>
      <c r="AH1067" s="165">
        <v>17</v>
      </c>
      <c r="AI1067" s="167">
        <v>93.904593639575978</v>
      </c>
      <c r="AJ1067" s="168">
        <v>1.5</v>
      </c>
      <c r="AK1067" s="169">
        <v>8</v>
      </c>
      <c r="AL1067" s="170">
        <v>65</v>
      </c>
      <c r="AN1067" s="165">
        <v>45</v>
      </c>
      <c r="AO1067" s="167">
        <v>34.947183098591552</v>
      </c>
      <c r="AP1067" s="168">
        <v>-0.4</v>
      </c>
      <c r="AQ1067" s="169">
        <v>4.2</v>
      </c>
      <c r="AR1067" s="170">
        <v>46</v>
      </c>
      <c r="AT1067" s="165">
        <v>54</v>
      </c>
      <c r="AU1067" s="167">
        <v>8.0843585237258342</v>
      </c>
      <c r="AV1067" s="168">
        <v>-1.4</v>
      </c>
      <c r="AW1067" s="169">
        <v>2.2000000000000002</v>
      </c>
      <c r="AX1067" s="170">
        <v>36</v>
      </c>
      <c r="AY1067" s="20">
        <f t="shared" si="12"/>
        <v>4</v>
      </c>
      <c r="AZ1067" s="165">
        <v>2</v>
      </c>
      <c r="BA1067" s="171">
        <v>17.04745166959578</v>
      </c>
      <c r="BB1067" s="168">
        <v>-1</v>
      </c>
      <c r="BC1067" s="169">
        <v>3</v>
      </c>
      <c r="BD1067" s="170">
        <v>40</v>
      </c>
      <c r="BF1067" s="138" t="s">
        <v>53</v>
      </c>
      <c r="BG1067" s="139"/>
      <c r="BH1067" s="139"/>
      <c r="BI1067" s="140" t="s">
        <v>180</v>
      </c>
      <c r="BJ1067" s="141">
        <v>563</v>
      </c>
      <c r="BK1067" s="20">
        <f t="shared" si="10"/>
        <v>66</v>
      </c>
      <c r="BL1067" s="165">
        <v>6.6</v>
      </c>
      <c r="BM1067" s="167">
        <v>96.024734982332163</v>
      </c>
      <c r="BN1067" s="168">
        <v>1.8</v>
      </c>
      <c r="BO1067" s="169">
        <v>8.6</v>
      </c>
      <c r="BP1067" s="170">
        <v>68</v>
      </c>
      <c r="BX1067" s="165">
        <v>2</v>
      </c>
      <c r="BY1067" s="167">
        <v>15.845070422535212</v>
      </c>
      <c r="BZ1067" s="168">
        <v>-1</v>
      </c>
      <c r="CA1067" s="169">
        <v>3</v>
      </c>
      <c r="CB1067" s="170">
        <v>40</v>
      </c>
      <c r="CD1067" s="165">
        <v>40</v>
      </c>
      <c r="CE1067" s="167">
        <v>83.743409490333917</v>
      </c>
      <c r="CF1067" s="168">
        <v>1</v>
      </c>
      <c r="CG1067" s="169">
        <v>7</v>
      </c>
      <c r="CH1067" s="170">
        <v>60</v>
      </c>
      <c r="CJ1067" s="165">
        <v>41</v>
      </c>
      <c r="CK1067" s="167">
        <v>89.103690685413</v>
      </c>
      <c r="CL1067" s="168">
        <v>1.2</v>
      </c>
      <c r="CM1067" s="169">
        <v>7.4</v>
      </c>
      <c r="CN1067" s="170">
        <v>62</v>
      </c>
      <c r="CP1067" s="144" t="s">
        <v>161</v>
      </c>
      <c r="CT1067" s="145"/>
      <c r="DB1067" s="147" t="s">
        <v>254</v>
      </c>
      <c r="DC1067" s="148"/>
      <c r="DD1067" s="148"/>
      <c r="DE1067" s="148"/>
      <c r="DF1067" s="149"/>
    </row>
    <row r="1068" spans="17:110" ht="13.8" hidden="1" thickBot="1" x14ac:dyDescent="0.3">
      <c r="Q1068" s="11" t="e">
        <f>$F45-22.46*$R$1031-2.53*$R$1030+2</f>
        <v>#REF!</v>
      </c>
      <c r="R1068" s="11" t="e">
        <f>$F45-22.46*$R$1031-2.53*$R$1030-2</f>
        <v>#REF!</v>
      </c>
      <c r="S1068" s="178" t="e">
        <f>IF(T1068&lt;11,11,IF(T1068&gt;73,73,T1068))</f>
        <v>#REF!</v>
      </c>
      <c r="T1068" s="11" t="e">
        <f>IF($F$43="A",Q1068,IF($F$43="B",R1068,""))</f>
        <v>#REF!</v>
      </c>
      <c r="U1068" s="147" t="s">
        <v>187</v>
      </c>
      <c r="AB1068" s="165">
        <v>54</v>
      </c>
      <c r="AC1068" s="167">
        <v>36.7311072056239</v>
      </c>
      <c r="AD1068" s="168">
        <v>-0.3</v>
      </c>
      <c r="AE1068" s="169">
        <v>4.4000000000000004</v>
      </c>
      <c r="AF1068" s="170">
        <v>47</v>
      </c>
      <c r="AG1068" s="20">
        <f t="shared" si="8"/>
        <v>35</v>
      </c>
      <c r="AH1068" s="165">
        <v>17.5</v>
      </c>
      <c r="AI1068" s="167">
        <v>95.759717314487631</v>
      </c>
      <c r="AJ1068" s="168">
        <v>1.7</v>
      </c>
      <c r="AK1068" s="169">
        <v>8.4</v>
      </c>
      <c r="AL1068" s="170">
        <v>67</v>
      </c>
      <c r="AN1068" s="165">
        <v>46</v>
      </c>
      <c r="AO1068" s="167">
        <v>37.5</v>
      </c>
      <c r="AP1068" s="168">
        <v>-0.3</v>
      </c>
      <c r="AQ1068" s="169">
        <v>4.4000000000000004</v>
      </c>
      <c r="AR1068" s="170">
        <v>47</v>
      </c>
      <c r="AT1068" s="165">
        <v>55</v>
      </c>
      <c r="AU1068" s="167">
        <v>8.4358523725834793</v>
      </c>
      <c r="AV1068" s="168">
        <v>-1.4</v>
      </c>
      <c r="AW1068" s="169">
        <v>2.2000000000000002</v>
      </c>
      <c r="AX1068" s="170">
        <v>36</v>
      </c>
      <c r="AY1068" s="20">
        <f t="shared" si="12"/>
        <v>3</v>
      </c>
      <c r="AZ1068" s="165">
        <v>1.5</v>
      </c>
      <c r="BA1068" s="171">
        <v>28.910369068541304</v>
      </c>
      <c r="BB1068" s="168">
        <v>-0.6</v>
      </c>
      <c r="BC1068" s="169">
        <v>3.8</v>
      </c>
      <c r="BD1068" s="170">
        <v>44</v>
      </c>
      <c r="BF1068" s="144" t="s">
        <v>161</v>
      </c>
      <c r="BJ1068" s="145"/>
      <c r="BK1068" s="20">
        <f t="shared" si="10"/>
        <v>65</v>
      </c>
      <c r="BL1068" s="165">
        <v>6.5</v>
      </c>
      <c r="BM1068" s="167">
        <v>96.554770318021198</v>
      </c>
      <c r="BN1068" s="168">
        <v>1.8</v>
      </c>
      <c r="BO1068" s="169">
        <v>8.6</v>
      </c>
      <c r="BP1068" s="170">
        <v>68</v>
      </c>
      <c r="BX1068" s="165">
        <v>1</v>
      </c>
      <c r="BY1068" s="167">
        <v>32.394366197183103</v>
      </c>
      <c r="BZ1068" s="168">
        <v>-0.5</v>
      </c>
      <c r="CA1068" s="169">
        <v>4</v>
      </c>
      <c r="CB1068" s="170">
        <v>45</v>
      </c>
      <c r="CD1068" s="165">
        <v>41</v>
      </c>
      <c r="CE1068" s="167">
        <v>86.203866432337435</v>
      </c>
      <c r="CF1068" s="168">
        <v>1.1000000000000001</v>
      </c>
      <c r="CG1068" s="169">
        <v>7.2</v>
      </c>
      <c r="CH1068" s="170">
        <v>61</v>
      </c>
      <c r="CJ1068" s="165">
        <v>42</v>
      </c>
      <c r="CK1068" s="167">
        <v>90.685413005272409</v>
      </c>
      <c r="CL1068" s="168">
        <v>1.3</v>
      </c>
      <c r="CM1068" s="169">
        <v>7.6</v>
      </c>
      <c r="CN1068" s="170">
        <v>63</v>
      </c>
      <c r="CP1068" s="147" t="s">
        <v>245</v>
      </c>
      <c r="CQ1068" s="148"/>
      <c r="CR1068" s="148"/>
      <c r="CS1068" s="148"/>
      <c r="CT1068" s="149"/>
      <c r="CV1068" s="138" t="s">
        <v>102</v>
      </c>
      <c r="CW1068" s="139"/>
      <c r="CX1068" s="139"/>
      <c r="CY1068" s="140" t="s">
        <v>215</v>
      </c>
      <c r="CZ1068" s="141">
        <v>568</v>
      </c>
      <c r="DB1068" s="150" t="s">
        <v>164</v>
      </c>
      <c r="DC1068" s="151" t="s">
        <v>80</v>
      </c>
      <c r="DD1068" s="152"/>
      <c r="DE1068" s="152"/>
      <c r="DF1068" s="153"/>
    </row>
    <row r="1069" spans="17:110" ht="13.15" hidden="1" thickBot="1" x14ac:dyDescent="0.25">
      <c r="S1069" s="178" t="e">
        <f>IF(T1069&lt;0,0,IF(T1069&gt;13,13,T1069))</f>
        <v>#REF!</v>
      </c>
      <c r="T1069" s="11" t="e">
        <f>$F46+0.06*$R$1029-2.22*$R$1030</f>
        <v>#REF!</v>
      </c>
      <c r="U1069" s="147" t="s">
        <v>305</v>
      </c>
      <c r="AB1069" s="165">
        <v>55</v>
      </c>
      <c r="AC1069" s="167">
        <v>41.388400702987695</v>
      </c>
      <c r="AD1069" s="168">
        <v>-0.2</v>
      </c>
      <c r="AE1069" s="169">
        <v>4.5999999999999996</v>
      </c>
      <c r="AF1069" s="170">
        <v>48</v>
      </c>
      <c r="AG1069" s="20">
        <f t="shared" si="8"/>
        <v>36</v>
      </c>
      <c r="AH1069" s="165">
        <v>18</v>
      </c>
      <c r="AI1069" s="167">
        <v>96.908127208480565</v>
      </c>
      <c r="AJ1069" s="168">
        <v>1.9</v>
      </c>
      <c r="AK1069" s="169">
        <v>8.8000000000000007</v>
      </c>
      <c r="AL1069" s="170">
        <v>69</v>
      </c>
      <c r="AN1069" s="165">
        <v>47</v>
      </c>
      <c r="AO1069" s="167">
        <v>39.700704225352112</v>
      </c>
      <c r="AP1069" s="168">
        <v>-0.3</v>
      </c>
      <c r="AQ1069" s="169">
        <v>4.4000000000000004</v>
      </c>
      <c r="AR1069" s="170">
        <v>47</v>
      </c>
      <c r="AT1069" s="165">
        <v>56</v>
      </c>
      <c r="AU1069" s="167">
        <v>9.1388400702987695</v>
      </c>
      <c r="AV1069" s="168">
        <v>-1.3</v>
      </c>
      <c r="AW1069" s="169">
        <v>2.4</v>
      </c>
      <c r="AX1069" s="170">
        <v>37</v>
      </c>
      <c r="AY1069" s="20">
        <f t="shared" si="12"/>
        <v>2</v>
      </c>
      <c r="AZ1069" s="165">
        <v>1</v>
      </c>
      <c r="BA1069" s="171">
        <v>45.430579964850615</v>
      </c>
      <c r="BB1069" s="168">
        <v>-0.1</v>
      </c>
      <c r="BC1069" s="169">
        <v>4.8</v>
      </c>
      <c r="BD1069" s="170">
        <v>49</v>
      </c>
      <c r="BF1069" s="147"/>
      <c r="BG1069" s="148"/>
      <c r="BH1069" s="179" t="s">
        <v>170</v>
      </c>
      <c r="BI1069" s="148"/>
      <c r="BJ1069" s="149"/>
      <c r="BK1069" s="20">
        <f t="shared" si="10"/>
        <v>64</v>
      </c>
      <c r="BL1069" s="165">
        <v>6.4</v>
      </c>
      <c r="BM1069" s="167">
        <v>97.084805653710248</v>
      </c>
      <c r="BN1069" s="168">
        <v>1.9</v>
      </c>
      <c r="BO1069" s="169">
        <v>8.8000000000000007</v>
      </c>
      <c r="BP1069" s="170">
        <v>69</v>
      </c>
      <c r="BX1069" s="172">
        <v>0</v>
      </c>
      <c r="BY1069" s="173">
        <v>71.654929577464785</v>
      </c>
      <c r="BZ1069" s="174">
        <v>0.6</v>
      </c>
      <c r="CA1069" s="175">
        <v>6.2</v>
      </c>
      <c r="CB1069" s="176">
        <v>56</v>
      </c>
      <c r="CD1069" s="165">
        <v>42</v>
      </c>
      <c r="CE1069" s="167">
        <v>88.312829525483309</v>
      </c>
      <c r="CF1069" s="168">
        <v>1.2</v>
      </c>
      <c r="CG1069" s="169">
        <v>7.4</v>
      </c>
      <c r="CH1069" s="170">
        <v>62</v>
      </c>
      <c r="CJ1069" s="165">
        <v>43</v>
      </c>
      <c r="CK1069" s="167">
        <v>92.1792618629174</v>
      </c>
      <c r="CL1069" s="168">
        <v>1.4</v>
      </c>
      <c r="CM1069" s="169">
        <v>7.8</v>
      </c>
      <c r="CN1069" s="170">
        <v>64</v>
      </c>
      <c r="CP1069" s="150" t="s">
        <v>164</v>
      </c>
      <c r="CQ1069" s="151" t="s">
        <v>101</v>
      </c>
      <c r="CR1069" s="152"/>
      <c r="CS1069" s="152"/>
      <c r="CT1069" s="153"/>
      <c r="CV1069" s="144" t="s">
        <v>161</v>
      </c>
      <c r="CZ1069" s="145"/>
      <c r="DB1069" s="155" t="s">
        <v>10</v>
      </c>
      <c r="DC1069" s="158" t="s">
        <v>13</v>
      </c>
      <c r="DD1069" s="156" t="s">
        <v>14</v>
      </c>
      <c r="DE1069" s="156" t="s">
        <v>15</v>
      </c>
      <c r="DF1069" s="159" t="s">
        <v>16</v>
      </c>
    </row>
    <row r="1070" spans="17:110" ht="13.15" hidden="1" thickBot="1" x14ac:dyDescent="0.25">
      <c r="S1070" s="178" t="e">
        <f>IF(T1070&lt;2.5,2.5,IF(T1070&gt;15,15,T1070))</f>
        <v>#REF!</v>
      </c>
      <c r="T1070" s="11" t="e">
        <f>$F47-5.4*$R$1031-0.55*$R$1030</f>
        <v>#REF!</v>
      </c>
      <c r="U1070" s="147" t="s">
        <v>189</v>
      </c>
      <c r="AB1070" s="165">
        <v>56</v>
      </c>
      <c r="AC1070" s="167">
        <v>46.309314586994724</v>
      </c>
      <c r="AD1070" s="168">
        <v>-0.1</v>
      </c>
      <c r="AE1070" s="169">
        <v>4.8</v>
      </c>
      <c r="AF1070" s="170">
        <v>49</v>
      </c>
      <c r="AG1070" s="20">
        <f t="shared" si="8"/>
        <v>37</v>
      </c>
      <c r="AH1070" s="165">
        <v>18.5</v>
      </c>
      <c r="AI1070" s="167">
        <v>97.703180212014132</v>
      </c>
      <c r="AJ1070" s="168">
        <v>2</v>
      </c>
      <c r="AK1070" s="169">
        <v>9</v>
      </c>
      <c r="AL1070" s="170">
        <v>70</v>
      </c>
      <c r="AN1070" s="165">
        <v>48</v>
      </c>
      <c r="AO1070" s="167">
        <v>42.869718309859159</v>
      </c>
      <c r="AP1070" s="168">
        <v>-0.2</v>
      </c>
      <c r="AQ1070" s="169">
        <v>4.5999999999999996</v>
      </c>
      <c r="AR1070" s="170">
        <v>48</v>
      </c>
      <c r="AT1070" s="165">
        <v>57</v>
      </c>
      <c r="AU1070" s="167">
        <v>9.5782073813708255</v>
      </c>
      <c r="AV1070" s="168">
        <v>-1.3</v>
      </c>
      <c r="AW1070" s="169">
        <v>2.4</v>
      </c>
      <c r="AX1070" s="170">
        <v>37</v>
      </c>
      <c r="AY1070" s="20">
        <f t="shared" si="12"/>
        <v>1</v>
      </c>
      <c r="AZ1070" s="165">
        <v>0.5</v>
      </c>
      <c r="BA1070" s="171">
        <v>65.37785588752196</v>
      </c>
      <c r="BB1070" s="168">
        <v>0.4</v>
      </c>
      <c r="BC1070" s="169">
        <v>5.8</v>
      </c>
      <c r="BD1070" s="170">
        <v>54</v>
      </c>
      <c r="BF1070" s="150" t="s">
        <v>164</v>
      </c>
      <c r="BG1070" s="151" t="s">
        <v>82</v>
      </c>
      <c r="BH1070" s="152"/>
      <c r="BI1070" s="152"/>
      <c r="BJ1070" s="153"/>
      <c r="BK1070" s="20">
        <f t="shared" si="10"/>
        <v>63</v>
      </c>
      <c r="BL1070" s="165">
        <v>6.3</v>
      </c>
      <c r="BM1070" s="167">
        <v>97.526501766784463</v>
      </c>
      <c r="BN1070" s="168">
        <v>2</v>
      </c>
      <c r="BO1070" s="169">
        <v>9</v>
      </c>
      <c r="BP1070" s="170">
        <v>70</v>
      </c>
      <c r="CD1070" s="165">
        <v>43</v>
      </c>
      <c r="CE1070" s="167">
        <v>90.246045694200347</v>
      </c>
      <c r="CF1070" s="168">
        <v>1.3</v>
      </c>
      <c r="CG1070" s="169">
        <v>7.6</v>
      </c>
      <c r="CH1070" s="170">
        <v>63</v>
      </c>
      <c r="CJ1070" s="165">
        <v>44</v>
      </c>
      <c r="CK1070" s="167">
        <v>94.024604569420035</v>
      </c>
      <c r="CL1070" s="168">
        <v>1.6</v>
      </c>
      <c r="CM1070" s="169">
        <v>8.1999999999999993</v>
      </c>
      <c r="CN1070" s="170">
        <v>66</v>
      </c>
      <c r="CP1070" s="155" t="s">
        <v>10</v>
      </c>
      <c r="CQ1070" s="156" t="s">
        <v>13</v>
      </c>
      <c r="CR1070" s="156" t="s">
        <v>14</v>
      </c>
      <c r="CS1070" s="156" t="s">
        <v>15</v>
      </c>
      <c r="CT1070" s="157" t="s">
        <v>16</v>
      </c>
      <c r="CV1070" s="147"/>
      <c r="CW1070" s="148"/>
      <c r="CX1070" s="179" t="s">
        <v>170</v>
      </c>
      <c r="CY1070" s="148"/>
      <c r="CZ1070" s="149"/>
      <c r="DB1070" s="160">
        <v>1</v>
      </c>
      <c r="DC1070" s="161">
        <v>0.11933174224343676</v>
      </c>
      <c r="DD1070" s="162">
        <v>-3</v>
      </c>
      <c r="DE1070" s="163">
        <v>-1</v>
      </c>
      <c r="DF1070" s="164">
        <v>20</v>
      </c>
    </row>
    <row r="1071" spans="17:110" ht="13.15" hidden="1" thickBot="1" x14ac:dyDescent="0.25">
      <c r="S1071" s="178" t="e">
        <f>IF(T1071&lt;1.5,1.5,IF(T1071&gt;15,15,T1071))</f>
        <v>#REF!</v>
      </c>
      <c r="T1071" s="11" t="e">
        <f>$F48-5.56*$R$1031-0.5*$R$1030</f>
        <v>#REF!</v>
      </c>
      <c r="U1071" s="147" t="s">
        <v>190</v>
      </c>
      <c r="AB1071" s="165">
        <v>57</v>
      </c>
      <c r="AC1071" s="167">
        <v>50.439367311072061</v>
      </c>
      <c r="AD1071" s="168">
        <v>0</v>
      </c>
      <c r="AE1071" s="169">
        <v>5</v>
      </c>
      <c r="AF1071" s="170">
        <v>50</v>
      </c>
      <c r="AG1071" s="20">
        <f t="shared" si="8"/>
        <v>38</v>
      </c>
      <c r="AH1071" s="165">
        <v>19</v>
      </c>
      <c r="AI1071" s="167">
        <v>97.96819787985865</v>
      </c>
      <c r="AJ1071" s="168">
        <v>2.1</v>
      </c>
      <c r="AK1071" s="169">
        <v>9.1999999999999993</v>
      </c>
      <c r="AL1071" s="170">
        <v>71</v>
      </c>
      <c r="AN1071" s="165">
        <v>49</v>
      </c>
      <c r="AO1071" s="167">
        <v>45.686619718309856</v>
      </c>
      <c r="AP1071" s="168">
        <v>-0.1</v>
      </c>
      <c r="AQ1071" s="169">
        <v>4.8</v>
      </c>
      <c r="AR1071" s="170">
        <v>49</v>
      </c>
      <c r="AT1071" s="165">
        <v>58</v>
      </c>
      <c r="AU1071" s="167">
        <v>10.193321616871705</v>
      </c>
      <c r="AV1071" s="168">
        <v>-1.3</v>
      </c>
      <c r="AW1071" s="169">
        <v>2.4</v>
      </c>
      <c r="AX1071" s="170">
        <v>37</v>
      </c>
      <c r="AY1071" s="20">
        <f t="shared" si="12"/>
        <v>0</v>
      </c>
      <c r="AZ1071" s="172">
        <v>0</v>
      </c>
      <c r="BA1071" s="177">
        <v>87.609841827768008</v>
      </c>
      <c r="BB1071" s="174">
        <v>1.2</v>
      </c>
      <c r="BC1071" s="175">
        <v>7.4</v>
      </c>
      <c r="BD1071" s="176">
        <v>62</v>
      </c>
      <c r="BF1071" s="155" t="s">
        <v>10</v>
      </c>
      <c r="BG1071" s="156" t="s">
        <v>13</v>
      </c>
      <c r="BH1071" s="156" t="s">
        <v>14</v>
      </c>
      <c r="BI1071" s="156" t="s">
        <v>15</v>
      </c>
      <c r="BJ1071" s="159" t="s">
        <v>16</v>
      </c>
      <c r="BK1071" s="20">
        <f t="shared" si="10"/>
        <v>62</v>
      </c>
      <c r="BL1071" s="165">
        <v>6.2</v>
      </c>
      <c r="BM1071" s="167">
        <v>98.144876325088333</v>
      </c>
      <c r="BN1071" s="168">
        <v>2.1</v>
      </c>
      <c r="BO1071" s="169">
        <v>9.1999999999999993</v>
      </c>
      <c r="BP1071" s="170">
        <v>71</v>
      </c>
      <c r="CD1071" s="165">
        <v>44</v>
      </c>
      <c r="CE1071" s="167">
        <v>91.915641476274175</v>
      </c>
      <c r="CF1071" s="168">
        <v>1.4</v>
      </c>
      <c r="CG1071" s="169">
        <v>7.8</v>
      </c>
      <c r="CH1071" s="170">
        <v>64</v>
      </c>
      <c r="CJ1071" s="165">
        <v>45</v>
      </c>
      <c r="CK1071" s="167">
        <v>95.60632688927943</v>
      </c>
      <c r="CL1071" s="168">
        <v>1.7</v>
      </c>
      <c r="CM1071" s="169">
        <v>8.4</v>
      </c>
      <c r="CN1071" s="170">
        <v>67</v>
      </c>
      <c r="CP1071" s="165">
        <v>540</v>
      </c>
      <c r="CQ1071" s="167">
        <v>8.7873462214411238E-2</v>
      </c>
      <c r="CR1071" s="168">
        <v>-3</v>
      </c>
      <c r="CS1071" s="169">
        <v>-1</v>
      </c>
      <c r="CT1071" s="170">
        <v>20</v>
      </c>
      <c r="CV1071" s="150" t="s">
        <v>164</v>
      </c>
      <c r="CW1071" s="151" t="s">
        <v>104</v>
      </c>
      <c r="CX1071" s="152"/>
      <c r="CY1071" s="152"/>
      <c r="CZ1071" s="153"/>
      <c r="DB1071" s="165">
        <v>2</v>
      </c>
      <c r="DC1071" s="167">
        <v>1.0739856801909307</v>
      </c>
      <c r="DD1071" s="168">
        <v>-2.2999999999999998</v>
      </c>
      <c r="DE1071" s="169">
        <v>0.4</v>
      </c>
      <c r="DF1071" s="170">
        <v>27</v>
      </c>
    </row>
    <row r="1072" spans="17:110" ht="13.8" hidden="1" thickBot="1" x14ac:dyDescent="0.3">
      <c r="S1072" s="178" t="e">
        <f>IF(T1072&lt;6,6,IF(T1072&gt;15,15,T1072))</f>
        <v>#REF!</v>
      </c>
      <c r="T1072" s="11" t="e">
        <f>$F49-6.48*$R$1031-0.66*$R$1030</f>
        <v>#REF!</v>
      </c>
      <c r="U1072" s="147" t="s">
        <v>191</v>
      </c>
      <c r="AB1072" s="165">
        <v>58</v>
      </c>
      <c r="AC1072" s="167">
        <v>53.954305799648509</v>
      </c>
      <c r="AD1072" s="168">
        <v>0.1</v>
      </c>
      <c r="AE1072" s="169">
        <v>5.2</v>
      </c>
      <c r="AF1072" s="170">
        <v>51</v>
      </c>
      <c r="AG1072" s="20">
        <f t="shared" si="8"/>
        <v>39</v>
      </c>
      <c r="AH1072" s="165">
        <v>19.5</v>
      </c>
      <c r="AI1072" s="167">
        <v>98.321554770318016</v>
      </c>
      <c r="AJ1072" s="168">
        <v>2.1</v>
      </c>
      <c r="AK1072" s="169">
        <v>9.1999999999999993</v>
      </c>
      <c r="AL1072" s="170">
        <v>71</v>
      </c>
      <c r="AN1072" s="165">
        <v>50</v>
      </c>
      <c r="AO1072" s="167">
        <v>49.20774647887324</v>
      </c>
      <c r="AP1072" s="168">
        <v>0</v>
      </c>
      <c r="AQ1072" s="169">
        <v>5</v>
      </c>
      <c r="AR1072" s="170">
        <v>50</v>
      </c>
      <c r="AT1072" s="165">
        <v>59</v>
      </c>
      <c r="AU1072" s="167">
        <v>11.423550087873462</v>
      </c>
      <c r="AV1072" s="168">
        <v>-1.2</v>
      </c>
      <c r="AW1072" s="169">
        <v>2.6</v>
      </c>
      <c r="AX1072" s="170">
        <v>38</v>
      </c>
      <c r="BF1072" s="165">
        <v>3</v>
      </c>
      <c r="BG1072" s="167">
        <v>0.17761989342806395</v>
      </c>
      <c r="BH1072" s="168">
        <v>-2.9</v>
      </c>
      <c r="BI1072" s="169">
        <v>-0.8</v>
      </c>
      <c r="BJ1072" s="170">
        <v>21</v>
      </c>
      <c r="BK1072" s="20">
        <f t="shared" si="10"/>
        <v>61</v>
      </c>
      <c r="BL1072" s="165">
        <v>6.1</v>
      </c>
      <c r="BM1072" s="167">
        <v>98.674911660777383</v>
      </c>
      <c r="BN1072" s="168">
        <v>2.2000000000000002</v>
      </c>
      <c r="BO1072" s="169">
        <v>9.4</v>
      </c>
      <c r="BP1072" s="170">
        <v>72</v>
      </c>
      <c r="BX1072" s="138" t="s">
        <v>83</v>
      </c>
      <c r="BY1072" s="139"/>
      <c r="BZ1072" s="139"/>
      <c r="CA1072" s="140" t="s">
        <v>215</v>
      </c>
      <c r="CB1072" s="141">
        <v>568</v>
      </c>
      <c r="CD1072" s="165">
        <v>45</v>
      </c>
      <c r="CE1072" s="167">
        <v>93.49736379613357</v>
      </c>
      <c r="CF1072" s="168">
        <v>1.5</v>
      </c>
      <c r="CG1072" s="169">
        <v>8</v>
      </c>
      <c r="CH1072" s="170">
        <v>65</v>
      </c>
      <c r="CJ1072" s="165">
        <v>46</v>
      </c>
      <c r="CK1072" s="167">
        <v>96.485061511423552</v>
      </c>
      <c r="CL1072" s="168">
        <v>1.8</v>
      </c>
      <c r="CM1072" s="169">
        <v>8.6</v>
      </c>
      <c r="CN1072" s="170">
        <v>68</v>
      </c>
      <c r="CP1072" s="165">
        <v>539</v>
      </c>
      <c r="CQ1072" s="167">
        <v>0.26362038664323373</v>
      </c>
      <c r="CR1072" s="168">
        <v>-2.8</v>
      </c>
      <c r="CS1072" s="169">
        <v>-0.6</v>
      </c>
      <c r="CT1072" s="170">
        <v>22</v>
      </c>
      <c r="CV1072" s="155" t="s">
        <v>10</v>
      </c>
      <c r="CW1072" s="156" t="s">
        <v>13</v>
      </c>
      <c r="CX1072" s="156" t="s">
        <v>14</v>
      </c>
      <c r="CY1072" s="156" t="s">
        <v>15</v>
      </c>
      <c r="CZ1072" s="159" t="s">
        <v>16</v>
      </c>
      <c r="DB1072" s="165">
        <v>3</v>
      </c>
      <c r="DC1072" s="167">
        <v>5.9665871121718377</v>
      </c>
      <c r="DD1072" s="168">
        <v>-1.6</v>
      </c>
      <c r="DE1072" s="169">
        <v>1.8</v>
      </c>
      <c r="DF1072" s="170">
        <v>34</v>
      </c>
    </row>
    <row r="1073" spans="19:110" ht="13.15" hidden="1" thickBot="1" x14ac:dyDescent="0.25">
      <c r="S1073" s="178" t="e">
        <f>IF(T1073&lt;1,1,IF(T1073&gt;15,15,T1073))</f>
        <v>#REF!</v>
      </c>
      <c r="T1073" s="11" t="e">
        <f>$F50-6*$R$1031-0.6*$R$1030</f>
        <v>#REF!</v>
      </c>
      <c r="U1073" s="147" t="s">
        <v>192</v>
      </c>
      <c r="AB1073" s="165">
        <v>59</v>
      </c>
      <c r="AC1073" s="167">
        <v>58.17223198594025</v>
      </c>
      <c r="AD1073" s="168">
        <v>0.2</v>
      </c>
      <c r="AE1073" s="169">
        <v>5.4</v>
      </c>
      <c r="AF1073" s="170">
        <v>52</v>
      </c>
      <c r="AG1073" s="20">
        <f t="shared" si="8"/>
        <v>40</v>
      </c>
      <c r="AH1073" s="165">
        <v>20</v>
      </c>
      <c r="AI1073" s="167">
        <v>98.851590106007066</v>
      </c>
      <c r="AJ1073" s="168">
        <v>2.2999999999999998</v>
      </c>
      <c r="AK1073" s="169">
        <v>9.6</v>
      </c>
      <c r="AL1073" s="170">
        <v>73</v>
      </c>
      <c r="AN1073" s="165">
        <v>51</v>
      </c>
      <c r="AO1073" s="167">
        <v>51.672535211267601</v>
      </c>
      <c r="AP1073" s="168">
        <v>0</v>
      </c>
      <c r="AQ1073" s="169">
        <v>5</v>
      </c>
      <c r="AR1073" s="170">
        <v>50</v>
      </c>
      <c r="AT1073" s="165">
        <v>60</v>
      </c>
      <c r="AU1073" s="167">
        <v>12.214411247803165</v>
      </c>
      <c r="AV1073" s="168">
        <v>-1.2</v>
      </c>
      <c r="AW1073" s="169">
        <v>2.6</v>
      </c>
      <c r="AX1073" s="170">
        <v>38</v>
      </c>
      <c r="BF1073" s="165">
        <v>2</v>
      </c>
      <c r="BG1073" s="167">
        <v>3.1083481349911191</v>
      </c>
      <c r="BH1073" s="168">
        <v>-1.9</v>
      </c>
      <c r="BI1073" s="169">
        <v>1.2</v>
      </c>
      <c r="BJ1073" s="170">
        <v>31</v>
      </c>
      <c r="BK1073" s="20">
        <f t="shared" si="10"/>
        <v>60</v>
      </c>
      <c r="BL1073" s="165">
        <v>6</v>
      </c>
      <c r="BM1073" s="167">
        <v>99.028268551236749</v>
      </c>
      <c r="BN1073" s="168">
        <v>2.2999999999999998</v>
      </c>
      <c r="BO1073" s="169">
        <v>9.6</v>
      </c>
      <c r="BP1073" s="170">
        <v>73</v>
      </c>
      <c r="BX1073" s="144" t="s">
        <v>161</v>
      </c>
      <c r="CB1073" s="145"/>
      <c r="CD1073" s="165">
        <v>46</v>
      </c>
      <c r="CE1073" s="167">
        <v>94.903339191564157</v>
      </c>
      <c r="CF1073" s="168">
        <v>1.6</v>
      </c>
      <c r="CG1073" s="169">
        <v>8.1999999999999993</v>
      </c>
      <c r="CH1073" s="170">
        <v>66</v>
      </c>
      <c r="CJ1073" s="165">
        <v>47</v>
      </c>
      <c r="CK1073" s="167">
        <v>97.188049209138839</v>
      </c>
      <c r="CL1073" s="168">
        <v>1.9</v>
      </c>
      <c r="CM1073" s="169">
        <v>8.8000000000000007</v>
      </c>
      <c r="CN1073" s="170">
        <v>69</v>
      </c>
      <c r="CP1073" s="165">
        <v>538</v>
      </c>
      <c r="CQ1073" s="167">
        <v>0.26362038664323373</v>
      </c>
      <c r="CR1073" s="168">
        <v>-2.8</v>
      </c>
      <c r="CS1073" s="169">
        <v>-0.6</v>
      </c>
      <c r="CT1073" s="170">
        <v>22</v>
      </c>
      <c r="CV1073" s="160">
        <v>3</v>
      </c>
      <c r="CW1073" s="161">
        <v>0.528169014084507</v>
      </c>
      <c r="CX1073" s="162">
        <v>-2.6</v>
      </c>
      <c r="CY1073" s="163">
        <v>-0.2</v>
      </c>
      <c r="CZ1073" s="164">
        <v>24</v>
      </c>
      <c r="DB1073" s="165">
        <v>4</v>
      </c>
      <c r="DC1073" s="167">
        <v>30.190930787589497</v>
      </c>
      <c r="DD1073" s="168">
        <v>-0.5</v>
      </c>
      <c r="DE1073" s="169">
        <v>4</v>
      </c>
      <c r="DF1073" s="170">
        <v>45</v>
      </c>
    </row>
    <row r="1074" spans="19:110" ht="13.8" hidden="1" thickBot="1" x14ac:dyDescent="0.3">
      <c r="S1074" s="178" t="e">
        <f>IF(T1074&lt;0,0,IF(T1074&gt;13,13,T1074))</f>
        <v>#REF!</v>
      </c>
      <c r="T1074" s="11" t="e">
        <f>$F51+0.05*$R$1029-2.21*$R$1030</f>
        <v>#REF!</v>
      </c>
      <c r="U1074" s="147" t="s">
        <v>303</v>
      </c>
      <c r="AB1074" s="165">
        <v>60</v>
      </c>
      <c r="AC1074" s="167">
        <v>62.741652021089635</v>
      </c>
      <c r="AD1074" s="168">
        <v>0.3</v>
      </c>
      <c r="AE1074" s="169">
        <v>5.6</v>
      </c>
      <c r="AF1074" s="170">
        <v>53</v>
      </c>
      <c r="AG1074" s="20">
        <f t="shared" si="8"/>
        <v>41</v>
      </c>
      <c r="AH1074" s="165">
        <v>20.5</v>
      </c>
      <c r="AI1074" s="167">
        <v>99.204946996466433</v>
      </c>
      <c r="AJ1074" s="168">
        <v>2.4</v>
      </c>
      <c r="AK1074" s="169">
        <v>9.8000000000000007</v>
      </c>
      <c r="AL1074" s="170">
        <v>74</v>
      </c>
      <c r="AN1074" s="165">
        <v>52</v>
      </c>
      <c r="AO1074" s="167">
        <v>55.193661971830984</v>
      </c>
      <c r="AP1074" s="168">
        <v>0.1</v>
      </c>
      <c r="AQ1074" s="169">
        <v>5.2</v>
      </c>
      <c r="AR1074" s="170">
        <v>51</v>
      </c>
      <c r="AT1074" s="165">
        <v>61</v>
      </c>
      <c r="AU1074" s="167">
        <v>13.532513181019331</v>
      </c>
      <c r="AV1074" s="168">
        <v>-1.1000000000000001</v>
      </c>
      <c r="AW1074" s="169">
        <v>2.8</v>
      </c>
      <c r="AX1074" s="170">
        <v>39</v>
      </c>
      <c r="AZ1074" s="138" t="s">
        <v>214</v>
      </c>
      <c r="BA1074" s="139"/>
      <c r="BB1074" s="139"/>
      <c r="BC1074" s="140" t="s">
        <v>215</v>
      </c>
      <c r="BD1074" s="141">
        <v>569</v>
      </c>
      <c r="BF1074" s="165">
        <v>1</v>
      </c>
      <c r="BG1074" s="167">
        <v>21.758436944937834</v>
      </c>
      <c r="BH1074" s="168">
        <v>-0.8</v>
      </c>
      <c r="BI1074" s="169">
        <v>3.4</v>
      </c>
      <c r="BJ1074" s="170">
        <v>42</v>
      </c>
      <c r="BK1074" s="20">
        <f t="shared" si="10"/>
        <v>59</v>
      </c>
      <c r="BL1074" s="165">
        <v>5.9</v>
      </c>
      <c r="BM1074" s="167">
        <v>99.381625441696116</v>
      </c>
      <c r="BN1074" s="168">
        <v>2.5</v>
      </c>
      <c r="BO1074" s="169">
        <v>10</v>
      </c>
      <c r="BP1074" s="170">
        <v>75</v>
      </c>
      <c r="BX1074" s="147" t="s">
        <v>236</v>
      </c>
      <c r="BY1074" s="148"/>
      <c r="BZ1074" s="148"/>
      <c r="CA1074" s="148"/>
      <c r="CB1074" s="149"/>
      <c r="CD1074" s="165">
        <v>47</v>
      </c>
      <c r="CE1074" s="167">
        <v>95.782073813708251</v>
      </c>
      <c r="CF1074" s="168">
        <v>1.7</v>
      </c>
      <c r="CG1074" s="169">
        <v>8.4</v>
      </c>
      <c r="CH1074" s="170">
        <v>67</v>
      </c>
      <c r="CJ1074" s="165">
        <v>48</v>
      </c>
      <c r="CK1074" s="167">
        <v>97.6274165202109</v>
      </c>
      <c r="CL1074" s="168">
        <v>2</v>
      </c>
      <c r="CM1074" s="169">
        <v>9</v>
      </c>
      <c r="CN1074" s="170">
        <v>70</v>
      </c>
      <c r="CP1074" s="165">
        <v>537</v>
      </c>
      <c r="CQ1074" s="167">
        <v>0.26362038664323373</v>
      </c>
      <c r="CR1074" s="168">
        <v>-2.8</v>
      </c>
      <c r="CS1074" s="169">
        <v>-0.6</v>
      </c>
      <c r="CT1074" s="170">
        <v>22</v>
      </c>
      <c r="CV1074" s="165">
        <v>2</v>
      </c>
      <c r="CW1074" s="167">
        <v>3.080985915492958</v>
      </c>
      <c r="CX1074" s="168">
        <v>-1.9</v>
      </c>
      <c r="CY1074" s="169">
        <v>1.2</v>
      </c>
      <c r="CZ1074" s="170">
        <v>31</v>
      </c>
      <c r="DB1074" s="165">
        <v>5</v>
      </c>
      <c r="DC1074" s="167">
        <v>68.97374701670644</v>
      </c>
      <c r="DD1074" s="168">
        <v>0.5</v>
      </c>
      <c r="DE1074" s="169">
        <v>6</v>
      </c>
      <c r="DF1074" s="170">
        <v>55</v>
      </c>
    </row>
    <row r="1075" spans="19:110" ht="13.15" hidden="1" thickBot="1" x14ac:dyDescent="0.25">
      <c r="S1075" s="178" t="e">
        <f>IF(T1075&lt;0,0,IF(T1075&gt;15,15,T1075))</f>
        <v>#REF!</v>
      </c>
      <c r="T1075" s="11" t="e">
        <f>$F52+0.08*$R$1029-3.22*$R$1030</f>
        <v>#REF!</v>
      </c>
      <c r="U1075" s="147" t="s">
        <v>385</v>
      </c>
      <c r="AB1075" s="165">
        <v>61</v>
      </c>
      <c r="AC1075" s="167">
        <v>67.750439367311074</v>
      </c>
      <c r="AD1075" s="168">
        <v>0.5</v>
      </c>
      <c r="AE1075" s="169">
        <v>6</v>
      </c>
      <c r="AF1075" s="170">
        <v>55</v>
      </c>
      <c r="AG1075" s="20">
        <f t="shared" si="8"/>
        <v>42</v>
      </c>
      <c r="AH1075" s="165">
        <v>21</v>
      </c>
      <c r="AI1075" s="167">
        <v>99.204946996466433</v>
      </c>
      <c r="AJ1075" s="168">
        <v>2.4</v>
      </c>
      <c r="AK1075" s="169">
        <v>9.8000000000000007</v>
      </c>
      <c r="AL1075" s="170">
        <v>74</v>
      </c>
      <c r="AN1075" s="165">
        <v>53</v>
      </c>
      <c r="AO1075" s="167">
        <v>58.890845070422536</v>
      </c>
      <c r="AP1075" s="168">
        <v>0.2</v>
      </c>
      <c r="AQ1075" s="169">
        <v>5.4</v>
      </c>
      <c r="AR1075" s="170">
        <v>52</v>
      </c>
      <c r="AT1075" s="165">
        <v>62</v>
      </c>
      <c r="AU1075" s="167">
        <v>14.762741652021088</v>
      </c>
      <c r="AV1075" s="168">
        <v>-1</v>
      </c>
      <c r="AW1075" s="169">
        <v>3</v>
      </c>
      <c r="AX1075" s="170">
        <v>40</v>
      </c>
      <c r="AZ1075" s="144" t="s">
        <v>161</v>
      </c>
      <c r="BB1075" s="20" t="s">
        <v>162</v>
      </c>
      <c r="BD1075" s="145"/>
      <c r="BF1075" s="172">
        <v>0</v>
      </c>
      <c r="BG1075" s="173">
        <v>68.827708703374782</v>
      </c>
      <c r="BH1075" s="174">
        <v>0.5</v>
      </c>
      <c r="BI1075" s="175">
        <v>6</v>
      </c>
      <c r="BJ1075" s="176">
        <v>55</v>
      </c>
      <c r="BK1075" s="20">
        <f t="shared" si="10"/>
        <v>58</v>
      </c>
      <c r="BL1075" s="165">
        <v>5.8</v>
      </c>
      <c r="BM1075" s="167">
        <v>99.558303886925785</v>
      </c>
      <c r="BN1075" s="168">
        <v>2.6</v>
      </c>
      <c r="BO1075" s="169">
        <v>10.199999999999999</v>
      </c>
      <c r="BP1075" s="170">
        <v>76</v>
      </c>
      <c r="BX1075" s="150" t="s">
        <v>164</v>
      </c>
      <c r="BY1075" s="151" t="s">
        <v>59</v>
      </c>
      <c r="BZ1075" s="152"/>
      <c r="CA1075" s="152"/>
      <c r="CB1075" s="153"/>
      <c r="CD1075" s="165">
        <v>48</v>
      </c>
      <c r="CE1075" s="167">
        <v>96.485061511423552</v>
      </c>
      <c r="CF1075" s="168">
        <v>1.8</v>
      </c>
      <c r="CG1075" s="169">
        <v>8.6</v>
      </c>
      <c r="CH1075" s="170">
        <v>68</v>
      </c>
      <c r="CJ1075" s="165">
        <v>49</v>
      </c>
      <c r="CK1075" s="167">
        <v>97.803163444639722</v>
      </c>
      <c r="CL1075" s="168">
        <v>2</v>
      </c>
      <c r="CM1075" s="169">
        <v>9</v>
      </c>
      <c r="CN1075" s="170">
        <v>70</v>
      </c>
      <c r="CP1075" s="165">
        <v>536</v>
      </c>
      <c r="CQ1075" s="167">
        <v>0.26362038664323373</v>
      </c>
      <c r="CR1075" s="168">
        <v>-2.8</v>
      </c>
      <c r="CS1075" s="169">
        <v>-0.6</v>
      </c>
      <c r="CT1075" s="170">
        <v>22</v>
      </c>
      <c r="CV1075" s="165">
        <v>1</v>
      </c>
      <c r="CW1075" s="167">
        <v>13.29225352112676</v>
      </c>
      <c r="CX1075" s="168">
        <v>-1.1000000000000001</v>
      </c>
      <c r="CY1075" s="169">
        <v>2.8</v>
      </c>
      <c r="CZ1075" s="170">
        <v>39</v>
      </c>
      <c r="DB1075" s="172">
        <v>6</v>
      </c>
      <c r="DC1075" s="173">
        <v>93.794749403341299</v>
      </c>
      <c r="DD1075" s="174">
        <v>1.5</v>
      </c>
      <c r="DE1075" s="175">
        <v>8</v>
      </c>
      <c r="DF1075" s="176">
        <v>65</v>
      </c>
    </row>
    <row r="1076" spans="19:110" ht="13.15" hidden="1" thickBot="1" x14ac:dyDescent="0.25">
      <c r="S1076" s="178" t="e">
        <f>IF(T1076&lt;0,0,IF(T1076&gt;15,15,T1076))</f>
        <v>#REF!</v>
      </c>
      <c r="T1076" s="11" t="e">
        <f>$F53+0.08*$R$1029-3.61*$R$1030</f>
        <v>#REF!</v>
      </c>
      <c r="U1076" s="147" t="s">
        <v>386</v>
      </c>
      <c r="AB1076" s="165">
        <v>62</v>
      </c>
      <c r="AC1076" s="167">
        <v>73.110720562390156</v>
      </c>
      <c r="AD1076" s="168">
        <v>0.6</v>
      </c>
      <c r="AE1076" s="169">
        <v>6.2</v>
      </c>
      <c r="AF1076" s="170">
        <v>56</v>
      </c>
      <c r="AG1076" s="20">
        <f t="shared" si="8"/>
        <v>43</v>
      </c>
      <c r="AH1076" s="165">
        <v>21.5</v>
      </c>
      <c r="AI1076" s="167">
        <v>99.558303886925785</v>
      </c>
      <c r="AJ1076" s="168">
        <v>2.6</v>
      </c>
      <c r="AK1076" s="169">
        <v>10.199999999999999</v>
      </c>
      <c r="AL1076" s="170">
        <v>76</v>
      </c>
      <c r="AN1076" s="165">
        <v>54</v>
      </c>
      <c r="AO1076" s="167">
        <v>61.443661971830984</v>
      </c>
      <c r="AP1076" s="168">
        <v>0.3</v>
      </c>
      <c r="AQ1076" s="169">
        <v>5.6</v>
      </c>
      <c r="AR1076" s="170">
        <v>53</v>
      </c>
      <c r="AT1076" s="165">
        <v>63</v>
      </c>
      <c r="AU1076" s="167">
        <v>16.520210896309315</v>
      </c>
      <c r="AV1076" s="168">
        <v>-1</v>
      </c>
      <c r="AW1076" s="169">
        <v>3</v>
      </c>
      <c r="AX1076" s="170">
        <v>40</v>
      </c>
      <c r="AZ1076" s="147" t="s">
        <v>218</v>
      </c>
      <c r="BA1076" s="148"/>
      <c r="BB1076" s="148"/>
      <c r="BC1076" s="148"/>
      <c r="BD1076" s="149"/>
      <c r="BK1076" s="20">
        <f t="shared" si="10"/>
        <v>57</v>
      </c>
      <c r="BL1076" s="165">
        <v>5.7</v>
      </c>
      <c r="BM1076" s="167">
        <v>99.558303886925785</v>
      </c>
      <c r="BN1076" s="168">
        <v>2.6</v>
      </c>
      <c r="BO1076" s="169">
        <v>10.199999999999999</v>
      </c>
      <c r="BP1076" s="170">
        <v>76</v>
      </c>
      <c r="BX1076" s="155" t="s">
        <v>10</v>
      </c>
      <c r="BY1076" s="156" t="s">
        <v>13</v>
      </c>
      <c r="BZ1076" s="156" t="s">
        <v>14</v>
      </c>
      <c r="CA1076" s="156" t="s">
        <v>15</v>
      </c>
      <c r="CB1076" s="158" t="s">
        <v>16</v>
      </c>
      <c r="CD1076" s="165">
        <v>49</v>
      </c>
      <c r="CE1076" s="167">
        <v>97.275922671353257</v>
      </c>
      <c r="CF1076" s="168">
        <v>1.9</v>
      </c>
      <c r="CG1076" s="169">
        <v>8.8000000000000007</v>
      </c>
      <c r="CH1076" s="170">
        <v>69</v>
      </c>
      <c r="CJ1076" s="165">
        <v>50</v>
      </c>
      <c r="CK1076" s="167">
        <v>98.154657293497365</v>
      </c>
      <c r="CL1076" s="168">
        <v>2.1</v>
      </c>
      <c r="CM1076" s="169">
        <v>9.1999999999999993</v>
      </c>
      <c r="CN1076" s="170">
        <v>71</v>
      </c>
      <c r="CP1076" s="165">
        <v>535</v>
      </c>
      <c r="CQ1076" s="167">
        <v>0.26362038664323373</v>
      </c>
      <c r="CR1076" s="168">
        <v>-2.8</v>
      </c>
      <c r="CS1076" s="169">
        <v>-0.6</v>
      </c>
      <c r="CT1076" s="170">
        <v>22</v>
      </c>
      <c r="CV1076" s="172">
        <v>0</v>
      </c>
      <c r="CW1076" s="173">
        <v>60.739436619718312</v>
      </c>
      <c r="CX1076" s="174">
        <v>0.3</v>
      </c>
      <c r="CY1076" s="175">
        <v>5.6</v>
      </c>
      <c r="CZ1076" s="176">
        <v>53</v>
      </c>
    </row>
    <row r="1077" spans="19:110" ht="13.15" hidden="1" thickBot="1" x14ac:dyDescent="0.25">
      <c r="S1077" s="178" t="e">
        <f>IF(T1077&lt;0,0,IF(T1077&gt;15,15,T1077))</f>
        <v>#REF!</v>
      </c>
      <c r="T1077" s="11" t="e">
        <f>$F54-5.47*$R$1031-0.12*$R$1032</f>
        <v>#REF!</v>
      </c>
      <c r="U1077" s="147" t="s">
        <v>387</v>
      </c>
      <c r="AB1077" s="165">
        <v>63</v>
      </c>
      <c r="AC1077" s="167">
        <v>77.943760984182774</v>
      </c>
      <c r="AD1077" s="168">
        <v>0.8</v>
      </c>
      <c r="AE1077" s="169">
        <v>6.6</v>
      </c>
      <c r="AF1077" s="170">
        <v>58</v>
      </c>
      <c r="AG1077" s="20">
        <f t="shared" si="8"/>
        <v>44</v>
      </c>
      <c r="AH1077" s="172">
        <v>22</v>
      </c>
      <c r="AI1077" s="173">
        <v>99.911660777385151</v>
      </c>
      <c r="AJ1077" s="174">
        <v>3</v>
      </c>
      <c r="AK1077" s="175">
        <v>11</v>
      </c>
      <c r="AL1077" s="176">
        <v>80</v>
      </c>
      <c r="AN1077" s="165">
        <v>55</v>
      </c>
      <c r="AO1077" s="167">
        <v>64.964788732394368</v>
      </c>
      <c r="AP1077" s="168">
        <v>0.4</v>
      </c>
      <c r="AQ1077" s="169">
        <v>5.8</v>
      </c>
      <c r="AR1077" s="170">
        <v>54</v>
      </c>
      <c r="AT1077" s="165">
        <v>64</v>
      </c>
      <c r="AU1077" s="167">
        <v>17.926186291739896</v>
      </c>
      <c r="AV1077" s="168">
        <v>-0.9</v>
      </c>
      <c r="AW1077" s="169">
        <v>3.2</v>
      </c>
      <c r="AX1077" s="170">
        <v>41</v>
      </c>
      <c r="AZ1077" s="150" t="s">
        <v>164</v>
      </c>
      <c r="BA1077" s="151" t="s">
        <v>47</v>
      </c>
      <c r="BB1077" s="152"/>
      <c r="BC1077" s="152"/>
      <c r="BD1077" s="153"/>
      <c r="BK1077" s="20">
        <f t="shared" si="10"/>
        <v>56</v>
      </c>
      <c r="BL1077" s="165">
        <v>5.6</v>
      </c>
      <c r="BM1077" s="167">
        <v>99.823321554770317</v>
      </c>
      <c r="BN1077" s="168">
        <v>2.9</v>
      </c>
      <c r="BO1077" s="169">
        <v>10.8</v>
      </c>
      <c r="BP1077" s="170">
        <v>79</v>
      </c>
      <c r="BX1077" s="160">
        <v>720</v>
      </c>
      <c r="BY1077" s="161">
        <v>0.17605633802816903</v>
      </c>
      <c r="BZ1077" s="162">
        <v>-2.9</v>
      </c>
      <c r="CA1077" s="163">
        <v>-0.8</v>
      </c>
      <c r="CB1077" s="164">
        <v>21</v>
      </c>
      <c r="CD1077" s="165">
        <v>50</v>
      </c>
      <c r="CE1077" s="167">
        <v>98.066783831282962</v>
      </c>
      <c r="CF1077" s="168">
        <v>2.1</v>
      </c>
      <c r="CG1077" s="169">
        <v>9.1999999999999993</v>
      </c>
      <c r="CH1077" s="170">
        <v>71</v>
      </c>
      <c r="CJ1077" s="165">
        <v>51</v>
      </c>
      <c r="CK1077" s="167">
        <v>98.154657293497365</v>
      </c>
      <c r="CL1077" s="168">
        <v>2.1</v>
      </c>
      <c r="CM1077" s="169">
        <v>9.1999999999999993</v>
      </c>
      <c r="CN1077" s="170">
        <v>71</v>
      </c>
      <c r="CP1077" s="165">
        <v>534</v>
      </c>
      <c r="CQ1077" s="167">
        <v>0.26362038664323373</v>
      </c>
      <c r="CR1077" s="168">
        <v>-2.8</v>
      </c>
      <c r="CS1077" s="169">
        <v>-0.6</v>
      </c>
      <c r="CT1077" s="170">
        <v>22</v>
      </c>
    </row>
    <row r="1078" spans="19:110" ht="13.8" hidden="1" thickBot="1" x14ac:dyDescent="0.3">
      <c r="S1078" s="178" t="e">
        <f>IF(T1078&lt;2.5,2.5,IF(T1078&gt;15,15,T1078))</f>
        <v>#REF!</v>
      </c>
      <c r="T1078" s="11" t="e">
        <f>$F55-5.8*$R$1031-0.132*$R$1032</f>
        <v>#REF!</v>
      </c>
      <c r="U1078" s="147" t="s">
        <v>194</v>
      </c>
      <c r="AB1078" s="165">
        <v>64</v>
      </c>
      <c r="AC1078" s="167">
        <v>82.952548330404213</v>
      </c>
      <c r="AD1078" s="168">
        <v>1</v>
      </c>
      <c r="AE1078" s="169">
        <v>7</v>
      </c>
      <c r="AF1078" s="170">
        <v>60</v>
      </c>
      <c r="AN1078" s="165">
        <v>56</v>
      </c>
      <c r="AO1078" s="167">
        <v>67.605633802816897</v>
      </c>
      <c r="AP1078" s="168">
        <v>0.5</v>
      </c>
      <c r="AQ1078" s="169">
        <v>6</v>
      </c>
      <c r="AR1078" s="170">
        <v>55</v>
      </c>
      <c r="AT1078" s="165">
        <v>65</v>
      </c>
      <c r="AU1078" s="167">
        <v>20.210896309314588</v>
      </c>
      <c r="AV1078" s="168">
        <v>-0.8</v>
      </c>
      <c r="AW1078" s="169">
        <v>3.4</v>
      </c>
      <c r="AX1078" s="170">
        <v>42</v>
      </c>
      <c r="AZ1078" s="155" t="s">
        <v>10</v>
      </c>
      <c r="BA1078" s="156" t="s">
        <v>13</v>
      </c>
      <c r="BB1078" s="156" t="s">
        <v>14</v>
      </c>
      <c r="BC1078" s="156" t="s">
        <v>15</v>
      </c>
      <c r="BD1078" s="157" t="s">
        <v>16</v>
      </c>
      <c r="BK1078" s="20">
        <f t="shared" si="10"/>
        <v>55</v>
      </c>
      <c r="BL1078" s="165">
        <v>5.5</v>
      </c>
      <c r="BM1078" s="167">
        <v>99.823321554770317</v>
      </c>
      <c r="BN1078" s="168">
        <v>2.9</v>
      </c>
      <c r="BO1078" s="169">
        <v>10.8</v>
      </c>
      <c r="BP1078" s="170">
        <v>79</v>
      </c>
      <c r="BX1078" s="165">
        <v>719</v>
      </c>
      <c r="BY1078" s="167">
        <v>0.44014084507042256</v>
      </c>
      <c r="BZ1078" s="168">
        <v>-2.6</v>
      </c>
      <c r="CA1078" s="169">
        <v>-0.2</v>
      </c>
      <c r="CB1078" s="170">
        <v>24</v>
      </c>
      <c r="CD1078" s="165">
        <v>51</v>
      </c>
      <c r="CE1078" s="167">
        <v>98.594024604569412</v>
      </c>
      <c r="CF1078" s="168">
        <v>2.2000000000000002</v>
      </c>
      <c r="CG1078" s="169">
        <v>9.4</v>
      </c>
      <c r="CH1078" s="170">
        <v>72</v>
      </c>
      <c r="CJ1078" s="165">
        <v>52</v>
      </c>
      <c r="CK1078" s="167">
        <v>98.506151142355009</v>
      </c>
      <c r="CL1078" s="168">
        <v>2.2000000000000002</v>
      </c>
      <c r="CM1078" s="169">
        <v>9.4</v>
      </c>
      <c r="CN1078" s="170">
        <v>72</v>
      </c>
      <c r="CP1078" s="165">
        <v>533</v>
      </c>
      <c r="CQ1078" s="167">
        <v>0.26362038664323373</v>
      </c>
      <c r="CR1078" s="168">
        <v>-2.8</v>
      </c>
      <c r="CS1078" s="169">
        <v>-0.6</v>
      </c>
      <c r="CT1078" s="170">
        <v>22</v>
      </c>
      <c r="DB1078" s="138" t="s">
        <v>114</v>
      </c>
      <c r="DC1078" s="139"/>
      <c r="DD1078" s="139"/>
      <c r="DE1078" s="140" t="s">
        <v>215</v>
      </c>
      <c r="DF1078" s="141">
        <v>419</v>
      </c>
    </row>
    <row r="1079" spans="19:110" ht="13.8" hidden="1" thickBot="1" x14ac:dyDescent="0.3">
      <c r="S1079" s="178" t="e">
        <f>IF(T1079&lt;-3,-3,IF(T1079&gt;5,5,T1079))</f>
        <v>#REF!</v>
      </c>
      <c r="T1079" s="11" t="e">
        <f>$F56-0.01*$R$1029</f>
        <v>#REF!</v>
      </c>
      <c r="U1079" s="147" t="s">
        <v>195</v>
      </c>
      <c r="AB1079" s="165">
        <v>65</v>
      </c>
      <c r="AC1079" s="167">
        <v>87.170474516695961</v>
      </c>
      <c r="AD1079" s="168">
        <v>1.1000000000000001</v>
      </c>
      <c r="AE1079" s="169">
        <v>7.2</v>
      </c>
      <c r="AF1079" s="170">
        <v>61</v>
      </c>
      <c r="AN1079" s="165">
        <v>57</v>
      </c>
      <c r="AO1079" s="167">
        <v>70.33450704225352</v>
      </c>
      <c r="AP1079" s="168">
        <v>0.5</v>
      </c>
      <c r="AQ1079" s="169">
        <v>6</v>
      </c>
      <c r="AR1079" s="170">
        <v>55</v>
      </c>
      <c r="AT1079" s="165">
        <v>66</v>
      </c>
      <c r="AU1079" s="167">
        <v>22.495606326889277</v>
      </c>
      <c r="AV1079" s="168">
        <v>-0.8</v>
      </c>
      <c r="AW1079" s="169">
        <v>3.4</v>
      </c>
      <c r="AX1079" s="170">
        <v>42</v>
      </c>
      <c r="AY1079" s="20">
        <f>AZ1079*2</f>
        <v>3</v>
      </c>
      <c r="AZ1079" s="160">
        <v>1.5</v>
      </c>
      <c r="BA1079" s="161">
        <v>8.7873462214411238E-2</v>
      </c>
      <c r="BB1079" s="162">
        <v>-3</v>
      </c>
      <c r="BC1079" s="163">
        <v>-1</v>
      </c>
      <c r="BD1079" s="164">
        <v>20</v>
      </c>
      <c r="BK1079" s="20">
        <f t="shared" si="10"/>
        <v>54</v>
      </c>
      <c r="BL1079" s="172">
        <v>5.4</v>
      </c>
      <c r="BM1079" s="173">
        <v>99.823321554770317</v>
      </c>
      <c r="BN1079" s="174">
        <v>2.9</v>
      </c>
      <c r="BO1079" s="175">
        <v>10.8</v>
      </c>
      <c r="BP1079" s="176">
        <v>79</v>
      </c>
      <c r="BX1079" s="165">
        <v>718</v>
      </c>
      <c r="BY1079" s="167">
        <v>0.44014084507042256</v>
      </c>
      <c r="BZ1079" s="168">
        <v>-2.6</v>
      </c>
      <c r="CA1079" s="169">
        <v>-0.2</v>
      </c>
      <c r="CB1079" s="170">
        <v>24</v>
      </c>
      <c r="CD1079" s="165">
        <v>52</v>
      </c>
      <c r="CE1079" s="167">
        <v>98.857644991212652</v>
      </c>
      <c r="CF1079" s="168">
        <v>2.2999999999999998</v>
      </c>
      <c r="CG1079" s="169">
        <v>9.6</v>
      </c>
      <c r="CH1079" s="170">
        <v>73</v>
      </c>
      <c r="CJ1079" s="165">
        <v>53</v>
      </c>
      <c r="CK1079" s="167">
        <v>98.769771528998234</v>
      </c>
      <c r="CL1079" s="168">
        <v>2.2000000000000002</v>
      </c>
      <c r="CM1079" s="169">
        <v>9.4</v>
      </c>
      <c r="CN1079" s="170">
        <v>72</v>
      </c>
      <c r="CP1079" s="165">
        <v>532</v>
      </c>
      <c r="CQ1079" s="167">
        <v>0.26362038664323373</v>
      </c>
      <c r="CR1079" s="168">
        <v>-2.8</v>
      </c>
      <c r="CS1079" s="169">
        <v>-0.6</v>
      </c>
      <c r="CT1079" s="170">
        <v>22</v>
      </c>
      <c r="CV1079" s="138" t="s">
        <v>102</v>
      </c>
      <c r="CW1079" s="139"/>
      <c r="CX1079" s="139"/>
      <c r="CY1079" s="140" t="s">
        <v>215</v>
      </c>
      <c r="CZ1079" s="141">
        <v>568</v>
      </c>
      <c r="DB1079" s="144" t="s">
        <v>161</v>
      </c>
      <c r="DD1079" s="20" t="s">
        <v>162</v>
      </c>
      <c r="DF1079" s="145"/>
    </row>
    <row r="1080" spans="19:110" ht="13.8" hidden="1" thickBot="1" x14ac:dyDescent="0.3">
      <c r="S1080" s="178" t="e">
        <f>IF(T1080&lt;-5,-5,IF(T1080&gt;5,5,T1080))</f>
        <v>#REF!</v>
      </c>
      <c r="T1080" s="11" t="e">
        <f>$F57-0.01*$R$1029</f>
        <v>#REF!</v>
      </c>
      <c r="U1080" s="147" t="s">
        <v>195</v>
      </c>
      <c r="AB1080" s="165">
        <v>66</v>
      </c>
      <c r="AC1080" s="167">
        <v>89.455184534270643</v>
      </c>
      <c r="AD1080" s="168">
        <v>1.3</v>
      </c>
      <c r="AE1080" s="169">
        <v>7.6</v>
      </c>
      <c r="AF1080" s="170">
        <v>63</v>
      </c>
      <c r="AH1080" s="138" t="s">
        <v>37</v>
      </c>
      <c r="AI1080" s="139"/>
      <c r="AJ1080" s="139"/>
      <c r="AK1080" s="140" t="s">
        <v>180</v>
      </c>
      <c r="AL1080" s="141">
        <v>566</v>
      </c>
      <c r="AN1080" s="165">
        <v>58</v>
      </c>
      <c r="AO1080" s="167">
        <v>72.975352112676063</v>
      </c>
      <c r="AP1080" s="168">
        <v>0.6</v>
      </c>
      <c r="AQ1080" s="169">
        <v>6.2</v>
      </c>
      <c r="AR1080" s="170">
        <v>56</v>
      </c>
      <c r="AT1080" s="165">
        <v>67</v>
      </c>
      <c r="AU1080" s="167">
        <v>25.13181019332162</v>
      </c>
      <c r="AV1080" s="168">
        <v>-0.7</v>
      </c>
      <c r="AW1080" s="169">
        <v>3.6</v>
      </c>
      <c r="AX1080" s="170">
        <v>43</v>
      </c>
      <c r="AY1080" s="20">
        <f t="shared" ref="AY1080:AY1112" si="13">AZ1080*2</f>
        <v>4</v>
      </c>
      <c r="AZ1080" s="165">
        <v>2</v>
      </c>
      <c r="BA1080" s="167">
        <v>0.35149384885764495</v>
      </c>
      <c r="BB1080" s="168">
        <v>-2.7</v>
      </c>
      <c r="BC1080" s="169">
        <v>-0.4</v>
      </c>
      <c r="BD1080" s="170">
        <v>23</v>
      </c>
      <c r="BX1080" s="165">
        <v>717</v>
      </c>
      <c r="BY1080" s="167">
        <v>0.44014084507042256</v>
      </c>
      <c r="BZ1080" s="168">
        <v>-2.6</v>
      </c>
      <c r="CA1080" s="169">
        <v>-0.2</v>
      </c>
      <c r="CB1080" s="170">
        <v>24</v>
      </c>
      <c r="CD1080" s="165">
        <v>53</v>
      </c>
      <c r="CE1080" s="167">
        <v>99.121265377855877</v>
      </c>
      <c r="CF1080" s="168">
        <v>2.4</v>
      </c>
      <c r="CG1080" s="169">
        <v>9.8000000000000007</v>
      </c>
      <c r="CH1080" s="170">
        <v>74</v>
      </c>
      <c r="CJ1080" s="165">
        <v>54</v>
      </c>
      <c r="CK1080" s="167">
        <v>98.769771528998234</v>
      </c>
      <c r="CL1080" s="168">
        <v>2.2000000000000002</v>
      </c>
      <c r="CM1080" s="169">
        <v>9.4</v>
      </c>
      <c r="CN1080" s="170">
        <v>72</v>
      </c>
      <c r="CP1080" s="165">
        <v>531</v>
      </c>
      <c r="CQ1080" s="167">
        <v>0.26362038664323373</v>
      </c>
      <c r="CR1080" s="168">
        <v>-2.8</v>
      </c>
      <c r="CS1080" s="169">
        <v>-0.6</v>
      </c>
      <c r="CT1080" s="170">
        <v>22</v>
      </c>
      <c r="CV1080" s="144" t="s">
        <v>161</v>
      </c>
      <c r="CZ1080" s="145"/>
      <c r="DB1080" s="147" t="s">
        <v>255</v>
      </c>
      <c r="DC1080" s="148"/>
      <c r="DD1080" s="148"/>
      <c r="DE1080" s="148"/>
      <c r="DF1080" s="149"/>
    </row>
    <row r="1081" spans="19:110" ht="13.15" hidden="1" thickBot="1" x14ac:dyDescent="0.25">
      <c r="S1081" s="178" t="e">
        <f>IF(T1081&lt;0,0,IF(T1081&gt;38,38,T1081))</f>
        <v>#REF!</v>
      </c>
      <c r="T1081" s="11" t="e">
        <f>$F58-0.12*$R$1031-0.39*$R$1030</f>
        <v>#REF!</v>
      </c>
      <c r="U1081" s="147" t="s">
        <v>304</v>
      </c>
      <c r="AB1081" s="165">
        <v>67</v>
      </c>
      <c r="AC1081" s="167">
        <v>91.564147627416531</v>
      </c>
      <c r="AD1081" s="168">
        <v>1.4</v>
      </c>
      <c r="AE1081" s="169">
        <v>7.8</v>
      </c>
      <c r="AF1081" s="170">
        <v>64</v>
      </c>
      <c r="AH1081" s="144" t="s">
        <v>161</v>
      </c>
      <c r="AJ1081" s="20" t="s">
        <v>162</v>
      </c>
      <c r="AL1081" s="145"/>
      <c r="AN1081" s="165">
        <v>59</v>
      </c>
      <c r="AO1081" s="167">
        <v>75.968309859154928</v>
      </c>
      <c r="AP1081" s="168">
        <v>0.7</v>
      </c>
      <c r="AQ1081" s="169">
        <v>6.4</v>
      </c>
      <c r="AR1081" s="170">
        <v>57</v>
      </c>
      <c r="AT1081" s="165">
        <v>68</v>
      </c>
      <c r="AU1081" s="167">
        <v>27.680140597539545</v>
      </c>
      <c r="AV1081" s="168">
        <v>-0.6</v>
      </c>
      <c r="AW1081" s="169">
        <v>3.8</v>
      </c>
      <c r="AX1081" s="170">
        <v>44</v>
      </c>
      <c r="AY1081" s="20">
        <f t="shared" si="13"/>
        <v>5</v>
      </c>
      <c r="AZ1081" s="165">
        <v>2.5</v>
      </c>
      <c r="BA1081" s="167">
        <v>0.35149384885764495</v>
      </c>
      <c r="BB1081" s="168">
        <v>-2.7</v>
      </c>
      <c r="BC1081" s="169">
        <v>-0.4</v>
      </c>
      <c r="BD1081" s="170">
        <v>23</v>
      </c>
      <c r="BX1081" s="165">
        <v>716</v>
      </c>
      <c r="BY1081" s="167">
        <v>0.44014084507042256</v>
      </c>
      <c r="BZ1081" s="168">
        <v>-2.6</v>
      </c>
      <c r="CA1081" s="169">
        <v>-0.2</v>
      </c>
      <c r="CB1081" s="170">
        <v>24</v>
      </c>
      <c r="CD1081" s="165">
        <v>54</v>
      </c>
      <c r="CE1081" s="167">
        <v>99.384885764499117</v>
      </c>
      <c r="CF1081" s="168">
        <v>2.5</v>
      </c>
      <c r="CG1081" s="169">
        <v>10</v>
      </c>
      <c r="CH1081" s="170">
        <v>75</v>
      </c>
      <c r="CJ1081" s="165">
        <v>55</v>
      </c>
      <c r="CK1081" s="167">
        <v>99.121265377855877</v>
      </c>
      <c r="CL1081" s="168">
        <v>2.4</v>
      </c>
      <c r="CM1081" s="169">
        <v>9.8000000000000007</v>
      </c>
      <c r="CN1081" s="170">
        <v>74</v>
      </c>
      <c r="CP1081" s="165">
        <v>530</v>
      </c>
      <c r="CQ1081" s="167">
        <v>0.26362038664323373</v>
      </c>
      <c r="CR1081" s="168">
        <v>-2.8</v>
      </c>
      <c r="CS1081" s="169">
        <v>-0.6</v>
      </c>
      <c r="CT1081" s="170">
        <v>22</v>
      </c>
      <c r="CV1081" s="147" t="s">
        <v>247</v>
      </c>
      <c r="CW1081" s="148"/>
      <c r="CX1081" s="148"/>
      <c r="CY1081" s="148"/>
      <c r="CZ1081" s="149"/>
      <c r="DB1081" s="150" t="s">
        <v>164</v>
      </c>
      <c r="DC1081" s="151" t="s">
        <v>116</v>
      </c>
      <c r="DD1081" s="152"/>
      <c r="DE1081" s="152"/>
      <c r="DF1081" s="153"/>
    </row>
    <row r="1082" spans="19:110" ht="13.8" hidden="1" thickBot="1" x14ac:dyDescent="0.3">
      <c r="S1082" s="178" t="e">
        <f>IF(T1082&lt;0,0,IF(T1082&gt;7,7,T1082))</f>
        <v>#REF!</v>
      </c>
      <c r="T1082" s="11" t="e">
        <f>$F59+0.5*$R$1031</f>
        <v>#REF!</v>
      </c>
      <c r="U1082" s="147" t="s">
        <v>197</v>
      </c>
      <c r="AB1082" s="165">
        <v>68</v>
      </c>
      <c r="AC1082" s="167">
        <v>93.49736379613357</v>
      </c>
      <c r="AD1082" s="168">
        <v>1.5</v>
      </c>
      <c r="AE1082" s="169">
        <v>8</v>
      </c>
      <c r="AF1082" s="170">
        <v>65</v>
      </c>
      <c r="AH1082" s="147" t="s">
        <v>182</v>
      </c>
      <c r="AI1082" s="148"/>
      <c r="AJ1082" s="148"/>
      <c r="AK1082" s="148"/>
      <c r="AL1082" s="149"/>
      <c r="AN1082" s="165">
        <v>60</v>
      </c>
      <c r="AO1082" s="167">
        <v>78.257042253521121</v>
      </c>
      <c r="AP1082" s="168">
        <v>0.8</v>
      </c>
      <c r="AQ1082" s="169">
        <v>6.6</v>
      </c>
      <c r="AR1082" s="170">
        <v>58</v>
      </c>
      <c r="AT1082" s="165">
        <v>69</v>
      </c>
      <c r="AU1082" s="167">
        <v>31.546572934973639</v>
      </c>
      <c r="AV1082" s="168">
        <v>-0.5</v>
      </c>
      <c r="AW1082" s="169">
        <v>4</v>
      </c>
      <c r="AX1082" s="170">
        <v>45</v>
      </c>
      <c r="AY1082" s="20">
        <f t="shared" si="13"/>
        <v>6</v>
      </c>
      <c r="AZ1082" s="165">
        <v>3</v>
      </c>
      <c r="BA1082" s="167">
        <v>0.35149384885764495</v>
      </c>
      <c r="BB1082" s="168">
        <v>-2.7</v>
      </c>
      <c r="BC1082" s="169">
        <v>-0.4</v>
      </c>
      <c r="BD1082" s="170">
        <v>23</v>
      </c>
      <c r="BL1082" s="138" t="s">
        <v>223</v>
      </c>
      <c r="BM1082" s="139"/>
      <c r="BN1082" s="139"/>
      <c r="BO1082" s="140" t="s">
        <v>180</v>
      </c>
      <c r="BP1082" s="141">
        <v>566</v>
      </c>
      <c r="BX1082" s="165">
        <v>715</v>
      </c>
      <c r="BY1082" s="167">
        <v>0.44014084507042256</v>
      </c>
      <c r="BZ1082" s="168">
        <v>-2.6</v>
      </c>
      <c r="CA1082" s="169">
        <v>-0.2</v>
      </c>
      <c r="CB1082" s="170">
        <v>24</v>
      </c>
      <c r="CD1082" s="165">
        <v>55</v>
      </c>
      <c r="CE1082" s="167">
        <v>99.560632688927939</v>
      </c>
      <c r="CF1082" s="168">
        <v>2.6</v>
      </c>
      <c r="CG1082" s="169">
        <v>10.199999999999999</v>
      </c>
      <c r="CH1082" s="170">
        <v>76</v>
      </c>
      <c r="CJ1082" s="165">
        <v>56</v>
      </c>
      <c r="CK1082" s="167">
        <v>99.384885764499117</v>
      </c>
      <c r="CL1082" s="168">
        <v>2.5</v>
      </c>
      <c r="CM1082" s="169">
        <v>10</v>
      </c>
      <c r="CN1082" s="170">
        <v>75</v>
      </c>
      <c r="CP1082" s="165">
        <v>529</v>
      </c>
      <c r="CQ1082" s="167">
        <v>0.26362038664323373</v>
      </c>
      <c r="CR1082" s="168">
        <v>-2.8</v>
      </c>
      <c r="CS1082" s="169">
        <v>-0.6</v>
      </c>
      <c r="CT1082" s="170">
        <v>22</v>
      </c>
      <c r="CV1082" s="150" t="s">
        <v>164</v>
      </c>
      <c r="CW1082" s="151" t="s">
        <v>106</v>
      </c>
      <c r="CX1082" s="152"/>
      <c r="CY1082" s="152"/>
      <c r="CZ1082" s="153"/>
      <c r="DB1082" s="155" t="s">
        <v>10</v>
      </c>
      <c r="DC1082" s="158" t="s">
        <v>13</v>
      </c>
      <c r="DD1082" s="156" t="s">
        <v>14</v>
      </c>
      <c r="DE1082" s="156" t="s">
        <v>15</v>
      </c>
      <c r="DF1082" s="159" t="s">
        <v>16</v>
      </c>
    </row>
    <row r="1083" spans="19:110" ht="13.8" hidden="1" thickBot="1" x14ac:dyDescent="0.3">
      <c r="S1083" s="178" t="e">
        <f>IF(T1083&lt;0,0,IF(T1083&gt;40,40,T1083))</f>
        <v>#REF!</v>
      </c>
      <c r="T1083" s="11" t="e">
        <f>$F60-0.26*$R$1031+0.14*$R$1030</f>
        <v>#REF!</v>
      </c>
      <c r="U1083" s="147" t="s">
        <v>306</v>
      </c>
      <c r="AB1083" s="165">
        <v>69</v>
      </c>
      <c r="AC1083" s="167">
        <v>94.991212653778561</v>
      </c>
      <c r="AD1083" s="168">
        <v>1.6</v>
      </c>
      <c r="AE1083" s="169">
        <v>8.1999999999999993</v>
      </c>
      <c r="AF1083" s="170">
        <v>66</v>
      </c>
      <c r="AH1083" s="150" t="s">
        <v>164</v>
      </c>
      <c r="AI1083" s="151" t="s">
        <v>183</v>
      </c>
      <c r="AJ1083" s="152"/>
      <c r="AK1083" s="152"/>
      <c r="AL1083" s="153"/>
      <c r="AN1083" s="165">
        <v>61</v>
      </c>
      <c r="AO1083" s="167">
        <v>81.778169014084511</v>
      </c>
      <c r="AP1083" s="168">
        <v>0.9</v>
      </c>
      <c r="AQ1083" s="169">
        <v>6.8</v>
      </c>
      <c r="AR1083" s="170">
        <v>59</v>
      </c>
      <c r="AT1083" s="165">
        <v>70</v>
      </c>
      <c r="AU1083" s="167">
        <v>35.237258347978909</v>
      </c>
      <c r="AV1083" s="168">
        <v>-0.4</v>
      </c>
      <c r="AW1083" s="169">
        <v>4.2</v>
      </c>
      <c r="AX1083" s="170">
        <v>46</v>
      </c>
      <c r="AY1083" s="20">
        <f t="shared" si="13"/>
        <v>7</v>
      </c>
      <c r="AZ1083" s="165">
        <v>3.5</v>
      </c>
      <c r="BA1083" s="167">
        <v>0.70298769771528991</v>
      </c>
      <c r="BB1083" s="168">
        <v>-2.5</v>
      </c>
      <c r="BC1083" s="169">
        <v>0</v>
      </c>
      <c r="BD1083" s="170">
        <v>25</v>
      </c>
      <c r="BL1083" s="144" t="s">
        <v>161</v>
      </c>
      <c r="BP1083" s="145"/>
      <c r="BX1083" s="165">
        <v>714</v>
      </c>
      <c r="BY1083" s="167">
        <v>0.44014084507042256</v>
      </c>
      <c r="BZ1083" s="168">
        <v>-2.6</v>
      </c>
      <c r="CA1083" s="169">
        <v>-0.2</v>
      </c>
      <c r="CB1083" s="170">
        <v>24</v>
      </c>
      <c r="CD1083" s="165">
        <v>56</v>
      </c>
      <c r="CE1083" s="167">
        <v>99.560632688927939</v>
      </c>
      <c r="CF1083" s="168">
        <v>2.6</v>
      </c>
      <c r="CG1083" s="169">
        <v>10.199999999999999</v>
      </c>
      <c r="CH1083" s="170">
        <v>76</v>
      </c>
      <c r="CJ1083" s="165">
        <v>57</v>
      </c>
      <c r="CK1083" s="167">
        <v>99.560632688927939</v>
      </c>
      <c r="CL1083" s="168">
        <v>2.6</v>
      </c>
      <c r="CM1083" s="169">
        <v>10.199999999999999</v>
      </c>
      <c r="CN1083" s="170">
        <v>76</v>
      </c>
      <c r="CP1083" s="165">
        <v>528</v>
      </c>
      <c r="CQ1083" s="167">
        <v>0.26362038664323373</v>
      </c>
      <c r="CR1083" s="168">
        <v>-2.8</v>
      </c>
      <c r="CS1083" s="169">
        <v>-0.6</v>
      </c>
      <c r="CT1083" s="170">
        <v>22</v>
      </c>
      <c r="CV1083" s="155" t="s">
        <v>10</v>
      </c>
      <c r="CW1083" s="156" t="s">
        <v>13</v>
      </c>
      <c r="CX1083" s="156" t="s">
        <v>14</v>
      </c>
      <c r="CY1083" s="156" t="s">
        <v>15</v>
      </c>
      <c r="CZ1083" s="157" t="s">
        <v>16</v>
      </c>
      <c r="DA1083" s="20">
        <f>DB1083*100</f>
        <v>53</v>
      </c>
      <c r="DB1083" s="160">
        <v>0.53</v>
      </c>
      <c r="DC1083" s="161">
        <v>0.11933174224343676</v>
      </c>
      <c r="DD1083" s="162">
        <v>-3</v>
      </c>
      <c r="DE1083" s="163">
        <v>-1</v>
      </c>
      <c r="DF1083" s="164">
        <v>20</v>
      </c>
    </row>
    <row r="1084" spans="19:110" ht="13.15" hidden="1" thickBot="1" x14ac:dyDescent="0.25">
      <c r="S1084" s="178" t="e">
        <f>IF(F61&lt;0,0,IF(F61&gt;5,5,F61))</f>
        <v>#REF!</v>
      </c>
      <c r="AB1084" s="165">
        <v>70</v>
      </c>
      <c r="AC1084" s="167">
        <v>96.924428822495614</v>
      </c>
      <c r="AD1084" s="168">
        <v>1.9</v>
      </c>
      <c r="AE1084" s="169">
        <v>8.8000000000000007</v>
      </c>
      <c r="AF1084" s="170">
        <v>69</v>
      </c>
      <c r="AH1084" s="155" t="s">
        <v>10</v>
      </c>
      <c r="AI1084" s="156" t="s">
        <v>13</v>
      </c>
      <c r="AJ1084" s="156" t="s">
        <v>14</v>
      </c>
      <c r="AK1084" s="156" t="s">
        <v>15</v>
      </c>
      <c r="AL1084" s="157" t="s">
        <v>16</v>
      </c>
      <c r="AN1084" s="165">
        <v>62</v>
      </c>
      <c r="AO1084" s="167">
        <v>85.035211267605632</v>
      </c>
      <c r="AP1084" s="168">
        <v>1</v>
      </c>
      <c r="AQ1084" s="169">
        <v>7</v>
      </c>
      <c r="AR1084" s="170">
        <v>60</v>
      </c>
      <c r="AT1084" s="165">
        <v>71</v>
      </c>
      <c r="AU1084" s="167">
        <v>38.840070298769767</v>
      </c>
      <c r="AV1084" s="168">
        <v>-0.3</v>
      </c>
      <c r="AW1084" s="169">
        <v>4.4000000000000004</v>
      </c>
      <c r="AX1084" s="170">
        <v>47</v>
      </c>
      <c r="AY1084" s="20">
        <f t="shared" si="13"/>
        <v>8</v>
      </c>
      <c r="AZ1084" s="165">
        <v>4</v>
      </c>
      <c r="BA1084" s="167">
        <v>0.96660808435852363</v>
      </c>
      <c r="BB1084" s="168">
        <v>-2.2999999999999998</v>
      </c>
      <c r="BC1084" s="169">
        <v>0.4</v>
      </c>
      <c r="BD1084" s="170">
        <v>27</v>
      </c>
      <c r="BL1084" s="147" t="s">
        <v>225</v>
      </c>
      <c r="BM1084" s="148"/>
      <c r="BN1084" s="148"/>
      <c r="BO1084" s="148"/>
      <c r="BP1084" s="149"/>
      <c r="BX1084" s="165">
        <v>713</v>
      </c>
      <c r="BY1084" s="167">
        <v>0.44014084507042256</v>
      </c>
      <c r="BZ1084" s="168">
        <v>-2.6</v>
      </c>
      <c r="CA1084" s="169">
        <v>-0.2</v>
      </c>
      <c r="CB1084" s="170">
        <v>24</v>
      </c>
      <c r="CD1084" s="165">
        <v>57</v>
      </c>
      <c r="CE1084" s="167">
        <v>99.73637961335676</v>
      </c>
      <c r="CF1084" s="168">
        <v>2.8</v>
      </c>
      <c r="CG1084" s="169">
        <v>10.6</v>
      </c>
      <c r="CH1084" s="170">
        <v>78</v>
      </c>
      <c r="CJ1084" s="165">
        <v>58</v>
      </c>
      <c r="CK1084" s="167">
        <v>99.560632688927939</v>
      </c>
      <c r="CL1084" s="168">
        <v>2.6</v>
      </c>
      <c r="CM1084" s="169">
        <v>10.199999999999999</v>
      </c>
      <c r="CN1084" s="170">
        <v>76</v>
      </c>
      <c r="CP1084" s="165">
        <v>527</v>
      </c>
      <c r="CQ1084" s="167">
        <v>0.26362038664323373</v>
      </c>
      <c r="CR1084" s="168">
        <v>-2.8</v>
      </c>
      <c r="CS1084" s="169">
        <v>-0.6</v>
      </c>
      <c r="CT1084" s="170">
        <v>22</v>
      </c>
      <c r="CV1084" s="160">
        <v>60</v>
      </c>
      <c r="CW1084" s="161">
        <v>8.8028169014084515E-2</v>
      </c>
      <c r="CX1084" s="162">
        <v>-3</v>
      </c>
      <c r="CY1084" s="163">
        <v>-1</v>
      </c>
      <c r="CZ1084" s="164">
        <v>20</v>
      </c>
      <c r="DA1084" s="20">
        <f t="shared" ref="DA1084:DA1130" si="14">DB1084*100</f>
        <v>54</v>
      </c>
      <c r="DB1084" s="165">
        <v>0.54</v>
      </c>
      <c r="DC1084" s="167">
        <v>0.35799522673031026</v>
      </c>
      <c r="DD1084" s="168">
        <v>-2.7</v>
      </c>
      <c r="DE1084" s="169">
        <v>-0.4</v>
      </c>
      <c r="DF1084" s="170">
        <v>23</v>
      </c>
    </row>
    <row r="1085" spans="19:110" ht="13.15" hidden="1" thickBot="1" x14ac:dyDescent="0.25">
      <c r="S1085" s="178" t="e">
        <f>IF(F62&lt;0,0,IF(F62&gt;2,2,F62))</f>
        <v>#REF!</v>
      </c>
      <c r="AB1085" s="165">
        <v>71</v>
      </c>
      <c r="AC1085" s="167">
        <v>98.242530755711783</v>
      </c>
      <c r="AD1085" s="168">
        <v>2.1</v>
      </c>
      <c r="AE1085" s="169">
        <v>9.1999999999999993</v>
      </c>
      <c r="AF1085" s="170">
        <v>71</v>
      </c>
      <c r="AG1085" s="20">
        <f t="shared" ref="AG1085:AG1131" si="15">AH1085*2</f>
        <v>0</v>
      </c>
      <c r="AH1085" s="160">
        <v>0</v>
      </c>
      <c r="AI1085" s="161">
        <v>0.17667844522968199</v>
      </c>
      <c r="AJ1085" s="162">
        <v>-2.9</v>
      </c>
      <c r="AK1085" s="163">
        <v>-0.8</v>
      </c>
      <c r="AL1085" s="164">
        <v>21</v>
      </c>
      <c r="AN1085" s="165">
        <v>63</v>
      </c>
      <c r="AO1085" s="167">
        <v>87.411971830985919</v>
      </c>
      <c r="AP1085" s="168">
        <v>1.1000000000000001</v>
      </c>
      <c r="AQ1085" s="169">
        <v>7.2</v>
      </c>
      <c r="AR1085" s="170">
        <v>61</v>
      </c>
      <c r="AT1085" s="165">
        <v>72</v>
      </c>
      <c r="AU1085" s="167">
        <v>42.091388400702989</v>
      </c>
      <c r="AV1085" s="168">
        <v>-0.2</v>
      </c>
      <c r="AW1085" s="169">
        <v>4.5999999999999996</v>
      </c>
      <c r="AX1085" s="170">
        <v>48</v>
      </c>
      <c r="AY1085" s="20">
        <f t="shared" si="13"/>
        <v>9</v>
      </c>
      <c r="AZ1085" s="165">
        <v>4.5</v>
      </c>
      <c r="BA1085" s="167">
        <v>1.1423550087873462</v>
      </c>
      <c r="BB1085" s="168">
        <v>-2.2999999999999998</v>
      </c>
      <c r="BC1085" s="169">
        <v>0.4</v>
      </c>
      <c r="BD1085" s="170">
        <v>27</v>
      </c>
      <c r="BL1085" s="150" t="s">
        <v>164</v>
      </c>
      <c r="BM1085" s="151" t="s">
        <v>62</v>
      </c>
      <c r="BN1085" s="152"/>
      <c r="BO1085" s="152"/>
      <c r="BP1085" s="153"/>
      <c r="BX1085" s="165">
        <v>712</v>
      </c>
      <c r="BY1085" s="167">
        <v>0.44014084507042256</v>
      </c>
      <c r="BZ1085" s="168">
        <v>-2.6</v>
      </c>
      <c r="CA1085" s="169">
        <v>-0.2</v>
      </c>
      <c r="CB1085" s="170">
        <v>24</v>
      </c>
      <c r="CD1085" s="165">
        <v>58</v>
      </c>
      <c r="CE1085" s="167">
        <v>99.73637961335676</v>
      </c>
      <c r="CF1085" s="168">
        <v>2.8</v>
      </c>
      <c r="CG1085" s="169">
        <v>10.6</v>
      </c>
      <c r="CH1085" s="170">
        <v>78</v>
      </c>
      <c r="CJ1085" s="165">
        <v>59</v>
      </c>
      <c r="CK1085" s="167">
        <v>99.73637961335676</v>
      </c>
      <c r="CL1085" s="168">
        <v>2.8</v>
      </c>
      <c r="CM1085" s="169">
        <v>10.6</v>
      </c>
      <c r="CN1085" s="170">
        <v>78</v>
      </c>
      <c r="CP1085" s="165">
        <v>526</v>
      </c>
      <c r="CQ1085" s="167">
        <v>0.26362038664323373</v>
      </c>
      <c r="CR1085" s="168">
        <v>-2.8</v>
      </c>
      <c r="CS1085" s="169">
        <v>-0.6</v>
      </c>
      <c r="CT1085" s="170">
        <v>22</v>
      </c>
      <c r="CV1085" s="165">
        <v>59</v>
      </c>
      <c r="CW1085" s="167">
        <v>0.35211267605633806</v>
      </c>
      <c r="CX1085" s="168">
        <v>-2.7</v>
      </c>
      <c r="CY1085" s="169">
        <v>-0.4</v>
      </c>
      <c r="CZ1085" s="170">
        <v>23</v>
      </c>
      <c r="DA1085" s="20">
        <f t="shared" si="14"/>
        <v>55.000000000000007</v>
      </c>
      <c r="DB1085" s="165">
        <v>0.55000000000000004</v>
      </c>
      <c r="DC1085" s="167">
        <v>0.35799522673031026</v>
      </c>
      <c r="DD1085" s="168">
        <v>-2.7</v>
      </c>
      <c r="DE1085" s="169">
        <v>-0.4</v>
      </c>
      <c r="DF1085" s="170">
        <v>23</v>
      </c>
    </row>
    <row r="1086" spans="19:110" ht="13.15" hidden="1" thickBot="1" x14ac:dyDescent="0.25">
      <c r="S1086" s="178" t="e">
        <f>IF(F63&lt;0,0,IF(F63&gt;2,2,F63))</f>
        <v>#REF!</v>
      </c>
      <c r="AB1086" s="165">
        <v>72</v>
      </c>
      <c r="AC1086" s="167">
        <v>99.121265377855877</v>
      </c>
      <c r="AD1086" s="168">
        <v>2.4</v>
      </c>
      <c r="AE1086" s="169">
        <v>9.8000000000000007</v>
      </c>
      <c r="AF1086" s="170">
        <v>74</v>
      </c>
      <c r="AG1086" s="20">
        <f t="shared" si="15"/>
        <v>1</v>
      </c>
      <c r="AH1086" s="165">
        <v>0.5</v>
      </c>
      <c r="AI1086" s="167">
        <v>0.53003533568904593</v>
      </c>
      <c r="AJ1086" s="168">
        <v>-2.6</v>
      </c>
      <c r="AK1086" s="169">
        <v>-0.2</v>
      </c>
      <c r="AL1086" s="170">
        <v>24</v>
      </c>
      <c r="AN1086" s="165">
        <v>64</v>
      </c>
      <c r="AO1086" s="167">
        <v>89.524647887323937</v>
      </c>
      <c r="AP1086" s="168">
        <v>1.3</v>
      </c>
      <c r="AQ1086" s="169">
        <v>7.6</v>
      </c>
      <c r="AR1086" s="170">
        <v>63</v>
      </c>
      <c r="AT1086" s="165">
        <v>73</v>
      </c>
      <c r="AU1086" s="167">
        <v>47.100175746924428</v>
      </c>
      <c r="AV1086" s="168">
        <v>-0.1</v>
      </c>
      <c r="AW1086" s="169">
        <v>4.8</v>
      </c>
      <c r="AX1086" s="170">
        <v>49</v>
      </c>
      <c r="AY1086" s="20">
        <f t="shared" si="13"/>
        <v>10</v>
      </c>
      <c r="AZ1086" s="165">
        <v>5</v>
      </c>
      <c r="BA1086" s="167">
        <v>1.4938488576449911</v>
      </c>
      <c r="BB1086" s="168">
        <v>-2.2000000000000002</v>
      </c>
      <c r="BC1086" s="169">
        <v>0.6</v>
      </c>
      <c r="BD1086" s="170">
        <v>28</v>
      </c>
      <c r="BL1086" s="155" t="s">
        <v>10</v>
      </c>
      <c r="BM1086" s="156" t="s">
        <v>13</v>
      </c>
      <c r="BN1086" s="156" t="s">
        <v>14</v>
      </c>
      <c r="BO1086" s="156" t="s">
        <v>15</v>
      </c>
      <c r="BP1086" s="157" t="s">
        <v>16</v>
      </c>
      <c r="BX1086" s="165">
        <v>711</v>
      </c>
      <c r="BY1086" s="167">
        <v>0.44014084507042256</v>
      </c>
      <c r="BZ1086" s="168">
        <v>-2.6</v>
      </c>
      <c r="CA1086" s="169">
        <v>-0.2</v>
      </c>
      <c r="CB1086" s="170">
        <v>24</v>
      </c>
      <c r="CD1086" s="165">
        <v>59</v>
      </c>
      <c r="CE1086" s="167">
        <v>99.73637961335676</v>
      </c>
      <c r="CF1086" s="168">
        <v>2.8</v>
      </c>
      <c r="CG1086" s="169">
        <v>10.6</v>
      </c>
      <c r="CH1086" s="170">
        <v>78</v>
      </c>
      <c r="CJ1086" s="165">
        <v>60</v>
      </c>
      <c r="CK1086" s="167">
        <v>99.73637961335676</v>
      </c>
      <c r="CL1086" s="168">
        <v>2.8</v>
      </c>
      <c r="CM1086" s="169">
        <v>10.6</v>
      </c>
      <c r="CN1086" s="170">
        <v>78</v>
      </c>
      <c r="CP1086" s="165">
        <v>525</v>
      </c>
      <c r="CQ1086" s="167">
        <v>0.26362038664323373</v>
      </c>
      <c r="CR1086" s="168">
        <v>-2.8</v>
      </c>
      <c r="CS1086" s="169">
        <v>-0.6</v>
      </c>
      <c r="CT1086" s="170">
        <v>22</v>
      </c>
      <c r="CV1086" s="165">
        <v>58</v>
      </c>
      <c r="CW1086" s="167">
        <v>0.35211267605633806</v>
      </c>
      <c r="CX1086" s="168">
        <v>-2.7</v>
      </c>
      <c r="CY1086" s="169">
        <v>-0.4</v>
      </c>
      <c r="CZ1086" s="170">
        <v>23</v>
      </c>
      <c r="DA1086" s="20">
        <f t="shared" si="14"/>
        <v>56.000000000000007</v>
      </c>
      <c r="DB1086" s="165">
        <v>0.56000000000000005</v>
      </c>
      <c r="DC1086" s="167">
        <v>0.35799522673031026</v>
      </c>
      <c r="DD1086" s="168">
        <v>-2.7</v>
      </c>
      <c r="DE1086" s="169">
        <v>-0.4</v>
      </c>
      <c r="DF1086" s="170">
        <v>23</v>
      </c>
    </row>
    <row r="1087" spans="19:110" ht="13.15" hidden="1" thickBot="1" x14ac:dyDescent="0.25">
      <c r="AB1087" s="165">
        <v>73</v>
      </c>
      <c r="AC1087" s="167">
        <v>99.73637961335676</v>
      </c>
      <c r="AD1087" s="168">
        <v>2.8</v>
      </c>
      <c r="AE1087" s="169">
        <v>10.6</v>
      </c>
      <c r="AF1087" s="170">
        <v>78</v>
      </c>
      <c r="AG1087" s="20">
        <f t="shared" si="15"/>
        <v>2</v>
      </c>
      <c r="AH1087" s="165">
        <v>1</v>
      </c>
      <c r="AI1087" s="167">
        <v>0.53003533568904593</v>
      </c>
      <c r="AJ1087" s="168">
        <v>-2.6</v>
      </c>
      <c r="AK1087" s="169">
        <v>-0.2</v>
      </c>
      <c r="AL1087" s="170">
        <v>24</v>
      </c>
      <c r="AN1087" s="165">
        <v>65</v>
      </c>
      <c r="AO1087" s="167">
        <v>91.725352112676063</v>
      </c>
      <c r="AP1087" s="168">
        <v>1.4</v>
      </c>
      <c r="AQ1087" s="169">
        <v>7.8</v>
      </c>
      <c r="AR1087" s="170">
        <v>64</v>
      </c>
      <c r="AT1087" s="165">
        <v>74</v>
      </c>
      <c r="AU1087" s="167">
        <v>53.427065026362044</v>
      </c>
      <c r="AV1087" s="168">
        <v>0.1</v>
      </c>
      <c r="AW1087" s="169">
        <v>5.2</v>
      </c>
      <c r="AX1087" s="170">
        <v>51</v>
      </c>
      <c r="AY1087" s="20">
        <f t="shared" si="13"/>
        <v>11</v>
      </c>
      <c r="AZ1087" s="165">
        <v>5.5</v>
      </c>
      <c r="BA1087" s="167">
        <v>2.0210896309314585</v>
      </c>
      <c r="BB1087" s="168">
        <v>-2.1</v>
      </c>
      <c r="BC1087" s="169">
        <v>0.8</v>
      </c>
      <c r="BD1087" s="170">
        <v>29</v>
      </c>
      <c r="BL1087" s="165">
        <v>8</v>
      </c>
      <c r="BM1087" s="167">
        <v>8.8339222614840993E-2</v>
      </c>
      <c r="BN1087" s="168">
        <v>-3</v>
      </c>
      <c r="BO1087" s="169">
        <v>-1</v>
      </c>
      <c r="BP1087" s="170">
        <v>20</v>
      </c>
      <c r="BX1087" s="165">
        <v>710</v>
      </c>
      <c r="BY1087" s="167">
        <v>0.44014084507042256</v>
      </c>
      <c r="BZ1087" s="168">
        <v>-2.6</v>
      </c>
      <c r="CA1087" s="169">
        <v>-0.2</v>
      </c>
      <c r="CB1087" s="170">
        <v>24</v>
      </c>
      <c r="CD1087" s="172">
        <v>60</v>
      </c>
      <c r="CE1087" s="173">
        <v>99.912126537785582</v>
      </c>
      <c r="CF1087" s="174">
        <v>3</v>
      </c>
      <c r="CG1087" s="175">
        <v>11</v>
      </c>
      <c r="CH1087" s="176">
        <v>80</v>
      </c>
      <c r="CJ1087" s="165">
        <v>61</v>
      </c>
      <c r="CK1087" s="167">
        <v>99.73637961335676</v>
      </c>
      <c r="CL1087" s="168">
        <v>2.8</v>
      </c>
      <c r="CM1087" s="169">
        <v>10.6</v>
      </c>
      <c r="CN1087" s="170">
        <v>78</v>
      </c>
      <c r="CP1087" s="165">
        <v>524</v>
      </c>
      <c r="CQ1087" s="167">
        <v>0.26362038664323373</v>
      </c>
      <c r="CR1087" s="168">
        <v>-2.8</v>
      </c>
      <c r="CS1087" s="169">
        <v>-0.6</v>
      </c>
      <c r="CT1087" s="170">
        <v>22</v>
      </c>
      <c r="CV1087" s="165">
        <v>57</v>
      </c>
      <c r="CW1087" s="167">
        <v>0.35211267605633806</v>
      </c>
      <c r="CX1087" s="168">
        <v>-2.7</v>
      </c>
      <c r="CY1087" s="169">
        <v>-0.4</v>
      </c>
      <c r="CZ1087" s="170">
        <v>23</v>
      </c>
      <c r="DA1087" s="20">
        <f t="shared" si="14"/>
        <v>56.999999999999993</v>
      </c>
      <c r="DB1087" s="165">
        <v>0.56999999999999995</v>
      </c>
      <c r="DC1087" s="167">
        <v>0.59665871121718372</v>
      </c>
      <c r="DD1087" s="168">
        <v>-2.5</v>
      </c>
      <c r="DE1087" s="169">
        <v>0</v>
      </c>
      <c r="DF1087" s="170">
        <v>25</v>
      </c>
    </row>
    <row r="1088" spans="19:110" ht="13.15" hidden="1" thickBot="1" x14ac:dyDescent="0.25">
      <c r="AB1088" s="172">
        <v>74</v>
      </c>
      <c r="AC1088" s="173">
        <v>99.912126537785582</v>
      </c>
      <c r="AD1088" s="174">
        <v>3</v>
      </c>
      <c r="AE1088" s="175">
        <v>11</v>
      </c>
      <c r="AF1088" s="176">
        <v>80</v>
      </c>
      <c r="AG1088" s="20">
        <f t="shared" si="15"/>
        <v>3</v>
      </c>
      <c r="AH1088" s="165">
        <v>1.5</v>
      </c>
      <c r="AI1088" s="167">
        <v>0.53003533568904593</v>
      </c>
      <c r="AJ1088" s="168">
        <v>-2.6</v>
      </c>
      <c r="AK1088" s="169">
        <v>-0.2</v>
      </c>
      <c r="AL1088" s="170">
        <v>24</v>
      </c>
      <c r="AN1088" s="165">
        <v>66</v>
      </c>
      <c r="AO1088" s="167">
        <v>93.309859154929569</v>
      </c>
      <c r="AP1088" s="168">
        <v>1.5</v>
      </c>
      <c r="AQ1088" s="169">
        <v>8</v>
      </c>
      <c r="AR1088" s="170">
        <v>65</v>
      </c>
      <c r="AT1088" s="165">
        <v>75</v>
      </c>
      <c r="AU1088" s="167">
        <v>59.841827768014056</v>
      </c>
      <c r="AV1088" s="168">
        <v>0.2</v>
      </c>
      <c r="AW1088" s="169">
        <v>5.4</v>
      </c>
      <c r="AX1088" s="170">
        <v>52</v>
      </c>
      <c r="AY1088" s="20">
        <f t="shared" si="13"/>
        <v>12</v>
      </c>
      <c r="AZ1088" s="165">
        <v>6</v>
      </c>
      <c r="BA1088" s="167">
        <v>2.5483304042179262</v>
      </c>
      <c r="BB1088" s="168">
        <v>-2</v>
      </c>
      <c r="BC1088" s="169">
        <v>1</v>
      </c>
      <c r="BD1088" s="170">
        <v>30</v>
      </c>
      <c r="BL1088" s="165">
        <v>9</v>
      </c>
      <c r="BM1088" s="167">
        <v>0.26501766784452296</v>
      </c>
      <c r="BN1088" s="168">
        <v>-2.8</v>
      </c>
      <c r="BO1088" s="169">
        <v>-0.6</v>
      </c>
      <c r="BP1088" s="170">
        <v>22</v>
      </c>
      <c r="BX1088" s="165">
        <v>709</v>
      </c>
      <c r="BY1088" s="167">
        <v>0.44014084507042256</v>
      </c>
      <c r="BZ1088" s="168">
        <v>-2.6</v>
      </c>
      <c r="CA1088" s="169">
        <v>-0.2</v>
      </c>
      <c r="CB1088" s="170">
        <v>24</v>
      </c>
      <c r="CJ1088" s="172">
        <v>62</v>
      </c>
      <c r="CK1088" s="173">
        <v>99.912126537785582</v>
      </c>
      <c r="CL1088" s="174">
        <v>3</v>
      </c>
      <c r="CM1088" s="175">
        <v>11</v>
      </c>
      <c r="CN1088" s="176">
        <v>80</v>
      </c>
      <c r="CP1088" s="165">
        <v>523</v>
      </c>
      <c r="CQ1088" s="167">
        <v>0.26362038664323373</v>
      </c>
      <c r="CR1088" s="168">
        <v>-2.8</v>
      </c>
      <c r="CS1088" s="169">
        <v>-0.6</v>
      </c>
      <c r="CT1088" s="170">
        <v>22</v>
      </c>
      <c r="CV1088" s="165">
        <v>56</v>
      </c>
      <c r="CW1088" s="167">
        <v>0.35211267605633806</v>
      </c>
      <c r="CX1088" s="168">
        <v>-2.7</v>
      </c>
      <c r="CY1088" s="169">
        <v>-0.4</v>
      </c>
      <c r="CZ1088" s="170">
        <v>23</v>
      </c>
      <c r="DA1088" s="20">
        <f t="shared" si="14"/>
        <v>57.999999999999993</v>
      </c>
      <c r="DB1088" s="165">
        <v>0.57999999999999996</v>
      </c>
      <c r="DC1088" s="167">
        <v>0.8353221957040573</v>
      </c>
      <c r="DD1088" s="168">
        <v>-2.4</v>
      </c>
      <c r="DE1088" s="169">
        <v>0.2</v>
      </c>
      <c r="DF1088" s="170">
        <v>26</v>
      </c>
    </row>
    <row r="1089" spans="15:110" ht="13.15" hidden="1" thickBot="1" x14ac:dyDescent="0.25">
      <c r="O1089" s="20" t="s">
        <v>275</v>
      </c>
      <c r="P1089" s="20" t="s">
        <v>276</v>
      </c>
      <c r="Q1089" s="20" t="s">
        <v>277</v>
      </c>
      <c r="R1089" s="20" t="s">
        <v>278</v>
      </c>
      <c r="AG1089" s="20">
        <f t="shared" si="15"/>
        <v>4</v>
      </c>
      <c r="AH1089" s="165">
        <v>2</v>
      </c>
      <c r="AI1089" s="167">
        <v>0.53003533568904593</v>
      </c>
      <c r="AJ1089" s="168">
        <v>-2.6</v>
      </c>
      <c r="AK1089" s="169">
        <v>-0.2</v>
      </c>
      <c r="AL1089" s="170">
        <v>24</v>
      </c>
      <c r="AN1089" s="165">
        <v>67</v>
      </c>
      <c r="AO1089" s="167">
        <v>94.806338028169009</v>
      </c>
      <c r="AP1089" s="168">
        <v>1.6</v>
      </c>
      <c r="AQ1089" s="169">
        <v>8.1999999999999993</v>
      </c>
      <c r="AR1089" s="170">
        <v>66</v>
      </c>
      <c r="AT1089" s="165">
        <v>76</v>
      </c>
      <c r="AU1089" s="167">
        <v>67.047451669595787</v>
      </c>
      <c r="AV1089" s="168">
        <v>0.4</v>
      </c>
      <c r="AW1089" s="169">
        <v>5.8</v>
      </c>
      <c r="AX1089" s="170">
        <v>54</v>
      </c>
      <c r="AY1089" s="20">
        <f t="shared" si="13"/>
        <v>13</v>
      </c>
      <c r="AZ1089" s="165">
        <v>6.5</v>
      </c>
      <c r="BA1089" s="167">
        <v>3.5149384885764503</v>
      </c>
      <c r="BB1089" s="168">
        <v>-1.8</v>
      </c>
      <c r="BC1089" s="169">
        <v>1.4</v>
      </c>
      <c r="BD1089" s="170">
        <v>32</v>
      </c>
      <c r="BL1089" s="165">
        <v>10</v>
      </c>
      <c r="BM1089" s="167">
        <v>0.26501766784452296</v>
      </c>
      <c r="BN1089" s="168">
        <v>-2.8</v>
      </c>
      <c r="BO1089" s="169">
        <v>-0.6</v>
      </c>
      <c r="BP1089" s="170">
        <v>22</v>
      </c>
      <c r="BX1089" s="165">
        <v>708</v>
      </c>
      <c r="BY1089" s="167">
        <v>0.44014084507042256</v>
      </c>
      <c r="BZ1089" s="168">
        <v>-2.6</v>
      </c>
      <c r="CA1089" s="169">
        <v>-0.2</v>
      </c>
      <c r="CB1089" s="170">
        <v>24</v>
      </c>
      <c r="CP1089" s="165">
        <v>522</v>
      </c>
      <c r="CQ1089" s="167">
        <v>0.26362038664323373</v>
      </c>
      <c r="CR1089" s="168">
        <v>-2.8</v>
      </c>
      <c r="CS1089" s="169">
        <v>-0.6</v>
      </c>
      <c r="CT1089" s="170">
        <v>22</v>
      </c>
      <c r="CV1089" s="165">
        <v>55</v>
      </c>
      <c r="CW1089" s="167">
        <v>0.35211267605633806</v>
      </c>
      <c r="CX1089" s="168">
        <v>-2.7</v>
      </c>
      <c r="CY1089" s="169">
        <v>-0.4</v>
      </c>
      <c r="CZ1089" s="170">
        <v>23</v>
      </c>
      <c r="DA1089" s="20">
        <f t="shared" si="14"/>
        <v>59</v>
      </c>
      <c r="DB1089" s="165">
        <v>0.59</v>
      </c>
      <c r="DC1089" s="167">
        <v>0.8353221957040573</v>
      </c>
      <c r="DD1089" s="168">
        <v>-2.4</v>
      </c>
      <c r="DE1089" s="169">
        <v>0.2</v>
      </c>
      <c r="DF1089" s="170">
        <v>26</v>
      </c>
    </row>
    <row r="1090" spans="15:110" ht="13.8" hidden="1" thickBot="1" x14ac:dyDescent="0.3">
      <c r="O1090" s="11" t="e">
        <f>$F68-30.52*$R$1031-4.42*$R$1030-1+1</f>
        <v>#REF!</v>
      </c>
      <c r="P1090" s="11" t="e">
        <f>$F68-30.52*$R$1031-4.42*$R$1030+1+1</f>
        <v>#REF!</v>
      </c>
      <c r="Q1090" s="11" t="e">
        <f>$F68-30.52*$R$1031-4.42*$R$1030-1-1</f>
        <v>#REF!</v>
      </c>
      <c r="R1090" s="11" t="e">
        <f>$F68-30.52*$R$1031-4.42*$R$1030+1-1</f>
        <v>#REF!</v>
      </c>
      <c r="S1090" s="178" t="e">
        <f>IF(T1090&lt;20,20,IF(T1090&gt;80,80,T1090))</f>
        <v>#REF!</v>
      </c>
      <c r="T1090" s="11" t="e">
        <f>IF($F$66="A",O1090,IF($F$66="B",P1090,""))</f>
        <v>#REF!</v>
      </c>
      <c r="U1090" s="147" t="s">
        <v>204</v>
      </c>
      <c r="AG1090" s="20">
        <f t="shared" si="15"/>
        <v>5</v>
      </c>
      <c r="AH1090" s="165">
        <v>2.5</v>
      </c>
      <c r="AI1090" s="167">
        <v>0.9717314487632509</v>
      </c>
      <c r="AJ1090" s="168">
        <v>-2.2999999999999998</v>
      </c>
      <c r="AK1090" s="169">
        <v>0.4</v>
      </c>
      <c r="AL1090" s="170">
        <v>27</v>
      </c>
      <c r="AN1090" s="165">
        <v>68</v>
      </c>
      <c r="AO1090" s="167">
        <v>95.686619718309856</v>
      </c>
      <c r="AP1090" s="168">
        <v>1.7</v>
      </c>
      <c r="AQ1090" s="169">
        <v>8.4</v>
      </c>
      <c r="AR1090" s="170">
        <v>67</v>
      </c>
      <c r="AT1090" s="165">
        <v>77</v>
      </c>
      <c r="AU1090" s="167">
        <v>73.637961335676621</v>
      </c>
      <c r="AV1090" s="168">
        <v>0.6</v>
      </c>
      <c r="AW1090" s="169">
        <v>6.2</v>
      </c>
      <c r="AX1090" s="170">
        <v>56</v>
      </c>
      <c r="AY1090" s="20">
        <f t="shared" si="13"/>
        <v>14</v>
      </c>
      <c r="AZ1090" s="165">
        <v>7</v>
      </c>
      <c r="BA1090" s="167">
        <v>4.7451669595782073</v>
      </c>
      <c r="BB1090" s="168">
        <v>-1.7</v>
      </c>
      <c r="BC1090" s="169">
        <v>1.6</v>
      </c>
      <c r="BD1090" s="170">
        <v>33</v>
      </c>
      <c r="BL1090" s="165">
        <v>11</v>
      </c>
      <c r="BM1090" s="167">
        <v>0.26501766784452296</v>
      </c>
      <c r="BN1090" s="168">
        <v>-2.8</v>
      </c>
      <c r="BO1090" s="169">
        <v>-0.6</v>
      </c>
      <c r="BP1090" s="170">
        <v>22</v>
      </c>
      <c r="BX1090" s="165">
        <v>707</v>
      </c>
      <c r="BY1090" s="167">
        <v>0.44014084507042256</v>
      </c>
      <c r="BZ1090" s="168">
        <v>-2.6</v>
      </c>
      <c r="CA1090" s="169">
        <v>-0.2</v>
      </c>
      <c r="CB1090" s="170">
        <v>24</v>
      </c>
      <c r="CD1090" s="138" t="s">
        <v>237</v>
      </c>
      <c r="CE1090" s="139"/>
      <c r="CF1090" s="139"/>
      <c r="CG1090" s="140" t="s">
        <v>215</v>
      </c>
      <c r="CH1090" s="141">
        <v>569</v>
      </c>
      <c r="CP1090" s="165">
        <v>521</v>
      </c>
      <c r="CQ1090" s="167">
        <v>0.26362038664323373</v>
      </c>
      <c r="CR1090" s="168">
        <v>-2.8</v>
      </c>
      <c r="CS1090" s="169">
        <v>-0.6</v>
      </c>
      <c r="CT1090" s="170">
        <v>22</v>
      </c>
      <c r="CV1090" s="165">
        <v>54</v>
      </c>
      <c r="CW1090" s="167">
        <v>0.35211267605633806</v>
      </c>
      <c r="CX1090" s="168">
        <v>-2.7</v>
      </c>
      <c r="CY1090" s="169">
        <v>-0.4</v>
      </c>
      <c r="CZ1090" s="170">
        <v>23</v>
      </c>
      <c r="DA1090" s="20">
        <f t="shared" si="14"/>
        <v>60</v>
      </c>
      <c r="DB1090" s="165">
        <v>0.6</v>
      </c>
      <c r="DC1090" s="167">
        <v>0.8353221957040573</v>
      </c>
      <c r="DD1090" s="168">
        <v>-2.4</v>
      </c>
      <c r="DE1090" s="169">
        <v>0.2</v>
      </c>
      <c r="DF1090" s="170">
        <v>26</v>
      </c>
    </row>
    <row r="1091" spans="15:110" ht="13.15" hidden="1" x14ac:dyDescent="0.25">
      <c r="Q1091" s="11" t="e">
        <f>$F69-4.99*$R$1031-0.61*$R$1030+1</f>
        <v>#REF!</v>
      </c>
      <c r="R1091" s="11" t="e">
        <f>$F69-4.99*$R$1031-0.61*$R$1030-1</f>
        <v>#REF!</v>
      </c>
      <c r="S1091" s="178" t="e">
        <f>IF(T1091&lt;2.5,2.5,IF(T1091&gt;16,16,T1091))</f>
        <v>#REF!</v>
      </c>
      <c r="T1091" s="11" t="e">
        <f>IF($F$66="A",Q1091,IF($F$66="B",R1091,""))</f>
        <v>#REF!</v>
      </c>
      <c r="U1091" s="147" t="s">
        <v>205</v>
      </c>
      <c r="AB1091" s="138" t="s">
        <v>159</v>
      </c>
      <c r="AC1091" s="139"/>
      <c r="AD1091" s="139"/>
      <c r="AE1091" s="140"/>
      <c r="AF1091" s="141" t="s">
        <v>160</v>
      </c>
      <c r="AG1091" s="20">
        <f t="shared" si="15"/>
        <v>6</v>
      </c>
      <c r="AH1091" s="165">
        <v>3</v>
      </c>
      <c r="AI1091" s="167">
        <v>0.9717314487632509</v>
      </c>
      <c r="AJ1091" s="168">
        <v>-2.2999999999999998</v>
      </c>
      <c r="AK1091" s="169">
        <v>0.4</v>
      </c>
      <c r="AL1091" s="170">
        <v>27</v>
      </c>
      <c r="AN1091" s="165">
        <v>69</v>
      </c>
      <c r="AO1091" s="167">
        <v>97.183098591549296</v>
      </c>
      <c r="AP1091" s="168">
        <v>1.9</v>
      </c>
      <c r="AQ1091" s="169">
        <v>8.8000000000000007</v>
      </c>
      <c r="AR1091" s="170">
        <v>69</v>
      </c>
      <c r="AT1091" s="165">
        <v>78</v>
      </c>
      <c r="AU1091" s="167">
        <v>81.458699472759221</v>
      </c>
      <c r="AV1091" s="168">
        <v>0.9</v>
      </c>
      <c r="AW1091" s="169">
        <v>6.8</v>
      </c>
      <c r="AX1091" s="170">
        <v>59</v>
      </c>
      <c r="AY1091" s="20">
        <f t="shared" si="13"/>
        <v>15</v>
      </c>
      <c r="AZ1091" s="165">
        <v>7.5</v>
      </c>
      <c r="BA1091" s="167">
        <v>6.1511423550087869</v>
      </c>
      <c r="BB1091" s="168">
        <v>-1.5</v>
      </c>
      <c r="BC1091" s="169">
        <v>2</v>
      </c>
      <c r="BD1091" s="170">
        <v>35</v>
      </c>
      <c r="BL1091" s="165">
        <v>12</v>
      </c>
      <c r="BM1091" s="167">
        <v>0.26501766784452296</v>
      </c>
      <c r="BN1091" s="168">
        <v>-2.8</v>
      </c>
      <c r="BO1091" s="169">
        <v>-0.6</v>
      </c>
      <c r="BP1091" s="170">
        <v>22</v>
      </c>
      <c r="BX1091" s="165">
        <v>706</v>
      </c>
      <c r="BY1091" s="167">
        <v>0.44014084507042256</v>
      </c>
      <c r="BZ1091" s="168">
        <v>-2.6</v>
      </c>
      <c r="CA1091" s="169">
        <v>-0.2</v>
      </c>
      <c r="CB1091" s="170">
        <v>24</v>
      </c>
      <c r="CD1091" s="144" t="s">
        <v>161</v>
      </c>
      <c r="CH1091" s="145"/>
      <c r="CJ1091" s="138" t="s">
        <v>240</v>
      </c>
      <c r="CK1091" s="139"/>
      <c r="CL1091" s="139"/>
      <c r="CM1091" s="140" t="s">
        <v>215</v>
      </c>
      <c r="CN1091" s="141">
        <v>569</v>
      </c>
      <c r="CP1091" s="165">
        <v>520</v>
      </c>
      <c r="CQ1091" s="167">
        <v>0.26362038664323373</v>
      </c>
      <c r="CR1091" s="168">
        <v>-2.8</v>
      </c>
      <c r="CS1091" s="169">
        <v>-0.6</v>
      </c>
      <c r="CT1091" s="170">
        <v>22</v>
      </c>
      <c r="CV1091" s="165">
        <v>53</v>
      </c>
      <c r="CW1091" s="167">
        <v>0.35211267605633806</v>
      </c>
      <c r="CX1091" s="168">
        <v>-2.7</v>
      </c>
      <c r="CY1091" s="169">
        <v>-0.4</v>
      </c>
      <c r="CZ1091" s="170">
        <v>23</v>
      </c>
      <c r="DA1091" s="20">
        <f t="shared" si="14"/>
        <v>61</v>
      </c>
      <c r="DB1091" s="165">
        <v>0.61</v>
      </c>
      <c r="DC1091" s="167">
        <v>0.8353221957040573</v>
      </c>
      <c r="DD1091" s="168">
        <v>-2.4</v>
      </c>
      <c r="DE1091" s="169">
        <v>0.2</v>
      </c>
      <c r="DF1091" s="170">
        <v>26</v>
      </c>
    </row>
    <row r="1092" spans="15:110" ht="13.15" hidden="1" thickBot="1" x14ac:dyDescent="0.25">
      <c r="S1092" s="178" t="e">
        <f>IF(T1092&lt;1.5,1.5,IF(T1092&gt;16,16,T1092))</f>
        <v>#REF!</v>
      </c>
      <c r="T1092" s="11" t="e">
        <f>$F70-6.42*$R$1031-0.96*$R$1030</f>
        <v>#REF!</v>
      </c>
      <c r="U1092" s="147" t="s">
        <v>206</v>
      </c>
      <c r="AB1092" s="144" t="s">
        <v>161</v>
      </c>
      <c r="AD1092" s="20" t="s">
        <v>162</v>
      </c>
      <c r="AF1092" s="145"/>
      <c r="AG1092" s="20">
        <f t="shared" si="15"/>
        <v>7</v>
      </c>
      <c r="AH1092" s="165">
        <v>3.5</v>
      </c>
      <c r="AI1092" s="167">
        <v>1.3250883392226149</v>
      </c>
      <c r="AJ1092" s="168">
        <v>-2.2000000000000002</v>
      </c>
      <c r="AK1092" s="169">
        <v>0.6</v>
      </c>
      <c r="AL1092" s="170">
        <v>28</v>
      </c>
      <c r="AN1092" s="165">
        <v>70</v>
      </c>
      <c r="AO1092" s="167">
        <v>98.50352112676056</v>
      </c>
      <c r="AP1092" s="168">
        <v>2.2000000000000002</v>
      </c>
      <c r="AQ1092" s="169">
        <v>9.4</v>
      </c>
      <c r="AR1092" s="170">
        <v>72</v>
      </c>
      <c r="AT1092" s="165">
        <v>79</v>
      </c>
      <c r="AU1092" s="167">
        <v>86.7311072056239</v>
      </c>
      <c r="AV1092" s="168">
        <v>1.1000000000000001</v>
      </c>
      <c r="AW1092" s="169">
        <v>7.2</v>
      </c>
      <c r="AX1092" s="170">
        <v>61</v>
      </c>
      <c r="AY1092" s="20">
        <f t="shared" si="13"/>
        <v>16</v>
      </c>
      <c r="AZ1092" s="165">
        <v>8</v>
      </c>
      <c r="BA1092" s="167">
        <v>8.172231985940245</v>
      </c>
      <c r="BB1092" s="168">
        <v>-1.4</v>
      </c>
      <c r="BC1092" s="169">
        <v>2.2000000000000002</v>
      </c>
      <c r="BD1092" s="170">
        <v>36</v>
      </c>
      <c r="BL1092" s="165">
        <v>13</v>
      </c>
      <c r="BM1092" s="167">
        <v>0.53003533568904593</v>
      </c>
      <c r="BN1092" s="168">
        <v>-2.6</v>
      </c>
      <c r="BO1092" s="169">
        <v>-0.2</v>
      </c>
      <c r="BP1092" s="170">
        <v>24</v>
      </c>
      <c r="BX1092" s="165">
        <v>705</v>
      </c>
      <c r="BY1092" s="167">
        <v>0.44014084507042256</v>
      </c>
      <c r="BZ1092" s="168">
        <v>-2.6</v>
      </c>
      <c r="CA1092" s="169">
        <v>-0.2</v>
      </c>
      <c r="CB1092" s="170">
        <v>24</v>
      </c>
      <c r="CD1092" s="147" t="s">
        <v>238</v>
      </c>
      <c r="CE1092" s="148"/>
      <c r="CF1092" s="148"/>
      <c r="CG1092" s="148"/>
      <c r="CH1092" s="149"/>
      <c r="CJ1092" s="144" t="s">
        <v>161</v>
      </c>
      <c r="CN1092" s="145"/>
      <c r="CP1092" s="165">
        <v>519</v>
      </c>
      <c r="CQ1092" s="167">
        <v>0.26362038664323373</v>
      </c>
      <c r="CR1092" s="168">
        <v>-2.8</v>
      </c>
      <c r="CS1092" s="169">
        <v>-0.6</v>
      </c>
      <c r="CT1092" s="170">
        <v>22</v>
      </c>
      <c r="CV1092" s="165">
        <v>52</v>
      </c>
      <c r="CW1092" s="167">
        <v>0.35211267605633806</v>
      </c>
      <c r="CX1092" s="168">
        <v>-2.7</v>
      </c>
      <c r="CY1092" s="169">
        <v>-0.4</v>
      </c>
      <c r="CZ1092" s="170">
        <v>23</v>
      </c>
      <c r="DA1092" s="20">
        <f t="shared" si="14"/>
        <v>62</v>
      </c>
      <c r="DB1092" s="165">
        <v>0.62</v>
      </c>
      <c r="DC1092" s="167">
        <v>0.8353221957040573</v>
      </c>
      <c r="DD1092" s="168">
        <v>-2.4</v>
      </c>
      <c r="DE1092" s="169">
        <v>0.2</v>
      </c>
      <c r="DF1092" s="170">
        <v>26</v>
      </c>
    </row>
    <row r="1093" spans="15:110" ht="13.15" hidden="1" thickBot="1" x14ac:dyDescent="0.25">
      <c r="S1093" s="178" t="e">
        <f>IF(T1093&lt;2.5,2.5,IF(T1093&gt;16,16,T1093))</f>
        <v>#REF!</v>
      </c>
      <c r="T1093" s="11" t="e">
        <f>$F71-6.63*$R$1031-0.86*$R$1030</f>
        <v>#REF!</v>
      </c>
      <c r="U1093" s="147" t="s">
        <v>207</v>
      </c>
      <c r="AB1093" s="147" t="s">
        <v>165</v>
      </c>
      <c r="AC1093" s="148"/>
      <c r="AD1093" s="148"/>
      <c r="AE1093" s="148"/>
      <c r="AF1093" s="149"/>
      <c r="AG1093" s="20">
        <f t="shared" si="15"/>
        <v>8</v>
      </c>
      <c r="AH1093" s="165">
        <v>4</v>
      </c>
      <c r="AI1093" s="167">
        <v>1.5901060070671376</v>
      </c>
      <c r="AJ1093" s="168">
        <v>-2.1</v>
      </c>
      <c r="AK1093" s="169">
        <v>0.8</v>
      </c>
      <c r="AL1093" s="170">
        <v>29</v>
      </c>
      <c r="AN1093" s="165">
        <v>71</v>
      </c>
      <c r="AO1093" s="167">
        <v>99.119718309859152</v>
      </c>
      <c r="AP1093" s="168">
        <v>2.4</v>
      </c>
      <c r="AQ1093" s="169">
        <v>9.8000000000000007</v>
      </c>
      <c r="AR1093" s="170">
        <v>74</v>
      </c>
      <c r="AT1093" s="172">
        <v>80</v>
      </c>
      <c r="AU1093" s="173">
        <v>93.760984182776795</v>
      </c>
      <c r="AV1093" s="174">
        <v>1.5</v>
      </c>
      <c r="AW1093" s="175">
        <v>8</v>
      </c>
      <c r="AX1093" s="176">
        <v>65</v>
      </c>
      <c r="AY1093" s="20">
        <f t="shared" si="13"/>
        <v>17</v>
      </c>
      <c r="AZ1093" s="165">
        <v>8.5</v>
      </c>
      <c r="BA1093" s="167">
        <v>11.423550087873462</v>
      </c>
      <c r="BB1093" s="168">
        <v>-1.2</v>
      </c>
      <c r="BC1093" s="169">
        <v>2.6</v>
      </c>
      <c r="BD1093" s="170">
        <v>38</v>
      </c>
      <c r="BL1093" s="165">
        <v>14</v>
      </c>
      <c r="BM1093" s="167">
        <v>0.9717314487632509</v>
      </c>
      <c r="BN1093" s="168">
        <v>-2.2999999999999998</v>
      </c>
      <c r="BO1093" s="169">
        <v>0.4</v>
      </c>
      <c r="BP1093" s="170">
        <v>27</v>
      </c>
      <c r="BX1093" s="165">
        <v>704</v>
      </c>
      <c r="BY1093" s="167">
        <v>0.44014084507042256</v>
      </c>
      <c r="BZ1093" s="168">
        <v>-2.6</v>
      </c>
      <c r="CA1093" s="169">
        <v>-0.2</v>
      </c>
      <c r="CB1093" s="170">
        <v>24</v>
      </c>
      <c r="CD1093" s="150" t="s">
        <v>164</v>
      </c>
      <c r="CE1093" s="151" t="s">
        <v>88</v>
      </c>
      <c r="CF1093" s="152"/>
      <c r="CG1093" s="152"/>
      <c r="CH1093" s="153"/>
      <c r="CJ1093" s="147" t="s">
        <v>242</v>
      </c>
      <c r="CK1093" s="148"/>
      <c r="CL1093" s="148"/>
      <c r="CM1093" s="148"/>
      <c r="CN1093" s="149"/>
      <c r="CP1093" s="165">
        <v>518</v>
      </c>
      <c r="CQ1093" s="167">
        <v>0.26362038664323373</v>
      </c>
      <c r="CR1093" s="168">
        <v>-2.8</v>
      </c>
      <c r="CS1093" s="169">
        <v>-0.6</v>
      </c>
      <c r="CT1093" s="170">
        <v>22</v>
      </c>
      <c r="CV1093" s="165">
        <v>51</v>
      </c>
      <c r="CW1093" s="167">
        <v>0.35211267605633806</v>
      </c>
      <c r="CX1093" s="168">
        <v>-2.7</v>
      </c>
      <c r="CY1093" s="169">
        <v>-0.4</v>
      </c>
      <c r="CZ1093" s="170">
        <v>23</v>
      </c>
      <c r="DA1093" s="20">
        <f t="shared" si="14"/>
        <v>63</v>
      </c>
      <c r="DB1093" s="165">
        <v>0.63</v>
      </c>
      <c r="DC1093" s="167">
        <v>0.8353221957040573</v>
      </c>
      <c r="DD1093" s="168">
        <v>-2.4</v>
      </c>
      <c r="DE1093" s="169">
        <v>0.2</v>
      </c>
      <c r="DF1093" s="170">
        <v>26</v>
      </c>
    </row>
    <row r="1094" spans="15:110" ht="13.15" hidden="1" thickBot="1" x14ac:dyDescent="0.25">
      <c r="S1094" s="178" t="e">
        <f>IF(T1094&lt;1,1,IF(T1094&gt;16,16,T1094))</f>
        <v>#REF!</v>
      </c>
      <c r="T1094" s="11" t="e">
        <f>$F72-5.38*$R$1031</f>
        <v>#REF!</v>
      </c>
      <c r="U1094" s="147" t="s">
        <v>208</v>
      </c>
      <c r="AB1094" s="150" t="s">
        <v>164</v>
      </c>
      <c r="AC1094" s="151" t="s">
        <v>23</v>
      </c>
      <c r="AD1094" s="152"/>
      <c r="AE1094" s="152"/>
      <c r="AF1094" s="153"/>
      <c r="AG1094" s="20">
        <f t="shared" si="15"/>
        <v>9</v>
      </c>
      <c r="AH1094" s="165">
        <v>4.5</v>
      </c>
      <c r="AI1094" s="167">
        <v>1.8551236749116609</v>
      </c>
      <c r="AJ1094" s="168">
        <v>-2.1</v>
      </c>
      <c r="AK1094" s="169">
        <v>0.8</v>
      </c>
      <c r="AL1094" s="170">
        <v>29</v>
      </c>
      <c r="AN1094" s="165">
        <v>72</v>
      </c>
      <c r="AO1094" s="167">
        <v>99.471830985915489</v>
      </c>
      <c r="AP1094" s="168">
        <v>2.6</v>
      </c>
      <c r="AQ1094" s="169">
        <v>10.199999999999999</v>
      </c>
      <c r="AR1094" s="170">
        <v>76</v>
      </c>
      <c r="AY1094" s="20">
        <f t="shared" si="13"/>
        <v>18</v>
      </c>
      <c r="AZ1094" s="165">
        <v>9</v>
      </c>
      <c r="BA1094" s="167">
        <v>15.289982425307558</v>
      </c>
      <c r="BB1094" s="168">
        <v>-1</v>
      </c>
      <c r="BC1094" s="169">
        <v>3</v>
      </c>
      <c r="BD1094" s="170">
        <v>40</v>
      </c>
      <c r="BL1094" s="165">
        <v>15</v>
      </c>
      <c r="BM1094" s="167">
        <v>1.7667844522968199</v>
      </c>
      <c r="BN1094" s="168">
        <v>-2.1</v>
      </c>
      <c r="BO1094" s="169">
        <v>0.8</v>
      </c>
      <c r="BP1094" s="170">
        <v>29</v>
      </c>
      <c r="BX1094" s="165">
        <v>703</v>
      </c>
      <c r="BY1094" s="167">
        <v>0.44014084507042256</v>
      </c>
      <c r="BZ1094" s="168">
        <v>-2.6</v>
      </c>
      <c r="CA1094" s="169">
        <v>-0.2</v>
      </c>
      <c r="CB1094" s="170">
        <v>24</v>
      </c>
      <c r="CD1094" s="155" t="s">
        <v>10</v>
      </c>
      <c r="CE1094" s="158" t="s">
        <v>13</v>
      </c>
      <c r="CF1094" s="156" t="s">
        <v>14</v>
      </c>
      <c r="CG1094" s="156" t="s">
        <v>15</v>
      </c>
      <c r="CH1094" s="159" t="s">
        <v>16</v>
      </c>
      <c r="CJ1094" s="150" t="s">
        <v>164</v>
      </c>
      <c r="CK1094" s="151" t="s">
        <v>88</v>
      </c>
      <c r="CL1094" s="152"/>
      <c r="CM1094" s="152"/>
      <c r="CN1094" s="153"/>
      <c r="CP1094" s="165">
        <v>517</v>
      </c>
      <c r="CQ1094" s="167">
        <v>0.26362038664323373</v>
      </c>
      <c r="CR1094" s="168">
        <v>-2.8</v>
      </c>
      <c r="CS1094" s="169">
        <v>-0.6</v>
      </c>
      <c r="CT1094" s="170">
        <v>22</v>
      </c>
      <c r="CV1094" s="165">
        <v>50</v>
      </c>
      <c r="CW1094" s="167">
        <v>0.35211267605633806</v>
      </c>
      <c r="CX1094" s="168">
        <v>-2.7</v>
      </c>
      <c r="CY1094" s="169">
        <v>-0.4</v>
      </c>
      <c r="CZ1094" s="170">
        <v>23</v>
      </c>
      <c r="DA1094" s="20">
        <f t="shared" si="14"/>
        <v>64</v>
      </c>
      <c r="DB1094" s="165">
        <v>0.64</v>
      </c>
      <c r="DC1094" s="167">
        <v>0.8353221957040573</v>
      </c>
      <c r="DD1094" s="168">
        <v>-2.4</v>
      </c>
      <c r="DE1094" s="169">
        <v>0.2</v>
      </c>
      <c r="DF1094" s="170">
        <v>26</v>
      </c>
    </row>
    <row r="1095" spans="15:110" ht="13.15" hidden="1" thickBot="1" x14ac:dyDescent="0.25">
      <c r="S1095" s="178" t="e">
        <f>IF(F73&lt;2.5,2.5,IF(F73&gt;16,16,F73))</f>
        <v>#REF!</v>
      </c>
      <c r="T1095" s="11"/>
      <c r="U1095" s="147" t="s">
        <v>239</v>
      </c>
      <c r="AB1095" s="155" t="s">
        <v>10</v>
      </c>
      <c r="AC1095" s="158" t="s">
        <v>13</v>
      </c>
      <c r="AD1095" s="156" t="s">
        <v>14</v>
      </c>
      <c r="AE1095" s="158" t="s">
        <v>15</v>
      </c>
      <c r="AF1095" s="159" t="s">
        <v>16</v>
      </c>
      <c r="AG1095" s="20">
        <f t="shared" si="15"/>
        <v>10</v>
      </c>
      <c r="AH1095" s="165">
        <v>5</v>
      </c>
      <c r="AI1095" s="167">
        <v>2.5618374558303887</v>
      </c>
      <c r="AJ1095" s="168">
        <v>-2</v>
      </c>
      <c r="AK1095" s="169">
        <v>1</v>
      </c>
      <c r="AL1095" s="170">
        <v>30</v>
      </c>
      <c r="AN1095" s="172">
        <v>73</v>
      </c>
      <c r="AO1095" s="173">
        <v>99.823943661971825</v>
      </c>
      <c r="AP1095" s="174">
        <v>2.9</v>
      </c>
      <c r="AQ1095" s="175">
        <v>10.8</v>
      </c>
      <c r="AR1095" s="176">
        <v>79</v>
      </c>
      <c r="AY1095" s="20">
        <f t="shared" si="13"/>
        <v>19</v>
      </c>
      <c r="AZ1095" s="165">
        <v>9.5</v>
      </c>
      <c r="BA1095" s="167">
        <v>20.035149384885763</v>
      </c>
      <c r="BB1095" s="168">
        <v>-0.8</v>
      </c>
      <c r="BC1095" s="169">
        <v>3.4</v>
      </c>
      <c r="BD1095" s="170">
        <v>42</v>
      </c>
      <c r="BL1095" s="165">
        <v>16</v>
      </c>
      <c r="BM1095" s="167">
        <v>2.8268551236749118</v>
      </c>
      <c r="BN1095" s="168">
        <v>-1.9</v>
      </c>
      <c r="BO1095" s="169">
        <v>1.2</v>
      </c>
      <c r="BP1095" s="170">
        <v>31</v>
      </c>
      <c r="BX1095" s="165">
        <v>702</v>
      </c>
      <c r="BY1095" s="167">
        <v>0.44014084507042256</v>
      </c>
      <c r="BZ1095" s="168">
        <v>-2.6</v>
      </c>
      <c r="CA1095" s="169">
        <v>-0.2</v>
      </c>
      <c r="CB1095" s="170">
        <v>24</v>
      </c>
      <c r="CD1095" s="160">
        <v>10</v>
      </c>
      <c r="CE1095" s="161">
        <v>8.7873462214411238E-2</v>
      </c>
      <c r="CF1095" s="162">
        <v>-3</v>
      </c>
      <c r="CG1095" s="163">
        <v>-1</v>
      </c>
      <c r="CH1095" s="164">
        <v>20</v>
      </c>
      <c r="CJ1095" s="155" t="s">
        <v>10</v>
      </c>
      <c r="CK1095" s="158" t="s">
        <v>13</v>
      </c>
      <c r="CL1095" s="156" t="s">
        <v>14</v>
      </c>
      <c r="CM1095" s="156" t="s">
        <v>15</v>
      </c>
      <c r="CN1095" s="159" t="s">
        <v>16</v>
      </c>
      <c r="CP1095" s="165">
        <v>516</v>
      </c>
      <c r="CQ1095" s="167">
        <v>0.26362038664323373</v>
      </c>
      <c r="CR1095" s="168">
        <v>-2.8</v>
      </c>
      <c r="CS1095" s="169">
        <v>-0.6</v>
      </c>
      <c r="CT1095" s="170">
        <v>22</v>
      </c>
      <c r="CV1095" s="165">
        <v>49</v>
      </c>
      <c r="CW1095" s="167">
        <v>0.35211267605633806</v>
      </c>
      <c r="CX1095" s="168">
        <v>-2.7</v>
      </c>
      <c r="CY1095" s="169">
        <v>-0.4</v>
      </c>
      <c r="CZ1095" s="170">
        <v>23</v>
      </c>
      <c r="DA1095" s="20">
        <f t="shared" si="14"/>
        <v>65</v>
      </c>
      <c r="DB1095" s="165">
        <v>0.65</v>
      </c>
      <c r="DC1095" s="167">
        <v>0.8353221957040573</v>
      </c>
      <c r="DD1095" s="168">
        <v>-2.4</v>
      </c>
      <c r="DE1095" s="169">
        <v>0.2</v>
      </c>
      <c r="DF1095" s="170">
        <v>26</v>
      </c>
    </row>
    <row r="1096" spans="15:110" ht="13.15" hidden="1" x14ac:dyDescent="0.25">
      <c r="S1096" s="178" t="e">
        <f>IF(F74&lt;0,0,IF(F74&gt;16,16,F74))</f>
        <v>#REF!</v>
      </c>
      <c r="T1096" s="11"/>
      <c r="U1096" s="147" t="s">
        <v>239</v>
      </c>
      <c r="AB1096" s="165">
        <v>2</v>
      </c>
      <c r="AC1096" s="167">
        <v>0.17574692442882248</v>
      </c>
      <c r="AD1096" s="168">
        <v>-2.9</v>
      </c>
      <c r="AE1096" s="169">
        <v>-0.8</v>
      </c>
      <c r="AF1096" s="170">
        <v>21</v>
      </c>
      <c r="AG1096" s="20">
        <f t="shared" si="15"/>
        <v>11</v>
      </c>
      <c r="AH1096" s="165">
        <v>5.5</v>
      </c>
      <c r="AI1096" s="167">
        <v>3.4452296819787986</v>
      </c>
      <c r="AJ1096" s="168">
        <v>-1.8</v>
      </c>
      <c r="AK1096" s="169">
        <v>1.4</v>
      </c>
      <c r="AL1096" s="170">
        <v>32</v>
      </c>
      <c r="AT1096" s="138" t="s">
        <v>203</v>
      </c>
      <c r="AU1096" s="139"/>
      <c r="AV1096" s="139"/>
      <c r="AW1096" s="140"/>
      <c r="AX1096" s="141" t="s">
        <v>160</v>
      </c>
      <c r="AY1096" s="20">
        <f t="shared" si="13"/>
        <v>20</v>
      </c>
      <c r="AZ1096" s="165">
        <v>10</v>
      </c>
      <c r="BA1096" s="167">
        <v>25.57117750439367</v>
      </c>
      <c r="BB1096" s="168">
        <v>-0.7</v>
      </c>
      <c r="BC1096" s="169">
        <v>3.6</v>
      </c>
      <c r="BD1096" s="170">
        <v>43</v>
      </c>
      <c r="BL1096" s="165">
        <v>17</v>
      </c>
      <c r="BM1096" s="167">
        <v>4.328621908127209</v>
      </c>
      <c r="BN1096" s="168">
        <v>-1.7</v>
      </c>
      <c r="BO1096" s="169">
        <v>1.6</v>
      </c>
      <c r="BP1096" s="170">
        <v>33</v>
      </c>
      <c r="BX1096" s="165">
        <v>701</v>
      </c>
      <c r="BY1096" s="167">
        <v>0.44014084507042256</v>
      </c>
      <c r="BZ1096" s="168">
        <v>-2.6</v>
      </c>
      <c r="CA1096" s="169">
        <v>-0.2</v>
      </c>
      <c r="CB1096" s="170">
        <v>24</v>
      </c>
      <c r="CD1096" s="165">
        <v>9</v>
      </c>
      <c r="CE1096" s="167">
        <v>0.35149384885764495</v>
      </c>
      <c r="CF1096" s="168">
        <v>-2.7</v>
      </c>
      <c r="CG1096" s="169">
        <v>-0.4</v>
      </c>
      <c r="CH1096" s="170">
        <v>23</v>
      </c>
      <c r="CJ1096" s="160">
        <v>27</v>
      </c>
      <c r="CK1096" s="161">
        <v>8.7873462214411238E-2</v>
      </c>
      <c r="CL1096" s="162">
        <v>-3</v>
      </c>
      <c r="CM1096" s="163">
        <v>-1</v>
      </c>
      <c r="CN1096" s="164">
        <v>20</v>
      </c>
      <c r="CP1096" s="165">
        <v>515</v>
      </c>
      <c r="CQ1096" s="167">
        <v>0.26362038664323373</v>
      </c>
      <c r="CR1096" s="168">
        <v>-2.8</v>
      </c>
      <c r="CS1096" s="169">
        <v>-0.6</v>
      </c>
      <c r="CT1096" s="170">
        <v>22</v>
      </c>
      <c r="CV1096" s="165">
        <v>48</v>
      </c>
      <c r="CW1096" s="167">
        <v>0.35211267605633806</v>
      </c>
      <c r="CX1096" s="168">
        <v>-2.7</v>
      </c>
      <c r="CY1096" s="169">
        <v>-0.4</v>
      </c>
      <c r="CZ1096" s="170">
        <v>23</v>
      </c>
      <c r="DA1096" s="20">
        <f t="shared" si="14"/>
        <v>66</v>
      </c>
      <c r="DB1096" s="165">
        <v>0.66</v>
      </c>
      <c r="DC1096" s="167">
        <v>1.0739856801909307</v>
      </c>
      <c r="DD1096" s="168">
        <v>-2.2999999999999998</v>
      </c>
      <c r="DE1096" s="169">
        <v>0.4</v>
      </c>
      <c r="DF1096" s="170">
        <v>27</v>
      </c>
    </row>
    <row r="1097" spans="15:110" ht="13.15" hidden="1" thickBot="1" x14ac:dyDescent="0.25">
      <c r="S1097" s="178" t="e">
        <f>IF(F75&lt;0,0,IF(F75&gt;16,16,F75))</f>
        <v>#REF!</v>
      </c>
      <c r="T1097" s="11"/>
      <c r="U1097" s="147" t="s">
        <v>239</v>
      </c>
      <c r="AB1097" s="165">
        <v>3</v>
      </c>
      <c r="AC1097" s="167">
        <v>2.0210896309314585</v>
      </c>
      <c r="AD1097" s="168">
        <v>-2.1</v>
      </c>
      <c r="AE1097" s="169">
        <v>0.8</v>
      </c>
      <c r="AF1097" s="170">
        <v>29</v>
      </c>
      <c r="AG1097" s="20">
        <f t="shared" si="15"/>
        <v>12</v>
      </c>
      <c r="AH1097" s="165">
        <v>6</v>
      </c>
      <c r="AI1097" s="167">
        <v>4.1519434628975258</v>
      </c>
      <c r="AJ1097" s="168">
        <v>-1.7</v>
      </c>
      <c r="AK1097" s="169">
        <v>1.6</v>
      </c>
      <c r="AL1097" s="170">
        <v>33</v>
      </c>
      <c r="AT1097" s="144" t="s">
        <v>161</v>
      </c>
      <c r="AV1097" s="20" t="s">
        <v>162</v>
      </c>
      <c r="AX1097" s="145"/>
      <c r="AY1097" s="20">
        <f t="shared" si="13"/>
        <v>21</v>
      </c>
      <c r="AZ1097" s="165">
        <v>10.5</v>
      </c>
      <c r="BA1097" s="167">
        <v>31.107205623901578</v>
      </c>
      <c r="BB1097" s="168">
        <v>-0.5</v>
      </c>
      <c r="BC1097" s="169">
        <v>4</v>
      </c>
      <c r="BD1097" s="170">
        <v>45</v>
      </c>
      <c r="BL1097" s="165">
        <v>18</v>
      </c>
      <c r="BM1097" s="167">
        <v>6.978798586572438</v>
      </c>
      <c r="BN1097" s="168">
        <v>-1.5</v>
      </c>
      <c r="BO1097" s="169">
        <v>2</v>
      </c>
      <c r="BP1097" s="170">
        <v>35</v>
      </c>
      <c r="BX1097" s="165">
        <v>700</v>
      </c>
      <c r="BY1097" s="167">
        <v>0.44014084507042256</v>
      </c>
      <c r="BZ1097" s="168">
        <v>-2.6</v>
      </c>
      <c r="CA1097" s="169">
        <v>-0.2</v>
      </c>
      <c r="CB1097" s="170">
        <v>24</v>
      </c>
      <c r="CD1097" s="165">
        <v>8</v>
      </c>
      <c r="CE1097" s="167">
        <v>0.87873462214411258</v>
      </c>
      <c r="CF1097" s="168">
        <v>-2.4</v>
      </c>
      <c r="CG1097" s="169">
        <v>0.2</v>
      </c>
      <c r="CH1097" s="170">
        <v>26</v>
      </c>
      <c r="CJ1097" s="165">
        <v>26</v>
      </c>
      <c r="CK1097" s="167">
        <v>0.26362038664323373</v>
      </c>
      <c r="CL1097" s="168">
        <v>-2.8</v>
      </c>
      <c r="CM1097" s="169">
        <v>-0.6</v>
      </c>
      <c r="CN1097" s="170">
        <v>22</v>
      </c>
      <c r="CP1097" s="165">
        <v>514</v>
      </c>
      <c r="CQ1097" s="167">
        <v>0.26362038664323373</v>
      </c>
      <c r="CR1097" s="168">
        <v>-2.8</v>
      </c>
      <c r="CS1097" s="169">
        <v>-0.6</v>
      </c>
      <c r="CT1097" s="170">
        <v>22</v>
      </c>
      <c r="CV1097" s="165">
        <v>47</v>
      </c>
      <c r="CW1097" s="167">
        <v>0.35211267605633806</v>
      </c>
      <c r="CX1097" s="168">
        <v>-2.7</v>
      </c>
      <c r="CY1097" s="169">
        <v>-0.4</v>
      </c>
      <c r="CZ1097" s="170">
        <v>23</v>
      </c>
      <c r="DA1097" s="20">
        <f t="shared" si="14"/>
        <v>67</v>
      </c>
      <c r="DB1097" s="165">
        <v>0.67</v>
      </c>
      <c r="DC1097" s="167">
        <v>1.3126491646778042</v>
      </c>
      <c r="DD1097" s="168">
        <v>-2.2000000000000002</v>
      </c>
      <c r="DE1097" s="169">
        <v>0.6</v>
      </c>
      <c r="DF1097" s="170">
        <v>28</v>
      </c>
    </row>
    <row r="1098" spans="15:110" ht="13.8" hidden="1" thickBot="1" x14ac:dyDescent="0.3">
      <c r="S1098" s="178" t="e">
        <f>IF(F76&lt;3,3,IF(F76&gt;16,16,F76))</f>
        <v>#REF!</v>
      </c>
      <c r="T1098" s="11"/>
      <c r="U1098" s="147" t="s">
        <v>239</v>
      </c>
      <c r="AB1098" s="165">
        <v>4</v>
      </c>
      <c r="AC1098" s="167">
        <v>6.5026362038664329</v>
      </c>
      <c r="AD1098" s="168">
        <v>-1.5</v>
      </c>
      <c r="AE1098" s="169">
        <v>2</v>
      </c>
      <c r="AF1098" s="170">
        <v>35</v>
      </c>
      <c r="AG1098" s="20">
        <f t="shared" si="15"/>
        <v>13</v>
      </c>
      <c r="AH1098" s="165">
        <v>6.5</v>
      </c>
      <c r="AI1098" s="167">
        <v>5.0353356890459358</v>
      </c>
      <c r="AJ1098" s="168">
        <v>-1.6</v>
      </c>
      <c r="AK1098" s="169">
        <v>1.8</v>
      </c>
      <c r="AL1098" s="170">
        <v>34</v>
      </c>
      <c r="AN1098" s="138" t="s">
        <v>186</v>
      </c>
      <c r="AO1098" s="139"/>
      <c r="AP1098" s="139"/>
      <c r="AQ1098" s="140" t="s">
        <v>180</v>
      </c>
      <c r="AR1098" s="141">
        <v>568</v>
      </c>
      <c r="AT1098" s="147" t="s">
        <v>205</v>
      </c>
      <c r="AU1098" s="148"/>
      <c r="AV1098" s="148"/>
      <c r="AW1098" s="148"/>
      <c r="AX1098" s="149"/>
      <c r="AY1098" s="20">
        <f t="shared" si="13"/>
        <v>22</v>
      </c>
      <c r="AZ1098" s="165">
        <v>11</v>
      </c>
      <c r="BA1098" s="167">
        <v>35.852372583479792</v>
      </c>
      <c r="BB1098" s="168">
        <v>-0.4</v>
      </c>
      <c r="BC1098" s="169">
        <v>4.2</v>
      </c>
      <c r="BD1098" s="170">
        <v>46</v>
      </c>
      <c r="BL1098" s="165">
        <v>19</v>
      </c>
      <c r="BM1098" s="167">
        <v>10.512367491166078</v>
      </c>
      <c r="BN1098" s="168">
        <v>-1.3</v>
      </c>
      <c r="BO1098" s="169">
        <v>2.4</v>
      </c>
      <c r="BP1098" s="170">
        <v>37</v>
      </c>
      <c r="BX1098" s="165">
        <v>699</v>
      </c>
      <c r="BY1098" s="167">
        <v>0.44014084507042256</v>
      </c>
      <c r="BZ1098" s="168">
        <v>-2.6</v>
      </c>
      <c r="CA1098" s="169">
        <v>-0.2</v>
      </c>
      <c r="CB1098" s="170">
        <v>24</v>
      </c>
      <c r="CD1098" s="165">
        <v>7</v>
      </c>
      <c r="CE1098" s="167">
        <v>1.4938488576449911</v>
      </c>
      <c r="CF1098" s="168">
        <v>-2.2000000000000002</v>
      </c>
      <c r="CG1098" s="169">
        <v>0.6</v>
      </c>
      <c r="CH1098" s="170">
        <v>28</v>
      </c>
      <c r="CJ1098" s="165">
        <v>25</v>
      </c>
      <c r="CK1098" s="167">
        <v>0.26362038664323373</v>
      </c>
      <c r="CL1098" s="168">
        <v>-2.8</v>
      </c>
      <c r="CM1098" s="169">
        <v>-0.6</v>
      </c>
      <c r="CN1098" s="170">
        <v>22</v>
      </c>
      <c r="CP1098" s="165">
        <v>513</v>
      </c>
      <c r="CQ1098" s="167">
        <v>0.26362038664323373</v>
      </c>
      <c r="CR1098" s="168">
        <v>-2.8</v>
      </c>
      <c r="CS1098" s="169">
        <v>-0.6</v>
      </c>
      <c r="CT1098" s="170">
        <v>22</v>
      </c>
      <c r="CV1098" s="165">
        <v>46</v>
      </c>
      <c r="CW1098" s="167">
        <v>0.35211267605633806</v>
      </c>
      <c r="CX1098" s="168">
        <v>-2.7</v>
      </c>
      <c r="CY1098" s="169">
        <v>-0.4</v>
      </c>
      <c r="CZ1098" s="170">
        <v>23</v>
      </c>
      <c r="DA1098" s="20">
        <f t="shared" si="14"/>
        <v>68</v>
      </c>
      <c r="DB1098" s="165">
        <v>0.68</v>
      </c>
      <c r="DC1098" s="167">
        <v>1.5513126491646778</v>
      </c>
      <c r="DD1098" s="168">
        <v>-2.2000000000000002</v>
      </c>
      <c r="DE1098" s="169">
        <v>0.6</v>
      </c>
      <c r="DF1098" s="170">
        <v>28</v>
      </c>
    </row>
    <row r="1099" spans="15:110" ht="13.15" hidden="1" thickBot="1" x14ac:dyDescent="0.25">
      <c r="S1099" s="178" t="e">
        <f>IF(T1099&lt;-6.5,-6.5,IF(T1099&gt;8,8,T1099))</f>
        <v>#REF!</v>
      </c>
      <c r="T1099" s="11" t="e">
        <f>$F77-0.02*$R$1029+0.02*$R$1032</f>
        <v>#REF!</v>
      </c>
      <c r="U1099" s="147" t="s">
        <v>210</v>
      </c>
      <c r="AB1099" s="165">
        <v>5</v>
      </c>
      <c r="AC1099" s="167">
        <v>15.289982425307558</v>
      </c>
      <c r="AD1099" s="168">
        <v>-1</v>
      </c>
      <c r="AE1099" s="169">
        <v>3</v>
      </c>
      <c r="AF1099" s="170">
        <v>40</v>
      </c>
      <c r="AG1099" s="20">
        <f t="shared" si="15"/>
        <v>14</v>
      </c>
      <c r="AH1099" s="165">
        <v>7</v>
      </c>
      <c r="AI1099" s="167">
        <v>6.3604240282685502</v>
      </c>
      <c r="AJ1099" s="168">
        <v>-1.5</v>
      </c>
      <c r="AK1099" s="169">
        <v>2</v>
      </c>
      <c r="AL1099" s="170">
        <v>35</v>
      </c>
      <c r="AN1099" s="144" t="s">
        <v>161</v>
      </c>
      <c r="AP1099" s="20" t="s">
        <v>162</v>
      </c>
      <c r="AR1099" s="145"/>
      <c r="AT1099" s="150" t="s">
        <v>164</v>
      </c>
      <c r="AU1099" s="151" t="s">
        <v>44</v>
      </c>
      <c r="AV1099" s="152"/>
      <c r="AW1099" s="152"/>
      <c r="AX1099" s="153"/>
      <c r="AY1099" s="20">
        <f t="shared" si="13"/>
        <v>23</v>
      </c>
      <c r="AZ1099" s="165">
        <v>11.5</v>
      </c>
      <c r="BA1099" s="167">
        <v>39.982425307557115</v>
      </c>
      <c r="BB1099" s="168">
        <v>-0.3</v>
      </c>
      <c r="BC1099" s="169">
        <v>4.4000000000000004</v>
      </c>
      <c r="BD1099" s="170">
        <v>47</v>
      </c>
      <c r="BL1099" s="165">
        <v>20</v>
      </c>
      <c r="BM1099" s="167">
        <v>15.636042402826856</v>
      </c>
      <c r="BN1099" s="168">
        <v>-1</v>
      </c>
      <c r="BO1099" s="169">
        <v>3</v>
      </c>
      <c r="BP1099" s="170">
        <v>40</v>
      </c>
      <c r="BX1099" s="165">
        <v>698</v>
      </c>
      <c r="BY1099" s="167">
        <v>0.44014084507042256</v>
      </c>
      <c r="BZ1099" s="168">
        <v>-2.6</v>
      </c>
      <c r="CA1099" s="169">
        <v>-0.2</v>
      </c>
      <c r="CB1099" s="170">
        <v>24</v>
      </c>
      <c r="CD1099" s="165">
        <v>6</v>
      </c>
      <c r="CE1099" s="167">
        <v>3.0755711775043935</v>
      </c>
      <c r="CF1099" s="168">
        <v>-1.9</v>
      </c>
      <c r="CG1099" s="169">
        <v>1.2</v>
      </c>
      <c r="CH1099" s="170">
        <v>31</v>
      </c>
      <c r="CJ1099" s="165">
        <v>24</v>
      </c>
      <c r="CK1099" s="167">
        <v>0.26362038664323373</v>
      </c>
      <c r="CL1099" s="168">
        <v>-2.8</v>
      </c>
      <c r="CM1099" s="169">
        <v>-0.6</v>
      </c>
      <c r="CN1099" s="170">
        <v>22</v>
      </c>
      <c r="CP1099" s="165">
        <v>512</v>
      </c>
      <c r="CQ1099" s="167">
        <v>0.26362038664323373</v>
      </c>
      <c r="CR1099" s="168">
        <v>-2.8</v>
      </c>
      <c r="CS1099" s="169">
        <v>-0.6</v>
      </c>
      <c r="CT1099" s="170">
        <v>22</v>
      </c>
      <c r="CV1099" s="165">
        <v>45</v>
      </c>
      <c r="CW1099" s="167">
        <v>0.35211267605633806</v>
      </c>
      <c r="CX1099" s="168">
        <v>-2.7</v>
      </c>
      <c r="CY1099" s="169">
        <v>-0.4</v>
      </c>
      <c r="CZ1099" s="170">
        <v>23</v>
      </c>
      <c r="DA1099" s="20">
        <f t="shared" si="14"/>
        <v>69</v>
      </c>
      <c r="DB1099" s="165">
        <v>0.69</v>
      </c>
      <c r="DC1099" s="167">
        <v>1.5513126491646778</v>
      </c>
      <c r="DD1099" s="168">
        <v>-2.2000000000000002</v>
      </c>
      <c r="DE1099" s="169">
        <v>0.6</v>
      </c>
      <c r="DF1099" s="170">
        <v>28</v>
      </c>
    </row>
    <row r="1100" spans="15:110" ht="13.15" hidden="1" thickBot="1" x14ac:dyDescent="0.25">
      <c r="S1100" s="178" t="e">
        <f>IF(T1100&lt;-6,-6,IF(T1100&gt;9,9,T1100))</f>
        <v>#REF!</v>
      </c>
      <c r="T1100" s="11" t="e">
        <f>$F78-0.02*$R$1029</f>
        <v>#REF!</v>
      </c>
      <c r="U1100" s="147" t="s">
        <v>211</v>
      </c>
      <c r="AB1100" s="165">
        <v>6</v>
      </c>
      <c r="AC1100" s="167">
        <v>30.052724077328648</v>
      </c>
      <c r="AD1100" s="168">
        <v>-0.5</v>
      </c>
      <c r="AE1100" s="169">
        <v>4</v>
      </c>
      <c r="AF1100" s="170">
        <v>45</v>
      </c>
      <c r="AG1100" s="20">
        <f t="shared" si="15"/>
        <v>15</v>
      </c>
      <c r="AH1100" s="165">
        <v>7.5</v>
      </c>
      <c r="AI1100" s="167">
        <v>8.3922261484098932</v>
      </c>
      <c r="AJ1100" s="168">
        <v>-1.4</v>
      </c>
      <c r="AK1100" s="169">
        <v>2.2000000000000002</v>
      </c>
      <c r="AL1100" s="170">
        <v>36</v>
      </c>
      <c r="AN1100" s="147" t="s">
        <v>188</v>
      </c>
      <c r="AO1100" s="148"/>
      <c r="AP1100" s="148"/>
      <c r="AQ1100" s="148"/>
      <c r="AR1100" s="149"/>
      <c r="AT1100" s="155" t="s">
        <v>10</v>
      </c>
      <c r="AU1100" s="156" t="s">
        <v>13</v>
      </c>
      <c r="AV1100" s="156" t="s">
        <v>14</v>
      </c>
      <c r="AW1100" s="156" t="s">
        <v>15</v>
      </c>
      <c r="AX1100" s="157" t="s">
        <v>16</v>
      </c>
      <c r="AY1100" s="20">
        <f t="shared" si="13"/>
        <v>24</v>
      </c>
      <c r="AZ1100" s="165">
        <v>12</v>
      </c>
      <c r="BA1100" s="167">
        <v>45.869947275922677</v>
      </c>
      <c r="BB1100" s="168">
        <v>-0.1</v>
      </c>
      <c r="BC1100" s="169">
        <v>4.8</v>
      </c>
      <c r="BD1100" s="170">
        <v>49</v>
      </c>
      <c r="BL1100" s="165">
        <v>21</v>
      </c>
      <c r="BM1100" s="167">
        <v>22.614840989399294</v>
      </c>
      <c r="BN1100" s="168">
        <v>-0.8</v>
      </c>
      <c r="BO1100" s="169">
        <v>3.4</v>
      </c>
      <c r="BP1100" s="170">
        <v>42</v>
      </c>
      <c r="BX1100" s="165">
        <v>697</v>
      </c>
      <c r="BY1100" s="167">
        <v>0.44014084507042256</v>
      </c>
      <c r="BZ1100" s="168">
        <v>-2.6</v>
      </c>
      <c r="CA1100" s="169">
        <v>-0.2</v>
      </c>
      <c r="CB1100" s="170">
        <v>24</v>
      </c>
      <c r="CD1100" s="165">
        <v>5</v>
      </c>
      <c r="CE1100" s="167">
        <v>6.5026362038664329</v>
      </c>
      <c r="CF1100" s="168">
        <v>-1.5</v>
      </c>
      <c r="CG1100" s="169">
        <v>2</v>
      </c>
      <c r="CH1100" s="170">
        <v>35</v>
      </c>
      <c r="CJ1100" s="165">
        <v>23</v>
      </c>
      <c r="CK1100" s="167">
        <v>0.26362038664323373</v>
      </c>
      <c r="CL1100" s="168">
        <v>-2.8</v>
      </c>
      <c r="CM1100" s="169">
        <v>-0.6</v>
      </c>
      <c r="CN1100" s="170">
        <v>22</v>
      </c>
      <c r="CP1100" s="165">
        <v>511</v>
      </c>
      <c r="CQ1100" s="167">
        <v>0.26362038664323373</v>
      </c>
      <c r="CR1100" s="168">
        <v>-2.8</v>
      </c>
      <c r="CS1100" s="169">
        <v>-0.6</v>
      </c>
      <c r="CT1100" s="170">
        <v>22</v>
      </c>
      <c r="CV1100" s="165">
        <v>44</v>
      </c>
      <c r="CW1100" s="167">
        <v>0.61619718309859151</v>
      </c>
      <c r="CX1100" s="168">
        <v>-2.5</v>
      </c>
      <c r="CY1100" s="169">
        <v>0</v>
      </c>
      <c r="CZ1100" s="170">
        <v>25</v>
      </c>
      <c r="DA1100" s="20">
        <f t="shared" si="14"/>
        <v>70</v>
      </c>
      <c r="DB1100" s="165">
        <v>0.7</v>
      </c>
      <c r="DC1100" s="167">
        <v>1.7899761336515514</v>
      </c>
      <c r="DD1100" s="168">
        <v>-2.1</v>
      </c>
      <c r="DE1100" s="169">
        <v>0.8</v>
      </c>
      <c r="DF1100" s="170">
        <v>29</v>
      </c>
    </row>
    <row r="1101" spans="15:110" ht="13.15" hidden="1" thickBot="1" x14ac:dyDescent="0.25">
      <c r="O1101" s="11" t="e">
        <f>$F79-0.32*$R$1029+0.14*R1032+1</f>
        <v>#REF!</v>
      </c>
      <c r="P1101" s="11" t="e">
        <f>$F79-0.32*$R$1029+0.14*R1032-1</f>
        <v>#REF!</v>
      </c>
      <c r="Q1101" s="11"/>
      <c r="R1101" s="11"/>
      <c r="S1101" s="178">
        <f>IF(T1101&lt;0,0,IF(T1101&gt;53,53,T1101))</f>
        <v>53</v>
      </c>
      <c r="T1101" s="11" t="str">
        <f>IF($C$5="m",O1101,IF($C$5="w",P1101,""))</f>
        <v/>
      </c>
      <c r="U1101" s="147" t="s">
        <v>279</v>
      </c>
      <c r="AB1101" s="165">
        <v>7</v>
      </c>
      <c r="AC1101" s="167">
        <v>47.891036906854126</v>
      </c>
      <c r="AD1101" s="168">
        <v>-0.1</v>
      </c>
      <c r="AE1101" s="169">
        <v>4.8</v>
      </c>
      <c r="AF1101" s="170">
        <v>49</v>
      </c>
      <c r="AG1101" s="20">
        <f t="shared" si="15"/>
        <v>16</v>
      </c>
      <c r="AH1101" s="165">
        <v>8</v>
      </c>
      <c r="AI1101" s="167">
        <v>11.130742049469964</v>
      </c>
      <c r="AJ1101" s="168">
        <v>-1.2</v>
      </c>
      <c r="AK1101" s="169">
        <v>2.6</v>
      </c>
      <c r="AL1101" s="170">
        <v>38</v>
      </c>
      <c r="AN1101" s="150" t="s">
        <v>164</v>
      </c>
      <c r="AO1101" s="151" t="s">
        <v>23</v>
      </c>
      <c r="AP1101" s="152"/>
      <c r="AQ1101" s="152"/>
      <c r="AR1101" s="153"/>
      <c r="AS1101" s="20">
        <f>AT1101*2</f>
        <v>5</v>
      </c>
      <c r="AT1101" s="160">
        <v>2.5</v>
      </c>
      <c r="AU1101" s="161">
        <v>8.7873462214411238E-2</v>
      </c>
      <c r="AV1101" s="162">
        <v>-3</v>
      </c>
      <c r="AW1101" s="163">
        <v>-1</v>
      </c>
      <c r="AX1101" s="164">
        <v>20</v>
      </c>
      <c r="AY1101" s="20">
        <f t="shared" si="13"/>
        <v>25</v>
      </c>
      <c r="AZ1101" s="165">
        <v>12.5</v>
      </c>
      <c r="BA1101" s="167">
        <v>52.548330404217921</v>
      </c>
      <c r="BB1101" s="168">
        <v>0.1</v>
      </c>
      <c r="BC1101" s="169">
        <v>5.2</v>
      </c>
      <c r="BD1101" s="170">
        <v>51</v>
      </c>
      <c r="BL1101" s="165">
        <v>22</v>
      </c>
      <c r="BM1101" s="167">
        <v>29.858657243816257</v>
      </c>
      <c r="BN1101" s="168">
        <v>-0.5</v>
      </c>
      <c r="BO1101" s="169">
        <v>4</v>
      </c>
      <c r="BP1101" s="170">
        <v>45</v>
      </c>
      <c r="BX1101" s="165">
        <v>696</v>
      </c>
      <c r="BY1101" s="167">
        <v>0.44014084507042256</v>
      </c>
      <c r="BZ1101" s="168">
        <v>-2.6</v>
      </c>
      <c r="CA1101" s="169">
        <v>-0.2</v>
      </c>
      <c r="CB1101" s="170">
        <v>24</v>
      </c>
      <c r="CD1101" s="165">
        <v>4</v>
      </c>
      <c r="CE1101" s="167">
        <v>10.808435852372583</v>
      </c>
      <c r="CF1101" s="168">
        <v>-1.2</v>
      </c>
      <c r="CG1101" s="169">
        <v>2.6</v>
      </c>
      <c r="CH1101" s="170">
        <v>38</v>
      </c>
      <c r="CJ1101" s="165">
        <v>22</v>
      </c>
      <c r="CK1101" s="167">
        <v>0.26362038664323373</v>
      </c>
      <c r="CL1101" s="168">
        <v>-2.8</v>
      </c>
      <c r="CM1101" s="169">
        <v>-0.6</v>
      </c>
      <c r="CN1101" s="170">
        <v>22</v>
      </c>
      <c r="CP1101" s="165">
        <v>510</v>
      </c>
      <c r="CQ1101" s="167">
        <v>0.26362038664323373</v>
      </c>
      <c r="CR1101" s="168">
        <v>-2.8</v>
      </c>
      <c r="CS1101" s="169">
        <v>-0.6</v>
      </c>
      <c r="CT1101" s="170">
        <v>22</v>
      </c>
      <c r="CV1101" s="165">
        <v>43</v>
      </c>
      <c r="CW1101" s="167">
        <v>0.88028169014084512</v>
      </c>
      <c r="CX1101" s="168">
        <v>-2.4</v>
      </c>
      <c r="CY1101" s="169">
        <v>0.2</v>
      </c>
      <c r="CZ1101" s="170">
        <v>26</v>
      </c>
      <c r="DA1101" s="20">
        <f t="shared" si="14"/>
        <v>71</v>
      </c>
      <c r="DB1101" s="165">
        <v>0.71</v>
      </c>
      <c r="DC1101" s="167">
        <v>2.6252983293556085</v>
      </c>
      <c r="DD1101" s="168">
        <v>-1.9</v>
      </c>
      <c r="DE1101" s="169">
        <v>1.2</v>
      </c>
      <c r="DF1101" s="170">
        <v>31</v>
      </c>
    </row>
    <row r="1102" spans="15:110" ht="13.15" hidden="1" thickBot="1" x14ac:dyDescent="0.25">
      <c r="S1102" s="178" t="e">
        <f>IF(T1102&lt;0,0,IF(T1102&gt;20,20,T1102))</f>
        <v>#REF!</v>
      </c>
      <c r="T1102" s="11" t="e">
        <f>$F80-0.02*$R$1029+0.14*$R$1032</f>
        <v>#REF!</v>
      </c>
      <c r="U1102" s="147" t="s">
        <v>213</v>
      </c>
      <c r="AB1102" s="165">
        <v>8</v>
      </c>
      <c r="AC1102" s="167">
        <v>63.884007029876976</v>
      </c>
      <c r="AD1102" s="168">
        <v>0.4</v>
      </c>
      <c r="AE1102" s="169">
        <v>5.8</v>
      </c>
      <c r="AF1102" s="170">
        <v>54</v>
      </c>
      <c r="AG1102" s="20">
        <f t="shared" si="15"/>
        <v>17</v>
      </c>
      <c r="AH1102" s="165">
        <v>8.5</v>
      </c>
      <c r="AI1102" s="167">
        <v>14.134275618374559</v>
      </c>
      <c r="AJ1102" s="168">
        <v>-1.1000000000000001</v>
      </c>
      <c r="AK1102" s="169">
        <v>2.8</v>
      </c>
      <c r="AL1102" s="170">
        <v>39</v>
      </c>
      <c r="AN1102" s="155" t="s">
        <v>10</v>
      </c>
      <c r="AO1102" s="156" t="s">
        <v>13</v>
      </c>
      <c r="AP1102" s="156" t="s">
        <v>14</v>
      </c>
      <c r="AQ1102" s="158" t="s">
        <v>15</v>
      </c>
      <c r="AR1102" s="157" t="s">
        <v>16</v>
      </c>
      <c r="AS1102" s="20">
        <f t="shared" ref="AS1102:AS1128" si="16">AT1102*2</f>
        <v>6</v>
      </c>
      <c r="AT1102" s="165">
        <v>3</v>
      </c>
      <c r="AU1102" s="167">
        <v>0.35149384885764495</v>
      </c>
      <c r="AV1102" s="168">
        <v>-2.7</v>
      </c>
      <c r="AW1102" s="169">
        <v>-0.4</v>
      </c>
      <c r="AX1102" s="170">
        <v>23</v>
      </c>
      <c r="AY1102" s="20">
        <f t="shared" si="13"/>
        <v>26</v>
      </c>
      <c r="AZ1102" s="165">
        <v>13</v>
      </c>
      <c r="BA1102" s="167">
        <v>59.226713532513173</v>
      </c>
      <c r="BB1102" s="168">
        <v>0.2</v>
      </c>
      <c r="BC1102" s="169">
        <v>5.4</v>
      </c>
      <c r="BD1102" s="170">
        <v>52</v>
      </c>
      <c r="BL1102" s="165">
        <v>23</v>
      </c>
      <c r="BM1102" s="167">
        <v>36.484098939929325</v>
      </c>
      <c r="BN1102" s="168">
        <v>-0.3</v>
      </c>
      <c r="BO1102" s="169">
        <v>4.4000000000000004</v>
      </c>
      <c r="BP1102" s="170">
        <v>47</v>
      </c>
      <c r="BX1102" s="165">
        <v>695</v>
      </c>
      <c r="BY1102" s="167">
        <v>0.44014084507042256</v>
      </c>
      <c r="BZ1102" s="168">
        <v>-2.6</v>
      </c>
      <c r="CA1102" s="169">
        <v>-0.2</v>
      </c>
      <c r="CB1102" s="170">
        <v>24</v>
      </c>
      <c r="CD1102" s="165">
        <v>3</v>
      </c>
      <c r="CE1102" s="167">
        <v>18.541300527240772</v>
      </c>
      <c r="CF1102" s="168">
        <v>-0.9</v>
      </c>
      <c r="CG1102" s="169">
        <v>3.2</v>
      </c>
      <c r="CH1102" s="170">
        <v>41</v>
      </c>
      <c r="CJ1102" s="165">
        <v>21</v>
      </c>
      <c r="CK1102" s="167">
        <v>0.26362038664323373</v>
      </c>
      <c r="CL1102" s="168">
        <v>-2.8</v>
      </c>
      <c r="CM1102" s="169">
        <v>-0.6</v>
      </c>
      <c r="CN1102" s="170">
        <v>22</v>
      </c>
      <c r="CP1102" s="165">
        <v>509</v>
      </c>
      <c r="CQ1102" s="167">
        <v>0.26362038664323373</v>
      </c>
      <c r="CR1102" s="168">
        <v>-2.8</v>
      </c>
      <c r="CS1102" s="169">
        <v>-0.6</v>
      </c>
      <c r="CT1102" s="170">
        <v>22</v>
      </c>
      <c r="CV1102" s="165">
        <v>42</v>
      </c>
      <c r="CW1102" s="167">
        <v>0.88028169014084512</v>
      </c>
      <c r="CX1102" s="168">
        <v>-2.4</v>
      </c>
      <c r="CY1102" s="169">
        <v>0.2</v>
      </c>
      <c r="CZ1102" s="170">
        <v>26</v>
      </c>
      <c r="DA1102" s="20">
        <f t="shared" si="14"/>
        <v>72</v>
      </c>
      <c r="DB1102" s="165">
        <v>0.72</v>
      </c>
      <c r="DC1102" s="167">
        <v>2.6252983293556085</v>
      </c>
      <c r="DD1102" s="168">
        <v>-1.9</v>
      </c>
      <c r="DE1102" s="169">
        <v>1.2</v>
      </c>
      <c r="DF1102" s="170">
        <v>31</v>
      </c>
    </row>
    <row r="1103" spans="15:110" hidden="1" x14ac:dyDescent="0.2">
      <c r="AB1103" s="165">
        <v>9</v>
      </c>
      <c r="AC1103" s="167">
        <v>77.152899824253069</v>
      </c>
      <c r="AD1103" s="168">
        <v>0.7</v>
      </c>
      <c r="AE1103" s="169">
        <v>6.4</v>
      </c>
      <c r="AF1103" s="170">
        <v>57</v>
      </c>
      <c r="AG1103" s="20">
        <f t="shared" si="15"/>
        <v>18</v>
      </c>
      <c r="AH1103" s="165">
        <v>9</v>
      </c>
      <c r="AI1103" s="167">
        <v>16.696113074204945</v>
      </c>
      <c r="AJ1103" s="168">
        <v>-1</v>
      </c>
      <c r="AK1103" s="169">
        <v>3</v>
      </c>
      <c r="AL1103" s="170">
        <v>40</v>
      </c>
      <c r="AM1103" s="20">
        <f>AN1103*2</f>
        <v>0</v>
      </c>
      <c r="AN1103" s="160">
        <v>0</v>
      </c>
      <c r="AO1103" s="161">
        <v>0.2640845070422535</v>
      </c>
      <c r="AP1103" s="162">
        <v>-2.8</v>
      </c>
      <c r="AQ1103" s="163">
        <v>-0.6</v>
      </c>
      <c r="AR1103" s="164">
        <v>22</v>
      </c>
      <c r="AS1103" s="20">
        <f t="shared" si="16"/>
        <v>7</v>
      </c>
      <c r="AT1103" s="165">
        <v>3.5</v>
      </c>
      <c r="AU1103" s="167">
        <v>0.96660808435852363</v>
      </c>
      <c r="AV1103" s="168">
        <v>-2.2999999999999998</v>
      </c>
      <c r="AW1103" s="169">
        <v>0.4</v>
      </c>
      <c r="AX1103" s="170">
        <v>27</v>
      </c>
      <c r="AY1103" s="20">
        <f t="shared" si="13"/>
        <v>27</v>
      </c>
      <c r="AZ1103" s="165">
        <v>13.5</v>
      </c>
      <c r="BA1103" s="167">
        <v>65.202108963093139</v>
      </c>
      <c r="BB1103" s="168">
        <v>0.4</v>
      </c>
      <c r="BC1103" s="169">
        <v>5.8</v>
      </c>
      <c r="BD1103" s="170">
        <v>54</v>
      </c>
      <c r="BL1103" s="165">
        <v>24</v>
      </c>
      <c r="BM1103" s="167">
        <v>44.434628975265014</v>
      </c>
      <c r="BN1103" s="168">
        <v>-0.1</v>
      </c>
      <c r="BO1103" s="169">
        <v>4.8</v>
      </c>
      <c r="BP1103" s="170">
        <v>49</v>
      </c>
      <c r="BX1103" s="165">
        <v>694</v>
      </c>
      <c r="BY1103" s="167">
        <v>0.44014084507042256</v>
      </c>
      <c r="BZ1103" s="168">
        <v>-2.6</v>
      </c>
      <c r="CA1103" s="169">
        <v>-0.2</v>
      </c>
      <c r="CB1103" s="170">
        <v>24</v>
      </c>
      <c r="CD1103" s="165">
        <v>2</v>
      </c>
      <c r="CE1103" s="167">
        <v>31.810193321616868</v>
      </c>
      <c r="CF1103" s="168">
        <v>-0.5</v>
      </c>
      <c r="CG1103" s="169">
        <v>4</v>
      </c>
      <c r="CH1103" s="170">
        <v>45</v>
      </c>
      <c r="CJ1103" s="165">
        <v>20</v>
      </c>
      <c r="CK1103" s="167">
        <v>0.26362038664323373</v>
      </c>
      <c r="CL1103" s="168">
        <v>-2.8</v>
      </c>
      <c r="CM1103" s="169">
        <v>-0.6</v>
      </c>
      <c r="CN1103" s="170">
        <v>22</v>
      </c>
      <c r="CP1103" s="165">
        <v>508</v>
      </c>
      <c r="CQ1103" s="167">
        <v>0.26362038664323373</v>
      </c>
      <c r="CR1103" s="168">
        <v>-2.8</v>
      </c>
      <c r="CS1103" s="169">
        <v>-0.6</v>
      </c>
      <c r="CT1103" s="170">
        <v>22</v>
      </c>
      <c r="CV1103" s="165">
        <v>41</v>
      </c>
      <c r="CW1103" s="167">
        <v>0.88028169014084512</v>
      </c>
      <c r="CX1103" s="168">
        <v>-2.4</v>
      </c>
      <c r="CY1103" s="169">
        <v>0.2</v>
      </c>
      <c r="CZ1103" s="170">
        <v>26</v>
      </c>
      <c r="DA1103" s="20">
        <f t="shared" si="14"/>
        <v>73</v>
      </c>
      <c r="DB1103" s="165">
        <v>0.73</v>
      </c>
      <c r="DC1103" s="167">
        <v>3.8186157517899764</v>
      </c>
      <c r="DD1103" s="168">
        <v>-1.8</v>
      </c>
      <c r="DE1103" s="169">
        <v>1.4</v>
      </c>
      <c r="DF1103" s="170">
        <v>32</v>
      </c>
    </row>
    <row r="1104" spans="15:110" hidden="1" x14ac:dyDescent="0.2">
      <c r="AB1104" s="165">
        <v>10</v>
      </c>
      <c r="AC1104" s="167">
        <v>87.346221441124783</v>
      </c>
      <c r="AD1104" s="168">
        <v>1.1000000000000001</v>
      </c>
      <c r="AE1104" s="169">
        <v>7.2</v>
      </c>
      <c r="AF1104" s="170">
        <v>61</v>
      </c>
      <c r="AG1104" s="20">
        <f t="shared" si="15"/>
        <v>19</v>
      </c>
      <c r="AH1104" s="165">
        <v>9.5</v>
      </c>
      <c r="AI1104" s="167">
        <v>19.699646643109542</v>
      </c>
      <c r="AJ1104" s="168">
        <v>-0.9</v>
      </c>
      <c r="AK1104" s="169">
        <v>3.2</v>
      </c>
      <c r="AL1104" s="170">
        <v>41</v>
      </c>
      <c r="AM1104" s="20">
        <f t="shared" ref="AM1104:AM1129" si="17">AN1104*2</f>
        <v>1</v>
      </c>
      <c r="AN1104" s="165">
        <v>0.5</v>
      </c>
      <c r="AO1104" s="167">
        <v>0.70422535211267612</v>
      </c>
      <c r="AP1104" s="168">
        <v>-2.5</v>
      </c>
      <c r="AQ1104" s="169">
        <v>0</v>
      </c>
      <c r="AR1104" s="170">
        <v>25</v>
      </c>
      <c r="AS1104" s="20">
        <f t="shared" si="16"/>
        <v>8</v>
      </c>
      <c r="AT1104" s="165">
        <v>4</v>
      </c>
      <c r="AU1104" s="167">
        <v>0.96660808435852363</v>
      </c>
      <c r="AV1104" s="168">
        <v>-2.2999999999999998</v>
      </c>
      <c r="AW1104" s="169">
        <v>0.4</v>
      </c>
      <c r="AX1104" s="170">
        <v>27</v>
      </c>
      <c r="AY1104" s="20">
        <f t="shared" si="13"/>
        <v>28</v>
      </c>
      <c r="AZ1104" s="165">
        <v>14</v>
      </c>
      <c r="BA1104" s="167">
        <v>71.001757469244282</v>
      </c>
      <c r="BB1104" s="168">
        <v>0.6</v>
      </c>
      <c r="BC1104" s="169">
        <v>6.2</v>
      </c>
      <c r="BD1104" s="170">
        <v>56</v>
      </c>
      <c r="BL1104" s="165">
        <v>25</v>
      </c>
      <c r="BM1104" s="167">
        <v>53.091872791519435</v>
      </c>
      <c r="BN1104" s="168">
        <v>0.1</v>
      </c>
      <c r="BO1104" s="169">
        <v>5.2</v>
      </c>
      <c r="BP1104" s="170">
        <v>51</v>
      </c>
      <c r="BX1104" s="165">
        <v>693</v>
      </c>
      <c r="BY1104" s="167">
        <v>0.44014084507042256</v>
      </c>
      <c r="BZ1104" s="168">
        <v>-2.6</v>
      </c>
      <c r="CA1104" s="169">
        <v>-0.2</v>
      </c>
      <c r="CB1104" s="170">
        <v>24</v>
      </c>
      <c r="CD1104" s="165">
        <v>1</v>
      </c>
      <c r="CE1104" s="167">
        <v>53.251318101933222</v>
      </c>
      <c r="CF1104" s="168">
        <v>0.1</v>
      </c>
      <c r="CG1104" s="169">
        <v>5.2</v>
      </c>
      <c r="CH1104" s="170">
        <v>51</v>
      </c>
      <c r="CJ1104" s="165">
        <v>19</v>
      </c>
      <c r="CK1104" s="167">
        <v>0.26362038664323373</v>
      </c>
      <c r="CL1104" s="168">
        <v>-2.8</v>
      </c>
      <c r="CM1104" s="169">
        <v>-0.6</v>
      </c>
      <c r="CN1104" s="170">
        <v>22</v>
      </c>
      <c r="CP1104" s="165">
        <v>507</v>
      </c>
      <c r="CQ1104" s="167">
        <v>0.26362038664323373</v>
      </c>
      <c r="CR1104" s="168">
        <v>-2.8</v>
      </c>
      <c r="CS1104" s="169">
        <v>-0.6</v>
      </c>
      <c r="CT1104" s="170">
        <v>22</v>
      </c>
      <c r="CV1104" s="165">
        <v>40</v>
      </c>
      <c r="CW1104" s="167">
        <v>1.232394366197183</v>
      </c>
      <c r="CX1104" s="168">
        <v>-2.2000000000000002</v>
      </c>
      <c r="CY1104" s="169">
        <v>0.6</v>
      </c>
      <c r="CZ1104" s="170">
        <v>28</v>
      </c>
      <c r="DA1104" s="20">
        <f t="shared" si="14"/>
        <v>74</v>
      </c>
      <c r="DB1104" s="165">
        <v>0.74</v>
      </c>
      <c r="DC1104" s="167">
        <v>4.5346062052505962</v>
      </c>
      <c r="DD1104" s="168">
        <v>-1.7</v>
      </c>
      <c r="DE1104" s="169">
        <v>1.6</v>
      </c>
      <c r="DF1104" s="170">
        <v>33</v>
      </c>
    </row>
    <row r="1105" spans="17:110" ht="13.15" hidden="1" thickBot="1" x14ac:dyDescent="0.25">
      <c r="AB1105" s="165">
        <v>11</v>
      </c>
      <c r="AC1105" s="167">
        <v>93.409490333919152</v>
      </c>
      <c r="AD1105" s="168">
        <v>1.5</v>
      </c>
      <c r="AE1105" s="169">
        <v>8</v>
      </c>
      <c r="AF1105" s="170">
        <v>65</v>
      </c>
      <c r="AG1105" s="20">
        <f t="shared" si="15"/>
        <v>20</v>
      </c>
      <c r="AH1105" s="165">
        <v>10</v>
      </c>
      <c r="AI1105" s="167">
        <v>23.939929328621908</v>
      </c>
      <c r="AJ1105" s="168">
        <v>-0.7</v>
      </c>
      <c r="AK1105" s="169">
        <v>3.6</v>
      </c>
      <c r="AL1105" s="170">
        <v>43</v>
      </c>
      <c r="AM1105" s="20">
        <f t="shared" si="17"/>
        <v>2</v>
      </c>
      <c r="AN1105" s="165">
        <v>1</v>
      </c>
      <c r="AO1105" s="167">
        <v>2.3767605633802815</v>
      </c>
      <c r="AP1105" s="168">
        <v>-2</v>
      </c>
      <c r="AQ1105" s="169">
        <v>1</v>
      </c>
      <c r="AR1105" s="170">
        <v>30</v>
      </c>
      <c r="AS1105" s="20">
        <f t="shared" si="16"/>
        <v>9</v>
      </c>
      <c r="AT1105" s="165">
        <v>4.5</v>
      </c>
      <c r="AU1105" s="167">
        <v>1.4938488576449911</v>
      </c>
      <c r="AV1105" s="168">
        <v>-2.2000000000000002</v>
      </c>
      <c r="AW1105" s="169">
        <v>0.6</v>
      </c>
      <c r="AX1105" s="170">
        <v>28</v>
      </c>
      <c r="AY1105" s="20">
        <f t="shared" si="13"/>
        <v>29</v>
      </c>
      <c r="AZ1105" s="165">
        <v>14.5</v>
      </c>
      <c r="BA1105" s="167">
        <v>77.416520210896309</v>
      </c>
      <c r="BB1105" s="168">
        <v>0.8</v>
      </c>
      <c r="BC1105" s="169">
        <v>6.6</v>
      </c>
      <c r="BD1105" s="170">
        <v>58</v>
      </c>
      <c r="BL1105" s="165">
        <v>26</v>
      </c>
      <c r="BM1105" s="167">
        <v>61.130742049469966</v>
      </c>
      <c r="BN1105" s="168">
        <v>0.3</v>
      </c>
      <c r="BO1105" s="169">
        <v>5.6</v>
      </c>
      <c r="BP1105" s="170">
        <v>53</v>
      </c>
      <c r="BX1105" s="165">
        <v>692</v>
      </c>
      <c r="BY1105" s="167">
        <v>0.44014084507042256</v>
      </c>
      <c r="BZ1105" s="168">
        <v>-2.6</v>
      </c>
      <c r="CA1105" s="169">
        <v>-0.2</v>
      </c>
      <c r="CB1105" s="170">
        <v>24</v>
      </c>
      <c r="CD1105" s="172">
        <v>0</v>
      </c>
      <c r="CE1105" s="173">
        <v>83.479789103690678</v>
      </c>
      <c r="CF1105" s="174">
        <v>1</v>
      </c>
      <c r="CG1105" s="175">
        <v>7</v>
      </c>
      <c r="CH1105" s="176">
        <v>60</v>
      </c>
      <c r="CJ1105" s="165">
        <v>18</v>
      </c>
      <c r="CK1105" s="167">
        <v>0.26362038664323373</v>
      </c>
      <c r="CL1105" s="168">
        <v>-2.8</v>
      </c>
      <c r="CM1105" s="169">
        <v>-0.6</v>
      </c>
      <c r="CN1105" s="170">
        <v>22</v>
      </c>
      <c r="CP1105" s="165">
        <v>506</v>
      </c>
      <c r="CQ1105" s="167">
        <v>0.26362038664323373</v>
      </c>
      <c r="CR1105" s="168">
        <v>-2.8</v>
      </c>
      <c r="CS1105" s="169">
        <v>-0.6</v>
      </c>
      <c r="CT1105" s="170">
        <v>22</v>
      </c>
      <c r="CV1105" s="165">
        <v>39</v>
      </c>
      <c r="CW1105" s="167">
        <v>1.7605633802816902</v>
      </c>
      <c r="CX1105" s="168">
        <v>-2.1</v>
      </c>
      <c r="CY1105" s="169">
        <v>0.8</v>
      </c>
      <c r="CZ1105" s="170">
        <v>29</v>
      </c>
      <c r="DA1105" s="20">
        <f t="shared" si="14"/>
        <v>75</v>
      </c>
      <c r="DB1105" s="165">
        <v>0.75</v>
      </c>
      <c r="DC1105" s="167">
        <v>4.5346062052505962</v>
      </c>
      <c r="DD1105" s="168">
        <v>-1.7</v>
      </c>
      <c r="DE1105" s="169">
        <v>1.6</v>
      </c>
      <c r="DF1105" s="170">
        <v>33</v>
      </c>
    </row>
    <row r="1106" spans="17:110" hidden="1" x14ac:dyDescent="0.2">
      <c r="Q1106" s="11" t="e">
        <f>$F85-5.99*$R$1031-0.11*$R$1032+1</f>
        <v>#REF!</v>
      </c>
      <c r="R1106" s="11" t="e">
        <f>$F85-5.99*$R$1031-0.11*$R$1032-1</f>
        <v>#REF!</v>
      </c>
      <c r="S1106" s="178" t="e">
        <f>IF(T1106&lt;1.5,1.5,IF(T1106&gt;18,18,T1106))</f>
        <v>#REF!</v>
      </c>
      <c r="T1106" s="11" t="e">
        <f>IF($F$83="A",Q1106,IF($F$83="B",R1106,""))</f>
        <v>#REF!</v>
      </c>
      <c r="U1106" s="180" t="s">
        <v>283</v>
      </c>
      <c r="AB1106" s="165">
        <v>12</v>
      </c>
      <c r="AC1106" s="167">
        <v>96.836555360281196</v>
      </c>
      <c r="AD1106" s="168">
        <v>1.9</v>
      </c>
      <c r="AE1106" s="169">
        <v>8.8000000000000007</v>
      </c>
      <c r="AF1106" s="170">
        <v>69</v>
      </c>
      <c r="AG1106" s="20">
        <f t="shared" si="15"/>
        <v>21</v>
      </c>
      <c r="AH1106" s="165">
        <v>10.5</v>
      </c>
      <c r="AI1106" s="167">
        <v>28.003533568904594</v>
      </c>
      <c r="AJ1106" s="168">
        <v>-0.6</v>
      </c>
      <c r="AK1106" s="169">
        <v>3.8</v>
      </c>
      <c r="AL1106" s="170">
        <v>44</v>
      </c>
      <c r="AM1106" s="20">
        <f t="shared" si="17"/>
        <v>3</v>
      </c>
      <c r="AN1106" s="165">
        <v>1.5</v>
      </c>
      <c r="AO1106" s="167">
        <v>4.137323943661972</v>
      </c>
      <c r="AP1106" s="168">
        <v>-1.7</v>
      </c>
      <c r="AQ1106" s="169">
        <v>1.6</v>
      </c>
      <c r="AR1106" s="170">
        <v>33</v>
      </c>
      <c r="AS1106" s="20">
        <f t="shared" si="16"/>
        <v>10</v>
      </c>
      <c r="AT1106" s="165">
        <v>5</v>
      </c>
      <c r="AU1106" s="167">
        <v>2.1968365553602811</v>
      </c>
      <c r="AV1106" s="168">
        <v>-2</v>
      </c>
      <c r="AW1106" s="169">
        <v>1</v>
      </c>
      <c r="AX1106" s="170">
        <v>30</v>
      </c>
      <c r="AY1106" s="20">
        <f t="shared" si="13"/>
        <v>30</v>
      </c>
      <c r="AZ1106" s="165">
        <v>15</v>
      </c>
      <c r="BA1106" s="167">
        <v>82.952548330404213</v>
      </c>
      <c r="BB1106" s="168">
        <v>1</v>
      </c>
      <c r="BC1106" s="169">
        <v>7</v>
      </c>
      <c r="BD1106" s="170">
        <v>60</v>
      </c>
      <c r="BL1106" s="165">
        <v>27</v>
      </c>
      <c r="BM1106" s="167">
        <v>67.932862190812727</v>
      </c>
      <c r="BN1106" s="168">
        <v>0.5</v>
      </c>
      <c r="BO1106" s="169">
        <v>6</v>
      </c>
      <c r="BP1106" s="170">
        <v>55</v>
      </c>
      <c r="BX1106" s="165">
        <v>691</v>
      </c>
      <c r="BY1106" s="167">
        <v>0.44014084507042256</v>
      </c>
      <c r="BZ1106" s="168">
        <v>-2.6</v>
      </c>
      <c r="CA1106" s="169">
        <v>-0.2</v>
      </c>
      <c r="CB1106" s="170">
        <v>24</v>
      </c>
      <c r="CJ1106" s="165">
        <v>17</v>
      </c>
      <c r="CK1106" s="167">
        <v>0.26362038664323373</v>
      </c>
      <c r="CL1106" s="168">
        <v>-2.8</v>
      </c>
      <c r="CM1106" s="169">
        <v>-0.6</v>
      </c>
      <c r="CN1106" s="170">
        <v>22</v>
      </c>
      <c r="CP1106" s="165">
        <v>505</v>
      </c>
      <c r="CQ1106" s="167">
        <v>0.26362038664323373</v>
      </c>
      <c r="CR1106" s="168">
        <v>-2.8</v>
      </c>
      <c r="CS1106" s="169">
        <v>-0.6</v>
      </c>
      <c r="CT1106" s="170">
        <v>22</v>
      </c>
      <c r="CV1106" s="165">
        <v>38</v>
      </c>
      <c r="CW1106" s="167">
        <v>1.7605633802816902</v>
      </c>
      <c r="CX1106" s="168">
        <v>-2.1</v>
      </c>
      <c r="CY1106" s="169">
        <v>0.8</v>
      </c>
      <c r="CZ1106" s="170">
        <v>29</v>
      </c>
      <c r="DA1106" s="20">
        <f t="shared" si="14"/>
        <v>76</v>
      </c>
      <c r="DB1106" s="165">
        <v>0.76</v>
      </c>
      <c r="DC1106" s="167">
        <v>5.7279236276849641</v>
      </c>
      <c r="DD1106" s="168">
        <v>-1.6</v>
      </c>
      <c r="DE1106" s="169">
        <v>1.8</v>
      </c>
      <c r="DF1106" s="170">
        <v>34</v>
      </c>
    </row>
    <row r="1107" spans="17:110" ht="13.15" hidden="1" thickBot="1" x14ac:dyDescent="0.25">
      <c r="S1107" s="178" t="e">
        <f>IF(T1107&lt;0,0,IF(T1107&gt;6,6,T1107))</f>
        <v>#REF!</v>
      </c>
      <c r="T1107" s="11" t="e">
        <f>$F86-0.03*$R$1029+0.02*$R$1032</f>
        <v>#REF!</v>
      </c>
      <c r="U1107" s="180" t="s">
        <v>284</v>
      </c>
      <c r="AB1107" s="165">
        <v>13</v>
      </c>
      <c r="AC1107" s="167">
        <v>98.594024604569412</v>
      </c>
      <c r="AD1107" s="168">
        <v>2.2000000000000002</v>
      </c>
      <c r="AE1107" s="169">
        <v>9.4</v>
      </c>
      <c r="AF1107" s="170">
        <v>72</v>
      </c>
      <c r="AG1107" s="20">
        <f t="shared" si="15"/>
        <v>22</v>
      </c>
      <c r="AH1107" s="165">
        <v>11</v>
      </c>
      <c r="AI1107" s="167">
        <v>32.597173144876322</v>
      </c>
      <c r="AJ1107" s="168">
        <v>-0.5</v>
      </c>
      <c r="AK1107" s="169">
        <v>4</v>
      </c>
      <c r="AL1107" s="170">
        <v>45</v>
      </c>
      <c r="AM1107" s="20">
        <f t="shared" si="17"/>
        <v>4</v>
      </c>
      <c r="AN1107" s="165">
        <v>2</v>
      </c>
      <c r="AO1107" s="167">
        <v>7.3943661971830981</v>
      </c>
      <c r="AP1107" s="168">
        <v>-1.4</v>
      </c>
      <c r="AQ1107" s="169">
        <v>2.2000000000000002</v>
      </c>
      <c r="AR1107" s="170">
        <v>36</v>
      </c>
      <c r="AS1107" s="20">
        <f t="shared" si="16"/>
        <v>11</v>
      </c>
      <c r="AT1107" s="165">
        <v>5.5</v>
      </c>
      <c r="AU1107" s="167">
        <v>3.690685413005272</v>
      </c>
      <c r="AV1107" s="168">
        <v>-1.8</v>
      </c>
      <c r="AW1107" s="169">
        <v>1.4</v>
      </c>
      <c r="AX1107" s="170">
        <v>32</v>
      </c>
      <c r="AY1107" s="20">
        <f t="shared" si="13"/>
        <v>31</v>
      </c>
      <c r="AZ1107" s="165">
        <v>15.5</v>
      </c>
      <c r="BA1107" s="167">
        <v>88.049209138840069</v>
      </c>
      <c r="BB1107" s="168">
        <v>1.2</v>
      </c>
      <c r="BC1107" s="169">
        <v>7.4</v>
      </c>
      <c r="BD1107" s="170">
        <v>62</v>
      </c>
      <c r="BL1107" s="165">
        <v>28</v>
      </c>
      <c r="BM1107" s="167">
        <v>72.96819787985865</v>
      </c>
      <c r="BN1107" s="168">
        <v>0.6</v>
      </c>
      <c r="BO1107" s="169">
        <v>6.2</v>
      </c>
      <c r="BP1107" s="170">
        <v>56</v>
      </c>
      <c r="BX1107" s="165">
        <v>690</v>
      </c>
      <c r="BY1107" s="167">
        <v>0.44014084507042256</v>
      </c>
      <c r="BZ1107" s="168">
        <v>-2.6</v>
      </c>
      <c r="CA1107" s="169">
        <v>-0.2</v>
      </c>
      <c r="CB1107" s="170">
        <v>24</v>
      </c>
      <c r="CJ1107" s="165">
        <v>16</v>
      </c>
      <c r="CK1107" s="167">
        <v>0.26362038664323373</v>
      </c>
      <c r="CL1107" s="168">
        <v>-2.8</v>
      </c>
      <c r="CM1107" s="169">
        <v>-0.6</v>
      </c>
      <c r="CN1107" s="170">
        <v>22</v>
      </c>
      <c r="CP1107" s="165">
        <v>504</v>
      </c>
      <c r="CQ1107" s="167">
        <v>0.26362038664323373</v>
      </c>
      <c r="CR1107" s="168">
        <v>-2.8</v>
      </c>
      <c r="CS1107" s="169">
        <v>-0.6</v>
      </c>
      <c r="CT1107" s="170">
        <v>22</v>
      </c>
      <c r="CV1107" s="165">
        <v>37</v>
      </c>
      <c r="CW1107" s="167">
        <v>1.7605633802816902</v>
      </c>
      <c r="CX1107" s="168">
        <v>-2.1</v>
      </c>
      <c r="CY1107" s="169">
        <v>0.8</v>
      </c>
      <c r="CZ1107" s="170">
        <v>29</v>
      </c>
      <c r="DA1107" s="20">
        <f t="shared" si="14"/>
        <v>77</v>
      </c>
      <c r="DB1107" s="165">
        <v>0.77</v>
      </c>
      <c r="DC1107" s="167">
        <v>5.7279236276849641</v>
      </c>
      <c r="DD1107" s="168">
        <v>-1.6</v>
      </c>
      <c r="DE1107" s="169">
        <v>1.8</v>
      </c>
      <c r="DF1107" s="170">
        <v>34</v>
      </c>
    </row>
    <row r="1108" spans="17:110" ht="13.15" hidden="1" x14ac:dyDescent="0.25">
      <c r="S1108" s="178" t="e">
        <f>IF(T1108&lt;0,0,IF(T1108&gt;7,7,T1108))</f>
        <v>#REF!</v>
      </c>
      <c r="T1108" s="11" t="e">
        <f>$F87-0.02*$R$1029+0.29*$R$1030</f>
        <v>#REF!</v>
      </c>
      <c r="U1108" s="180" t="s">
        <v>285</v>
      </c>
      <c r="AB1108" s="165">
        <v>14</v>
      </c>
      <c r="AC1108" s="167">
        <v>99.472759226713535</v>
      </c>
      <c r="AD1108" s="168">
        <v>2.6</v>
      </c>
      <c r="AE1108" s="169">
        <v>10.199999999999999</v>
      </c>
      <c r="AF1108" s="170">
        <v>76</v>
      </c>
      <c r="AG1108" s="20">
        <f t="shared" si="15"/>
        <v>23</v>
      </c>
      <c r="AH1108" s="165">
        <v>11.5</v>
      </c>
      <c r="AI1108" s="167">
        <v>36.74911660777385</v>
      </c>
      <c r="AJ1108" s="168">
        <v>-0.3</v>
      </c>
      <c r="AK1108" s="169">
        <v>4.4000000000000004</v>
      </c>
      <c r="AL1108" s="170">
        <v>47</v>
      </c>
      <c r="AM1108" s="20">
        <f t="shared" si="17"/>
        <v>5</v>
      </c>
      <c r="AN1108" s="165">
        <v>2.5</v>
      </c>
      <c r="AO1108" s="167">
        <v>10.827464788732394</v>
      </c>
      <c r="AP1108" s="168">
        <v>-1.2</v>
      </c>
      <c r="AQ1108" s="169">
        <v>2.6</v>
      </c>
      <c r="AR1108" s="170">
        <v>38</v>
      </c>
      <c r="AS1108" s="20">
        <f t="shared" si="16"/>
        <v>12</v>
      </c>
      <c r="AT1108" s="165">
        <v>6</v>
      </c>
      <c r="AU1108" s="167">
        <v>5.1845342706502633</v>
      </c>
      <c r="AV1108" s="168">
        <v>-1.6</v>
      </c>
      <c r="AW1108" s="169">
        <v>1.8</v>
      </c>
      <c r="AX1108" s="170">
        <v>34</v>
      </c>
      <c r="AY1108" s="20">
        <f t="shared" si="13"/>
        <v>32</v>
      </c>
      <c r="AZ1108" s="165">
        <v>16</v>
      </c>
      <c r="BA1108" s="167">
        <v>92.091388400702982</v>
      </c>
      <c r="BB1108" s="168">
        <v>1.4</v>
      </c>
      <c r="BC1108" s="169">
        <v>7.8</v>
      </c>
      <c r="BD1108" s="170">
        <v>64</v>
      </c>
      <c r="BL1108" s="165">
        <v>29</v>
      </c>
      <c r="BM1108" s="167">
        <v>78.621908127208485</v>
      </c>
      <c r="BN1108" s="168">
        <v>0.8</v>
      </c>
      <c r="BO1108" s="169">
        <v>6.6</v>
      </c>
      <c r="BP1108" s="170">
        <v>58</v>
      </c>
      <c r="BX1108" s="165">
        <v>689</v>
      </c>
      <c r="BY1108" s="167">
        <v>0.44014084507042256</v>
      </c>
      <c r="BZ1108" s="168">
        <v>-2.6</v>
      </c>
      <c r="CA1108" s="169">
        <v>-0.2</v>
      </c>
      <c r="CB1108" s="170">
        <v>24</v>
      </c>
      <c r="CD1108" s="138" t="s">
        <v>237</v>
      </c>
      <c r="CE1108" s="139"/>
      <c r="CF1108" s="139"/>
      <c r="CG1108" s="140" t="s">
        <v>215</v>
      </c>
      <c r="CH1108" s="141">
        <v>569</v>
      </c>
      <c r="CJ1108" s="165">
        <v>15</v>
      </c>
      <c r="CK1108" s="167">
        <v>0.26362038664323373</v>
      </c>
      <c r="CL1108" s="168">
        <v>-2.8</v>
      </c>
      <c r="CM1108" s="169">
        <v>-0.6</v>
      </c>
      <c r="CN1108" s="170">
        <v>22</v>
      </c>
      <c r="CP1108" s="165">
        <v>503</v>
      </c>
      <c r="CQ1108" s="167">
        <v>0.26362038664323373</v>
      </c>
      <c r="CR1108" s="168">
        <v>-2.8</v>
      </c>
      <c r="CS1108" s="169">
        <v>-0.6</v>
      </c>
      <c r="CT1108" s="170">
        <v>22</v>
      </c>
      <c r="CV1108" s="165">
        <v>36</v>
      </c>
      <c r="CW1108" s="167">
        <v>2.2887323943661975</v>
      </c>
      <c r="CX1108" s="168">
        <v>-2</v>
      </c>
      <c r="CY1108" s="169">
        <v>1</v>
      </c>
      <c r="CZ1108" s="170">
        <v>30</v>
      </c>
      <c r="DA1108" s="20">
        <f t="shared" si="14"/>
        <v>78</v>
      </c>
      <c r="DB1108" s="165">
        <v>0.78</v>
      </c>
      <c r="DC1108" s="167">
        <v>7.5178997613365164</v>
      </c>
      <c r="DD1108" s="168">
        <v>-1.4</v>
      </c>
      <c r="DE1108" s="169">
        <v>2.2000000000000002</v>
      </c>
      <c r="DF1108" s="170">
        <v>36</v>
      </c>
    </row>
    <row r="1109" spans="17:110" ht="13.15" hidden="1" thickBot="1" x14ac:dyDescent="0.25">
      <c r="AB1109" s="172">
        <v>15</v>
      </c>
      <c r="AC1109" s="173">
        <v>99.912126537785582</v>
      </c>
      <c r="AD1109" s="174">
        <v>3</v>
      </c>
      <c r="AE1109" s="175">
        <v>11</v>
      </c>
      <c r="AF1109" s="176">
        <v>80</v>
      </c>
      <c r="AG1109" s="20">
        <f t="shared" si="15"/>
        <v>24</v>
      </c>
      <c r="AH1109" s="165">
        <v>12</v>
      </c>
      <c r="AI1109" s="167">
        <v>40.10600706713781</v>
      </c>
      <c r="AJ1109" s="168">
        <v>-0.3</v>
      </c>
      <c r="AK1109" s="169">
        <v>4.4000000000000004</v>
      </c>
      <c r="AL1109" s="170">
        <v>47</v>
      </c>
      <c r="AM1109" s="20">
        <f t="shared" si="17"/>
        <v>6</v>
      </c>
      <c r="AN1109" s="165">
        <v>3</v>
      </c>
      <c r="AO1109" s="167">
        <v>15.669014084507044</v>
      </c>
      <c r="AP1109" s="168">
        <v>-1</v>
      </c>
      <c r="AQ1109" s="169">
        <v>3</v>
      </c>
      <c r="AR1109" s="170">
        <v>40</v>
      </c>
      <c r="AS1109" s="20">
        <f t="shared" si="16"/>
        <v>13</v>
      </c>
      <c r="AT1109" s="165">
        <v>6.5</v>
      </c>
      <c r="AU1109" s="167">
        <v>7.0298769771529006</v>
      </c>
      <c r="AV1109" s="168">
        <v>-1.5</v>
      </c>
      <c r="AW1109" s="169">
        <v>2</v>
      </c>
      <c r="AX1109" s="170">
        <v>35</v>
      </c>
      <c r="AY1109" s="20">
        <f t="shared" si="13"/>
        <v>33</v>
      </c>
      <c r="AZ1109" s="165">
        <v>16.5</v>
      </c>
      <c r="BA1109" s="167">
        <v>94.815465729349739</v>
      </c>
      <c r="BB1109" s="168">
        <v>1.6</v>
      </c>
      <c r="BC1109" s="169">
        <v>8.1999999999999993</v>
      </c>
      <c r="BD1109" s="170">
        <v>66</v>
      </c>
      <c r="BL1109" s="165">
        <v>30</v>
      </c>
      <c r="BM1109" s="167">
        <v>84.187279151943457</v>
      </c>
      <c r="BN1109" s="168">
        <v>1</v>
      </c>
      <c r="BO1109" s="169">
        <v>7</v>
      </c>
      <c r="BP1109" s="170">
        <v>60</v>
      </c>
      <c r="BX1109" s="165">
        <v>688</v>
      </c>
      <c r="BY1109" s="167">
        <v>0.44014084507042256</v>
      </c>
      <c r="BZ1109" s="168">
        <v>-2.6</v>
      </c>
      <c r="CA1109" s="169">
        <v>-0.2</v>
      </c>
      <c r="CB1109" s="170">
        <v>24</v>
      </c>
      <c r="CD1109" s="144" t="s">
        <v>161</v>
      </c>
      <c r="CH1109" s="145"/>
      <c r="CJ1109" s="165">
        <v>14</v>
      </c>
      <c r="CK1109" s="167">
        <v>0.26362038664323373</v>
      </c>
      <c r="CL1109" s="168">
        <v>-2.8</v>
      </c>
      <c r="CM1109" s="169">
        <v>-0.6</v>
      </c>
      <c r="CN1109" s="170">
        <v>22</v>
      </c>
      <c r="CP1109" s="165">
        <v>502</v>
      </c>
      <c r="CQ1109" s="167">
        <v>0.26362038664323373</v>
      </c>
      <c r="CR1109" s="168">
        <v>-2.8</v>
      </c>
      <c r="CS1109" s="169">
        <v>-0.6</v>
      </c>
      <c r="CT1109" s="170">
        <v>22</v>
      </c>
      <c r="CV1109" s="165">
        <v>35</v>
      </c>
      <c r="CW1109" s="167">
        <v>2.8169014084507045</v>
      </c>
      <c r="CX1109" s="168">
        <v>-1.9</v>
      </c>
      <c r="CY1109" s="169">
        <v>1.2</v>
      </c>
      <c r="CZ1109" s="170">
        <v>31</v>
      </c>
      <c r="DA1109" s="20">
        <f t="shared" si="14"/>
        <v>79</v>
      </c>
      <c r="DB1109" s="165">
        <v>0.79</v>
      </c>
      <c r="DC1109" s="167">
        <v>7.5178997613365164</v>
      </c>
      <c r="DD1109" s="168">
        <v>-1.4</v>
      </c>
      <c r="DE1109" s="169">
        <v>2.2000000000000002</v>
      </c>
      <c r="DF1109" s="170">
        <v>36</v>
      </c>
    </row>
    <row r="1110" spans="17:110" ht="13.15" hidden="1" thickBot="1" x14ac:dyDescent="0.25">
      <c r="AG1110" s="20">
        <f t="shared" si="15"/>
        <v>25</v>
      </c>
      <c r="AH1110" s="165">
        <v>12.5</v>
      </c>
      <c r="AI1110" s="167">
        <v>44.434628975265014</v>
      </c>
      <c r="AJ1110" s="168">
        <v>-0.1</v>
      </c>
      <c r="AK1110" s="169">
        <v>4.8</v>
      </c>
      <c r="AL1110" s="170">
        <v>49</v>
      </c>
      <c r="AM1110" s="20">
        <f t="shared" si="17"/>
        <v>7</v>
      </c>
      <c r="AN1110" s="165">
        <v>3.5</v>
      </c>
      <c r="AO1110" s="167">
        <v>20.68661971830986</v>
      </c>
      <c r="AP1110" s="168">
        <v>-0.8</v>
      </c>
      <c r="AQ1110" s="169">
        <v>3.4</v>
      </c>
      <c r="AR1110" s="170">
        <v>42</v>
      </c>
      <c r="AS1110" s="20">
        <f t="shared" si="16"/>
        <v>14</v>
      </c>
      <c r="AT1110" s="165">
        <v>7</v>
      </c>
      <c r="AU1110" s="167">
        <v>9.8418277680140598</v>
      </c>
      <c r="AV1110" s="168">
        <v>-1.3</v>
      </c>
      <c r="AW1110" s="169">
        <v>2.4</v>
      </c>
      <c r="AX1110" s="170">
        <v>37</v>
      </c>
      <c r="AY1110" s="20">
        <f t="shared" si="13"/>
        <v>34</v>
      </c>
      <c r="AZ1110" s="165">
        <v>17</v>
      </c>
      <c r="BA1110" s="167">
        <v>97.100175746924435</v>
      </c>
      <c r="BB1110" s="168">
        <v>1.9</v>
      </c>
      <c r="BC1110" s="169">
        <v>8.8000000000000007</v>
      </c>
      <c r="BD1110" s="170">
        <v>69</v>
      </c>
      <c r="BL1110" s="165">
        <v>31</v>
      </c>
      <c r="BM1110" s="167">
        <v>88.074204946996474</v>
      </c>
      <c r="BN1110" s="168">
        <v>1.2</v>
      </c>
      <c r="BO1110" s="169">
        <v>7.4</v>
      </c>
      <c r="BP1110" s="170">
        <v>62</v>
      </c>
      <c r="BX1110" s="165">
        <v>687</v>
      </c>
      <c r="BY1110" s="167">
        <v>0.44014084507042256</v>
      </c>
      <c r="BZ1110" s="168">
        <v>-2.6</v>
      </c>
      <c r="CA1110" s="169">
        <v>-0.2</v>
      </c>
      <c r="CB1110" s="170">
        <v>24</v>
      </c>
      <c r="CD1110" s="147"/>
      <c r="CE1110" s="148"/>
      <c r="CF1110" s="179" t="s">
        <v>170</v>
      </c>
      <c r="CG1110" s="148"/>
      <c r="CH1110" s="149"/>
      <c r="CJ1110" s="165">
        <v>13</v>
      </c>
      <c r="CK1110" s="167">
        <v>0.26362038664323373</v>
      </c>
      <c r="CL1110" s="168">
        <v>-2.8</v>
      </c>
      <c r="CM1110" s="169">
        <v>-0.6</v>
      </c>
      <c r="CN1110" s="170">
        <v>22</v>
      </c>
      <c r="CP1110" s="165">
        <v>501</v>
      </c>
      <c r="CQ1110" s="167">
        <v>0.26362038664323373</v>
      </c>
      <c r="CR1110" s="168">
        <v>-2.8</v>
      </c>
      <c r="CS1110" s="169">
        <v>-0.6</v>
      </c>
      <c r="CT1110" s="170">
        <v>22</v>
      </c>
      <c r="CV1110" s="165">
        <v>34</v>
      </c>
      <c r="CW1110" s="167">
        <v>3.5211267605633805</v>
      </c>
      <c r="CX1110" s="168">
        <v>-1.8</v>
      </c>
      <c r="CY1110" s="169">
        <v>1.4</v>
      </c>
      <c r="CZ1110" s="170">
        <v>32</v>
      </c>
      <c r="DA1110" s="20">
        <f t="shared" si="14"/>
        <v>80</v>
      </c>
      <c r="DB1110" s="165">
        <v>0.8</v>
      </c>
      <c r="DC1110" s="167">
        <v>10.262529832935559</v>
      </c>
      <c r="DD1110" s="168">
        <v>-1.3</v>
      </c>
      <c r="DE1110" s="169">
        <v>2.4</v>
      </c>
      <c r="DF1110" s="170">
        <v>37</v>
      </c>
    </row>
    <row r="1111" spans="17:110" ht="13.15" hidden="1" thickBot="1" x14ac:dyDescent="0.25">
      <c r="AG1111" s="20">
        <f t="shared" si="15"/>
        <v>26</v>
      </c>
      <c r="AH1111" s="165">
        <v>13</v>
      </c>
      <c r="AI1111" s="167">
        <v>50</v>
      </c>
      <c r="AJ1111" s="168">
        <v>0</v>
      </c>
      <c r="AK1111" s="169">
        <v>5</v>
      </c>
      <c r="AL1111" s="170">
        <v>50</v>
      </c>
      <c r="AM1111" s="20">
        <f t="shared" si="17"/>
        <v>8</v>
      </c>
      <c r="AN1111" s="165">
        <v>4</v>
      </c>
      <c r="AO1111" s="167">
        <v>28.52112676056338</v>
      </c>
      <c r="AP1111" s="168">
        <v>-0.6</v>
      </c>
      <c r="AQ1111" s="169">
        <v>3.8</v>
      </c>
      <c r="AR1111" s="170">
        <v>44</v>
      </c>
      <c r="AS1111" s="20">
        <f t="shared" si="16"/>
        <v>15</v>
      </c>
      <c r="AT1111" s="165">
        <v>7.5</v>
      </c>
      <c r="AU1111" s="167">
        <v>13.444639718804922</v>
      </c>
      <c r="AV1111" s="168">
        <v>-1.1000000000000001</v>
      </c>
      <c r="AW1111" s="169">
        <v>2.8</v>
      </c>
      <c r="AX1111" s="170">
        <v>39</v>
      </c>
      <c r="AY1111" s="20">
        <f t="shared" si="13"/>
        <v>35</v>
      </c>
      <c r="AZ1111" s="165">
        <v>17.5</v>
      </c>
      <c r="BA1111" s="167">
        <v>98.857644991212652</v>
      </c>
      <c r="BB1111" s="168">
        <v>2.2999999999999998</v>
      </c>
      <c r="BC1111" s="169">
        <v>9.6</v>
      </c>
      <c r="BD1111" s="170">
        <v>73</v>
      </c>
      <c r="BL1111" s="165">
        <v>32</v>
      </c>
      <c r="BM1111" s="167">
        <v>91.077738515901061</v>
      </c>
      <c r="BN1111" s="168">
        <v>1.3</v>
      </c>
      <c r="BO1111" s="169">
        <v>7.6</v>
      </c>
      <c r="BP1111" s="170">
        <v>63</v>
      </c>
      <c r="BX1111" s="165">
        <v>686</v>
      </c>
      <c r="BY1111" s="167">
        <v>0.44014084507042256</v>
      </c>
      <c r="BZ1111" s="168">
        <v>-2.6</v>
      </c>
      <c r="CA1111" s="169">
        <v>-0.2</v>
      </c>
      <c r="CB1111" s="170">
        <v>24</v>
      </c>
      <c r="CD1111" s="150" t="s">
        <v>164</v>
      </c>
      <c r="CE1111" s="151" t="s">
        <v>90</v>
      </c>
      <c r="CF1111" s="152"/>
      <c r="CG1111" s="152"/>
      <c r="CH1111" s="153"/>
      <c r="CJ1111" s="165">
        <v>12</v>
      </c>
      <c r="CK1111" s="167">
        <v>0.26362038664323373</v>
      </c>
      <c r="CL1111" s="168">
        <v>-2.8</v>
      </c>
      <c r="CM1111" s="169">
        <v>-0.6</v>
      </c>
      <c r="CN1111" s="170">
        <v>22</v>
      </c>
      <c r="CP1111" s="165">
        <v>500</v>
      </c>
      <c r="CQ1111" s="167">
        <v>0.26362038664323373</v>
      </c>
      <c r="CR1111" s="168">
        <v>-2.8</v>
      </c>
      <c r="CS1111" s="169">
        <v>-0.6</v>
      </c>
      <c r="CT1111" s="170">
        <v>22</v>
      </c>
      <c r="CV1111" s="165">
        <v>33</v>
      </c>
      <c r="CW1111" s="167">
        <v>4.841549295774648</v>
      </c>
      <c r="CX1111" s="168">
        <v>-1.7</v>
      </c>
      <c r="CY1111" s="169">
        <v>1.6</v>
      </c>
      <c r="CZ1111" s="170">
        <v>33</v>
      </c>
      <c r="DA1111" s="20">
        <f t="shared" si="14"/>
        <v>81</v>
      </c>
      <c r="DB1111" s="165">
        <v>0.81</v>
      </c>
      <c r="DC1111" s="167">
        <v>13.24582338902148</v>
      </c>
      <c r="DD1111" s="168">
        <v>-1.1000000000000001</v>
      </c>
      <c r="DE1111" s="169">
        <v>2.8</v>
      </c>
      <c r="DF1111" s="170">
        <v>39</v>
      </c>
    </row>
    <row r="1112" spans="17:110" ht="13.8" hidden="1" thickBot="1" x14ac:dyDescent="0.3">
      <c r="AB1112" s="138" t="s">
        <v>159</v>
      </c>
      <c r="AC1112" s="139"/>
      <c r="AD1112" s="139"/>
      <c r="AE1112" s="140"/>
      <c r="AF1112" s="141" t="s">
        <v>160</v>
      </c>
      <c r="AG1112" s="20">
        <f t="shared" si="15"/>
        <v>27</v>
      </c>
      <c r="AH1112" s="165">
        <v>13.5</v>
      </c>
      <c r="AI1112" s="167">
        <v>56.095406360424029</v>
      </c>
      <c r="AJ1112" s="168">
        <v>0.2</v>
      </c>
      <c r="AK1112" s="169">
        <v>5.4</v>
      </c>
      <c r="AL1112" s="170">
        <v>52</v>
      </c>
      <c r="AM1112" s="20">
        <f t="shared" si="17"/>
        <v>9</v>
      </c>
      <c r="AN1112" s="165">
        <v>4.5</v>
      </c>
      <c r="AO1112" s="167">
        <v>36.355633802816897</v>
      </c>
      <c r="AP1112" s="168">
        <v>-0.3</v>
      </c>
      <c r="AQ1112" s="169">
        <v>4.4000000000000004</v>
      </c>
      <c r="AR1112" s="170">
        <v>47</v>
      </c>
      <c r="AS1112" s="20">
        <f t="shared" si="16"/>
        <v>16</v>
      </c>
      <c r="AT1112" s="165">
        <v>8</v>
      </c>
      <c r="AU1112" s="167">
        <v>17.04745166959578</v>
      </c>
      <c r="AV1112" s="168">
        <v>-1</v>
      </c>
      <c r="AW1112" s="169">
        <v>3</v>
      </c>
      <c r="AX1112" s="170">
        <v>40</v>
      </c>
      <c r="AY1112" s="20">
        <f t="shared" si="13"/>
        <v>36</v>
      </c>
      <c r="AZ1112" s="172">
        <v>18</v>
      </c>
      <c r="BA1112" s="177">
        <v>99.824253075571178</v>
      </c>
      <c r="BB1112" s="174">
        <v>2.9</v>
      </c>
      <c r="BC1112" s="175">
        <v>10.8</v>
      </c>
      <c r="BD1112" s="176">
        <v>79</v>
      </c>
      <c r="BL1112" s="165">
        <v>33</v>
      </c>
      <c r="BM1112" s="167">
        <v>93.28621908127208</v>
      </c>
      <c r="BN1112" s="168">
        <v>1.5</v>
      </c>
      <c r="BO1112" s="169">
        <v>8</v>
      </c>
      <c r="BP1112" s="170">
        <v>65</v>
      </c>
      <c r="BX1112" s="165">
        <v>685</v>
      </c>
      <c r="BY1112" s="167">
        <v>0.44014084507042256</v>
      </c>
      <c r="BZ1112" s="168">
        <v>-2.6</v>
      </c>
      <c r="CA1112" s="169">
        <v>-0.2</v>
      </c>
      <c r="CB1112" s="170">
        <v>24</v>
      </c>
      <c r="CD1112" s="155" t="s">
        <v>10</v>
      </c>
      <c r="CE1112" s="156" t="s">
        <v>13</v>
      </c>
      <c r="CF1112" s="156" t="s">
        <v>14</v>
      </c>
      <c r="CG1112" s="156" t="s">
        <v>15</v>
      </c>
      <c r="CH1112" s="159" t="s">
        <v>16</v>
      </c>
      <c r="CJ1112" s="165">
        <v>11</v>
      </c>
      <c r="CK1112" s="167">
        <v>0.26362038664323373</v>
      </c>
      <c r="CL1112" s="168">
        <v>-2.8</v>
      </c>
      <c r="CM1112" s="169">
        <v>-0.6</v>
      </c>
      <c r="CN1112" s="170">
        <v>22</v>
      </c>
      <c r="CP1112" s="165">
        <v>499</v>
      </c>
      <c r="CQ1112" s="167">
        <v>0.26362038664323373</v>
      </c>
      <c r="CR1112" s="168">
        <v>-2.8</v>
      </c>
      <c r="CS1112" s="169">
        <v>-0.6</v>
      </c>
      <c r="CT1112" s="170">
        <v>22</v>
      </c>
      <c r="CV1112" s="165">
        <v>32</v>
      </c>
      <c r="CW1112" s="167">
        <v>7.482394366197183</v>
      </c>
      <c r="CX1112" s="168">
        <v>-1.4</v>
      </c>
      <c r="CY1112" s="169">
        <v>2.2000000000000002</v>
      </c>
      <c r="CZ1112" s="170">
        <v>36</v>
      </c>
      <c r="DA1112" s="20">
        <f t="shared" si="14"/>
        <v>82</v>
      </c>
      <c r="DB1112" s="165">
        <v>0.82</v>
      </c>
      <c r="DC1112" s="167">
        <v>13.24582338902148</v>
      </c>
      <c r="DD1112" s="168">
        <v>-1.1000000000000001</v>
      </c>
      <c r="DE1112" s="169">
        <v>2.8</v>
      </c>
      <c r="DF1112" s="170">
        <v>39</v>
      </c>
    </row>
    <row r="1113" spans="17:110" hidden="1" x14ac:dyDescent="0.2">
      <c r="S1113" s="178" t="e">
        <f>IF(T1113&lt;4,4,IF(T1113&gt;9,9,T1113))</f>
        <v>#REF!</v>
      </c>
      <c r="T1113" s="11" t="e">
        <f>$F95-2.6*$R$1031-0.45*$R$1030</f>
        <v>#REF!</v>
      </c>
      <c r="U1113" s="180" t="s">
        <v>280</v>
      </c>
      <c r="AB1113" s="144" t="s">
        <v>161</v>
      </c>
      <c r="AD1113" s="20" t="s">
        <v>162</v>
      </c>
      <c r="AF1113" s="145"/>
      <c r="AG1113" s="20">
        <f t="shared" si="15"/>
        <v>28</v>
      </c>
      <c r="AH1113" s="165">
        <v>14</v>
      </c>
      <c r="AI1113" s="167">
        <v>60.865724381625441</v>
      </c>
      <c r="AJ1113" s="168">
        <v>0.3</v>
      </c>
      <c r="AK1113" s="169">
        <v>5.6</v>
      </c>
      <c r="AL1113" s="170">
        <v>53</v>
      </c>
      <c r="AM1113" s="20">
        <f t="shared" si="17"/>
        <v>10</v>
      </c>
      <c r="AN1113" s="165">
        <v>5</v>
      </c>
      <c r="AO1113" s="167">
        <v>42.341549295774648</v>
      </c>
      <c r="AP1113" s="168">
        <v>-0.2</v>
      </c>
      <c r="AQ1113" s="169">
        <v>4.5999999999999996</v>
      </c>
      <c r="AR1113" s="170">
        <v>48</v>
      </c>
      <c r="AS1113" s="20">
        <f t="shared" si="16"/>
        <v>17</v>
      </c>
      <c r="AT1113" s="165">
        <v>8.5</v>
      </c>
      <c r="AU1113" s="167">
        <v>20.210896309314588</v>
      </c>
      <c r="AV1113" s="168">
        <v>-0.8</v>
      </c>
      <c r="AW1113" s="169">
        <v>3.4</v>
      </c>
      <c r="AX1113" s="170">
        <v>42</v>
      </c>
      <c r="BL1113" s="165">
        <v>34</v>
      </c>
      <c r="BM1113" s="167">
        <v>95.229681978798581</v>
      </c>
      <c r="BN1113" s="168">
        <v>1.7</v>
      </c>
      <c r="BO1113" s="169">
        <v>8.4</v>
      </c>
      <c r="BP1113" s="170">
        <v>67</v>
      </c>
      <c r="BX1113" s="165">
        <v>684</v>
      </c>
      <c r="BY1113" s="167">
        <v>0.44014084507042256</v>
      </c>
      <c r="BZ1113" s="168">
        <v>-2.6</v>
      </c>
      <c r="CA1113" s="169">
        <v>-0.2</v>
      </c>
      <c r="CB1113" s="170">
        <v>24</v>
      </c>
      <c r="CD1113" s="160">
        <v>5</v>
      </c>
      <c r="CE1113" s="161">
        <v>8.7873462214411238E-2</v>
      </c>
      <c r="CF1113" s="162">
        <v>-3</v>
      </c>
      <c r="CG1113" s="163">
        <v>-1</v>
      </c>
      <c r="CH1113" s="164">
        <v>20</v>
      </c>
      <c r="CJ1113" s="165">
        <v>10</v>
      </c>
      <c r="CK1113" s="167">
        <v>0.43936731107205629</v>
      </c>
      <c r="CL1113" s="168">
        <v>-2.6</v>
      </c>
      <c r="CM1113" s="169">
        <v>-0.2</v>
      </c>
      <c r="CN1113" s="170">
        <v>24</v>
      </c>
      <c r="CP1113" s="165">
        <v>498</v>
      </c>
      <c r="CQ1113" s="167">
        <v>0.26362038664323373</v>
      </c>
      <c r="CR1113" s="168">
        <v>-2.8</v>
      </c>
      <c r="CS1113" s="169">
        <v>-0.6</v>
      </c>
      <c r="CT1113" s="170">
        <v>22</v>
      </c>
      <c r="CV1113" s="165">
        <v>31</v>
      </c>
      <c r="CW1113" s="167">
        <v>10.56338028169014</v>
      </c>
      <c r="CX1113" s="168">
        <v>-1.3</v>
      </c>
      <c r="CY1113" s="169">
        <v>2.4</v>
      </c>
      <c r="CZ1113" s="170">
        <v>37</v>
      </c>
      <c r="DA1113" s="20">
        <f t="shared" si="14"/>
        <v>83</v>
      </c>
      <c r="DB1113" s="165">
        <v>0.83</v>
      </c>
      <c r="DC1113" s="167">
        <v>13.24582338902148</v>
      </c>
      <c r="DD1113" s="168">
        <v>-1.1000000000000001</v>
      </c>
      <c r="DE1113" s="169">
        <v>2.8</v>
      </c>
      <c r="DF1113" s="170">
        <v>39</v>
      </c>
    </row>
    <row r="1114" spans="17:110" ht="13.15" hidden="1" thickBot="1" x14ac:dyDescent="0.25">
      <c r="S1114" s="178" t="e">
        <f>IF(F96&lt;0,0,IF(F96&gt;3,3,F96))</f>
        <v>#REF!</v>
      </c>
      <c r="U1114" s="180" t="s">
        <v>281</v>
      </c>
      <c r="AB1114" s="147" t="s">
        <v>166</v>
      </c>
      <c r="AC1114" s="148"/>
      <c r="AD1114" s="148"/>
      <c r="AE1114" s="148"/>
      <c r="AF1114" s="149"/>
      <c r="AG1114" s="20">
        <f t="shared" si="15"/>
        <v>29</v>
      </c>
      <c r="AH1114" s="165">
        <v>14.5</v>
      </c>
      <c r="AI1114" s="167">
        <v>64.840989399293292</v>
      </c>
      <c r="AJ1114" s="168">
        <v>0.4</v>
      </c>
      <c r="AK1114" s="169">
        <v>5.8</v>
      </c>
      <c r="AL1114" s="170">
        <v>54</v>
      </c>
      <c r="AM1114" s="20">
        <f t="shared" si="17"/>
        <v>11</v>
      </c>
      <c r="AN1114" s="165">
        <v>5.5</v>
      </c>
      <c r="AO1114" s="167">
        <v>47.887323943661968</v>
      </c>
      <c r="AP1114" s="168">
        <v>-0.1</v>
      </c>
      <c r="AQ1114" s="169">
        <v>4.8</v>
      </c>
      <c r="AR1114" s="170">
        <v>49</v>
      </c>
      <c r="AS1114" s="20">
        <f t="shared" si="16"/>
        <v>18</v>
      </c>
      <c r="AT1114" s="165">
        <v>9</v>
      </c>
      <c r="AU1114" s="167">
        <v>25.83479789103691</v>
      </c>
      <c r="AV1114" s="168">
        <v>-0.6</v>
      </c>
      <c r="AW1114" s="169">
        <v>3.8</v>
      </c>
      <c r="AX1114" s="170">
        <v>44</v>
      </c>
      <c r="BL1114" s="165">
        <v>35</v>
      </c>
      <c r="BM1114" s="167">
        <v>96.908127208480565</v>
      </c>
      <c r="BN1114" s="168">
        <v>1.9</v>
      </c>
      <c r="BO1114" s="169">
        <v>8.8000000000000007</v>
      </c>
      <c r="BP1114" s="170">
        <v>69</v>
      </c>
      <c r="BX1114" s="165">
        <v>683</v>
      </c>
      <c r="BY1114" s="167">
        <v>0.44014084507042256</v>
      </c>
      <c r="BZ1114" s="168">
        <v>-2.6</v>
      </c>
      <c r="CA1114" s="169">
        <v>-0.2</v>
      </c>
      <c r="CB1114" s="170">
        <v>24</v>
      </c>
      <c r="CD1114" s="165">
        <v>4</v>
      </c>
      <c r="CE1114" s="167">
        <v>0.35149384885764495</v>
      </c>
      <c r="CF1114" s="168">
        <v>-2.7</v>
      </c>
      <c r="CG1114" s="169">
        <v>-0.4</v>
      </c>
      <c r="CH1114" s="170">
        <v>23</v>
      </c>
      <c r="CJ1114" s="165">
        <v>9</v>
      </c>
      <c r="CK1114" s="167">
        <v>0.61511423550087874</v>
      </c>
      <c r="CL1114" s="168">
        <v>-2.5</v>
      </c>
      <c r="CM1114" s="169">
        <v>0</v>
      </c>
      <c r="CN1114" s="170">
        <v>25</v>
      </c>
      <c r="CP1114" s="165">
        <v>497</v>
      </c>
      <c r="CQ1114" s="167">
        <v>0.26362038664323373</v>
      </c>
      <c r="CR1114" s="168">
        <v>-2.8</v>
      </c>
      <c r="CS1114" s="169">
        <v>-0.6</v>
      </c>
      <c r="CT1114" s="170">
        <v>22</v>
      </c>
      <c r="CV1114" s="165">
        <v>30</v>
      </c>
      <c r="CW1114" s="167">
        <v>13.29225352112676</v>
      </c>
      <c r="CX1114" s="168">
        <v>-1.1000000000000001</v>
      </c>
      <c r="CY1114" s="169">
        <v>2.8</v>
      </c>
      <c r="CZ1114" s="170">
        <v>39</v>
      </c>
      <c r="DA1114" s="20">
        <f t="shared" si="14"/>
        <v>84</v>
      </c>
      <c r="DB1114" s="165">
        <v>0.84</v>
      </c>
      <c r="DC1114" s="167">
        <v>16.467780429594274</v>
      </c>
      <c r="DD1114" s="168">
        <v>-1</v>
      </c>
      <c r="DE1114" s="169">
        <v>3</v>
      </c>
      <c r="DF1114" s="170">
        <v>40</v>
      </c>
    </row>
    <row r="1115" spans="17:110" ht="13.8" hidden="1" thickBot="1" x14ac:dyDescent="0.3">
      <c r="S1115" s="178" t="e">
        <f>IF(T1115&lt;3,3,IF(T1115&gt;9,9,T1115))</f>
        <v>#REF!</v>
      </c>
      <c r="T1115" s="11" t="e">
        <f>$F98-2.8*$R$1031-0.28*$R$1030</f>
        <v>#REF!</v>
      </c>
      <c r="U1115" s="180" t="s">
        <v>282</v>
      </c>
      <c r="AB1115" s="150" t="s">
        <v>164</v>
      </c>
      <c r="AC1115" s="151" t="s">
        <v>24</v>
      </c>
      <c r="AD1115" s="152"/>
      <c r="AE1115" s="152"/>
      <c r="AF1115" s="153"/>
      <c r="AG1115" s="20">
        <f t="shared" si="15"/>
        <v>30</v>
      </c>
      <c r="AH1115" s="165">
        <v>15</v>
      </c>
      <c r="AI1115" s="167">
        <v>70.229681978798581</v>
      </c>
      <c r="AJ1115" s="168">
        <v>0.5</v>
      </c>
      <c r="AK1115" s="169">
        <v>6</v>
      </c>
      <c r="AL1115" s="170">
        <v>55</v>
      </c>
      <c r="AM1115" s="20">
        <f t="shared" si="17"/>
        <v>12</v>
      </c>
      <c r="AN1115" s="165">
        <v>6</v>
      </c>
      <c r="AO1115" s="167">
        <v>53.9612676056338</v>
      </c>
      <c r="AP1115" s="168">
        <v>0.1</v>
      </c>
      <c r="AQ1115" s="169">
        <v>5.2</v>
      </c>
      <c r="AR1115" s="170">
        <v>51</v>
      </c>
      <c r="AS1115" s="20">
        <f t="shared" si="16"/>
        <v>19</v>
      </c>
      <c r="AT1115" s="165">
        <v>9.5</v>
      </c>
      <c r="AU1115" s="167">
        <v>32.073813708260104</v>
      </c>
      <c r="AV1115" s="168">
        <v>-0.5</v>
      </c>
      <c r="AW1115" s="169">
        <v>4</v>
      </c>
      <c r="AX1115" s="170">
        <v>45</v>
      </c>
      <c r="AZ1115" s="138" t="s">
        <v>214</v>
      </c>
      <c r="BA1115" s="139"/>
      <c r="BB1115" s="139"/>
      <c r="BC1115" s="140" t="s">
        <v>215</v>
      </c>
      <c r="BD1115" s="141">
        <v>569</v>
      </c>
      <c r="BL1115" s="165">
        <v>36</v>
      </c>
      <c r="BM1115" s="167">
        <v>97.703180212014132</v>
      </c>
      <c r="BN1115" s="168">
        <v>2</v>
      </c>
      <c r="BO1115" s="169">
        <v>9</v>
      </c>
      <c r="BP1115" s="170">
        <v>70</v>
      </c>
      <c r="BX1115" s="165">
        <v>682</v>
      </c>
      <c r="BY1115" s="167">
        <v>0.44014084507042256</v>
      </c>
      <c r="BZ1115" s="168">
        <v>-2.6</v>
      </c>
      <c r="CA1115" s="169">
        <v>-0.2</v>
      </c>
      <c r="CB1115" s="170">
        <v>24</v>
      </c>
      <c r="CD1115" s="165">
        <v>3</v>
      </c>
      <c r="CE1115" s="167">
        <v>0.87873462214411258</v>
      </c>
      <c r="CF1115" s="168">
        <v>-2.4</v>
      </c>
      <c r="CG1115" s="169">
        <v>0.2</v>
      </c>
      <c r="CH1115" s="170">
        <v>26</v>
      </c>
      <c r="CJ1115" s="165">
        <v>8</v>
      </c>
      <c r="CK1115" s="167">
        <v>1.0544815465729349</v>
      </c>
      <c r="CL1115" s="168">
        <v>-2.2999999999999998</v>
      </c>
      <c r="CM1115" s="169">
        <v>0.4</v>
      </c>
      <c r="CN1115" s="170">
        <v>27</v>
      </c>
      <c r="CP1115" s="165">
        <v>496</v>
      </c>
      <c r="CQ1115" s="167">
        <v>0.26362038664323373</v>
      </c>
      <c r="CR1115" s="168">
        <v>-2.8</v>
      </c>
      <c r="CS1115" s="169">
        <v>-0.6</v>
      </c>
      <c r="CT1115" s="170">
        <v>22</v>
      </c>
      <c r="CV1115" s="165">
        <v>29</v>
      </c>
      <c r="CW1115" s="167">
        <v>16.285211267605636</v>
      </c>
      <c r="CX1115" s="168">
        <v>-1</v>
      </c>
      <c r="CY1115" s="169">
        <v>3</v>
      </c>
      <c r="CZ1115" s="170">
        <v>40</v>
      </c>
      <c r="DA1115" s="20">
        <f t="shared" si="14"/>
        <v>85</v>
      </c>
      <c r="DB1115" s="165">
        <v>0.85</v>
      </c>
      <c r="DC1115" s="167">
        <v>16.467780429594274</v>
      </c>
      <c r="DD1115" s="168">
        <v>-1</v>
      </c>
      <c r="DE1115" s="169">
        <v>3</v>
      </c>
      <c r="DF1115" s="170">
        <v>40</v>
      </c>
    </row>
    <row r="1116" spans="17:110" ht="13.15" hidden="1" thickBot="1" x14ac:dyDescent="0.25">
      <c r="S1116" s="178" t="e">
        <f>IF(F99&lt;0,0,IF(F99&gt;3,3,F99))</f>
        <v>#REF!</v>
      </c>
      <c r="U1116" s="180" t="s">
        <v>281</v>
      </c>
      <c r="AB1116" s="155" t="s">
        <v>10</v>
      </c>
      <c r="AC1116" s="158" t="s">
        <v>13</v>
      </c>
      <c r="AD1116" s="156" t="s">
        <v>14</v>
      </c>
      <c r="AE1116" s="158" t="s">
        <v>15</v>
      </c>
      <c r="AF1116" s="159" t="s">
        <v>16</v>
      </c>
      <c r="AG1116" s="20">
        <f t="shared" si="15"/>
        <v>31</v>
      </c>
      <c r="AH1116" s="165">
        <v>15.5</v>
      </c>
      <c r="AI1116" s="167">
        <v>75.176678445229683</v>
      </c>
      <c r="AJ1116" s="168">
        <v>0.7</v>
      </c>
      <c r="AK1116" s="169">
        <v>6.4</v>
      </c>
      <c r="AL1116" s="170">
        <v>57</v>
      </c>
      <c r="AM1116" s="20">
        <f t="shared" si="17"/>
        <v>13</v>
      </c>
      <c r="AN1116" s="165">
        <v>6.5</v>
      </c>
      <c r="AO1116" s="167">
        <v>60.387323943661976</v>
      </c>
      <c r="AP1116" s="168">
        <v>0.3</v>
      </c>
      <c r="AQ1116" s="169">
        <v>5.6</v>
      </c>
      <c r="AR1116" s="170">
        <v>53</v>
      </c>
      <c r="AS1116" s="20">
        <f t="shared" si="16"/>
        <v>20</v>
      </c>
      <c r="AT1116" s="165">
        <v>10</v>
      </c>
      <c r="AU1116" s="167">
        <v>36.467486818980667</v>
      </c>
      <c r="AV1116" s="168">
        <v>-0.3</v>
      </c>
      <c r="AW1116" s="169">
        <v>4.4000000000000004</v>
      </c>
      <c r="AX1116" s="170">
        <v>47</v>
      </c>
      <c r="AZ1116" s="144" t="s">
        <v>161</v>
      </c>
      <c r="BB1116" s="20" t="s">
        <v>162</v>
      </c>
      <c r="BD1116" s="145"/>
      <c r="BL1116" s="165">
        <v>37</v>
      </c>
      <c r="BM1116" s="167">
        <v>98.586572438162548</v>
      </c>
      <c r="BN1116" s="168">
        <v>2.2000000000000002</v>
      </c>
      <c r="BO1116" s="169">
        <v>9.4</v>
      </c>
      <c r="BP1116" s="170">
        <v>72</v>
      </c>
      <c r="BX1116" s="165">
        <v>681</v>
      </c>
      <c r="BY1116" s="167">
        <v>0.44014084507042256</v>
      </c>
      <c r="BZ1116" s="168">
        <v>-2.6</v>
      </c>
      <c r="CA1116" s="169">
        <v>-0.2</v>
      </c>
      <c r="CB1116" s="170">
        <v>24</v>
      </c>
      <c r="CD1116" s="165">
        <v>2</v>
      </c>
      <c r="CE1116" s="167">
        <v>2.8119507908611596</v>
      </c>
      <c r="CF1116" s="168">
        <v>-1.9</v>
      </c>
      <c r="CG1116" s="169">
        <v>1.2</v>
      </c>
      <c r="CH1116" s="170">
        <v>31</v>
      </c>
      <c r="CJ1116" s="165">
        <v>7</v>
      </c>
      <c r="CK1116" s="167">
        <v>1.6695957820738139</v>
      </c>
      <c r="CL1116" s="168">
        <v>-2.1</v>
      </c>
      <c r="CM1116" s="169">
        <v>0.8</v>
      </c>
      <c r="CN1116" s="170">
        <v>29</v>
      </c>
      <c r="CP1116" s="165">
        <v>495</v>
      </c>
      <c r="CQ1116" s="167">
        <v>0.26362038664323373</v>
      </c>
      <c r="CR1116" s="168">
        <v>-2.8</v>
      </c>
      <c r="CS1116" s="169">
        <v>-0.6</v>
      </c>
      <c r="CT1116" s="170">
        <v>22</v>
      </c>
      <c r="CV1116" s="165">
        <v>28</v>
      </c>
      <c r="CW1116" s="167">
        <v>19.806338028169016</v>
      </c>
      <c r="CX1116" s="168">
        <v>-0.8</v>
      </c>
      <c r="CY1116" s="169">
        <v>3.4</v>
      </c>
      <c r="CZ1116" s="170">
        <v>42</v>
      </c>
      <c r="DA1116" s="20">
        <f t="shared" si="14"/>
        <v>86</v>
      </c>
      <c r="DB1116" s="165">
        <v>0.86</v>
      </c>
      <c r="DC1116" s="167">
        <v>23.389021479713605</v>
      </c>
      <c r="DD1116" s="168">
        <v>-0.7</v>
      </c>
      <c r="DE1116" s="169">
        <v>3.6</v>
      </c>
      <c r="DF1116" s="170">
        <v>43</v>
      </c>
    </row>
    <row r="1117" spans="17:110" ht="13.15" hidden="1" thickBot="1" x14ac:dyDescent="0.25">
      <c r="AB1117" s="160">
        <v>0</v>
      </c>
      <c r="AC1117" s="161">
        <v>0.17574692442882248</v>
      </c>
      <c r="AD1117" s="162">
        <v>-2.9</v>
      </c>
      <c r="AE1117" s="163">
        <v>-0.8</v>
      </c>
      <c r="AF1117" s="164">
        <v>21</v>
      </c>
      <c r="AG1117" s="20">
        <f t="shared" si="15"/>
        <v>32</v>
      </c>
      <c r="AH1117" s="165">
        <v>16</v>
      </c>
      <c r="AI1117" s="167">
        <v>78.621908127208485</v>
      </c>
      <c r="AJ1117" s="168">
        <v>0.8</v>
      </c>
      <c r="AK1117" s="169">
        <v>6.6</v>
      </c>
      <c r="AL1117" s="170">
        <v>58</v>
      </c>
      <c r="AM1117" s="20">
        <f t="shared" si="17"/>
        <v>14</v>
      </c>
      <c r="AN1117" s="165">
        <v>7</v>
      </c>
      <c r="AO1117" s="167">
        <v>65.845070422535215</v>
      </c>
      <c r="AP1117" s="168">
        <v>0.4</v>
      </c>
      <c r="AQ1117" s="169">
        <v>5.8</v>
      </c>
      <c r="AR1117" s="170">
        <v>54</v>
      </c>
      <c r="AS1117" s="20">
        <f t="shared" si="16"/>
        <v>21</v>
      </c>
      <c r="AT1117" s="165">
        <v>10.5</v>
      </c>
      <c r="AU1117" s="167">
        <v>41.036906854130052</v>
      </c>
      <c r="AV1117" s="168">
        <v>-0.2</v>
      </c>
      <c r="AW1117" s="169">
        <v>4.5999999999999996</v>
      </c>
      <c r="AX1117" s="170">
        <v>48</v>
      </c>
      <c r="AZ1117" s="147" t="s">
        <v>219</v>
      </c>
      <c r="BA1117" s="148"/>
      <c r="BB1117" s="148"/>
      <c r="BC1117" s="148"/>
      <c r="BD1117" s="149"/>
      <c r="BL1117" s="165">
        <v>38</v>
      </c>
      <c r="BM1117" s="167">
        <v>99.204946996466433</v>
      </c>
      <c r="BN1117" s="168">
        <v>2.4</v>
      </c>
      <c r="BO1117" s="169">
        <v>9.8000000000000007</v>
      </c>
      <c r="BP1117" s="170">
        <v>74</v>
      </c>
      <c r="BX1117" s="165">
        <v>680</v>
      </c>
      <c r="BY1117" s="167">
        <v>0.44014084507042256</v>
      </c>
      <c r="BZ1117" s="168">
        <v>-2.6</v>
      </c>
      <c r="CA1117" s="169">
        <v>-0.2</v>
      </c>
      <c r="CB1117" s="170">
        <v>24</v>
      </c>
      <c r="CD1117" s="165">
        <v>1</v>
      </c>
      <c r="CE1117" s="167">
        <v>11.072056239015819</v>
      </c>
      <c r="CF1117" s="168">
        <v>-1.2</v>
      </c>
      <c r="CG1117" s="169">
        <v>2.6</v>
      </c>
      <c r="CH1117" s="170">
        <v>38</v>
      </c>
      <c r="CJ1117" s="165">
        <v>6</v>
      </c>
      <c r="CK1117" s="167">
        <v>2.2847100175746924</v>
      </c>
      <c r="CL1117" s="168">
        <v>-2</v>
      </c>
      <c r="CM1117" s="169">
        <v>1</v>
      </c>
      <c r="CN1117" s="170">
        <v>30</v>
      </c>
      <c r="CP1117" s="165">
        <v>494</v>
      </c>
      <c r="CQ1117" s="167">
        <v>0.26362038664323373</v>
      </c>
      <c r="CR1117" s="168">
        <v>-2.8</v>
      </c>
      <c r="CS1117" s="169">
        <v>-0.6</v>
      </c>
      <c r="CT1117" s="170">
        <v>22</v>
      </c>
      <c r="CV1117" s="165">
        <v>27</v>
      </c>
      <c r="CW1117" s="167">
        <v>24.031690140845072</v>
      </c>
      <c r="CX1117" s="168">
        <v>-0.7</v>
      </c>
      <c r="CY1117" s="169">
        <v>3.6</v>
      </c>
      <c r="CZ1117" s="170">
        <v>43</v>
      </c>
      <c r="DA1117" s="20">
        <f t="shared" si="14"/>
        <v>87</v>
      </c>
      <c r="DB1117" s="165">
        <v>0.87</v>
      </c>
      <c r="DC1117" s="167">
        <v>23.389021479713605</v>
      </c>
      <c r="DD1117" s="168">
        <v>-0.7</v>
      </c>
      <c r="DE1117" s="169">
        <v>3.6</v>
      </c>
      <c r="DF1117" s="170">
        <v>43</v>
      </c>
    </row>
    <row r="1118" spans="17:110" ht="13.15" hidden="1" thickBot="1" x14ac:dyDescent="0.25">
      <c r="AB1118" s="165">
        <v>1</v>
      </c>
      <c r="AC1118" s="167">
        <v>0.52724077328646746</v>
      </c>
      <c r="AD1118" s="168">
        <v>-2.6</v>
      </c>
      <c r="AE1118" s="169">
        <v>-0.2</v>
      </c>
      <c r="AF1118" s="170">
        <v>24</v>
      </c>
      <c r="AG1118" s="20">
        <f t="shared" si="15"/>
        <v>33</v>
      </c>
      <c r="AH1118" s="165">
        <v>16.5</v>
      </c>
      <c r="AI1118" s="167">
        <v>81.802120141342755</v>
      </c>
      <c r="AJ1118" s="168">
        <v>0.9</v>
      </c>
      <c r="AK1118" s="169">
        <v>6.8</v>
      </c>
      <c r="AL1118" s="170">
        <v>59</v>
      </c>
      <c r="AM1118" s="20">
        <f t="shared" si="17"/>
        <v>15</v>
      </c>
      <c r="AN1118" s="165">
        <v>7.5</v>
      </c>
      <c r="AO1118" s="167">
        <v>71.038732394366207</v>
      </c>
      <c r="AP1118" s="168">
        <v>0.6</v>
      </c>
      <c r="AQ1118" s="169">
        <v>6.2</v>
      </c>
      <c r="AR1118" s="170">
        <v>56</v>
      </c>
      <c r="AS1118" s="20">
        <f t="shared" si="16"/>
        <v>22</v>
      </c>
      <c r="AT1118" s="165">
        <v>11</v>
      </c>
      <c r="AU1118" s="167">
        <v>46.836555360281196</v>
      </c>
      <c r="AV1118" s="168">
        <v>-0.1</v>
      </c>
      <c r="AW1118" s="169">
        <v>4.8</v>
      </c>
      <c r="AX1118" s="170">
        <v>49</v>
      </c>
      <c r="AZ1118" s="150" t="s">
        <v>164</v>
      </c>
      <c r="BA1118" s="151" t="s">
        <v>48</v>
      </c>
      <c r="BB1118" s="152"/>
      <c r="BC1118" s="152"/>
      <c r="BD1118" s="153"/>
      <c r="BL1118" s="165">
        <v>39</v>
      </c>
      <c r="BM1118" s="167">
        <v>99.46996466431095</v>
      </c>
      <c r="BN1118" s="168">
        <v>2.6</v>
      </c>
      <c r="BO1118" s="169">
        <v>10.199999999999999</v>
      </c>
      <c r="BP1118" s="170">
        <v>76</v>
      </c>
      <c r="BX1118" s="165">
        <v>679</v>
      </c>
      <c r="BY1118" s="167">
        <v>0.44014084507042256</v>
      </c>
      <c r="BZ1118" s="168">
        <v>-2.6</v>
      </c>
      <c r="CA1118" s="169">
        <v>-0.2</v>
      </c>
      <c r="CB1118" s="170">
        <v>24</v>
      </c>
      <c r="CD1118" s="172">
        <v>0</v>
      </c>
      <c r="CE1118" s="173">
        <v>58.87521968365553</v>
      </c>
      <c r="CF1118" s="174">
        <v>0.2</v>
      </c>
      <c r="CG1118" s="175">
        <v>5.4</v>
      </c>
      <c r="CH1118" s="176">
        <v>52</v>
      </c>
      <c r="CJ1118" s="165">
        <v>5</v>
      </c>
      <c r="CK1118" s="167">
        <v>3.3391915641476277</v>
      </c>
      <c r="CL1118" s="168">
        <v>-1.8</v>
      </c>
      <c r="CM1118" s="169">
        <v>1.4</v>
      </c>
      <c r="CN1118" s="170">
        <v>32</v>
      </c>
      <c r="CP1118" s="165">
        <v>493</v>
      </c>
      <c r="CQ1118" s="167">
        <v>0.26362038664323373</v>
      </c>
      <c r="CR1118" s="168">
        <v>-2.8</v>
      </c>
      <c r="CS1118" s="169">
        <v>-0.6</v>
      </c>
      <c r="CT1118" s="170">
        <v>22</v>
      </c>
      <c r="CV1118" s="165">
        <v>26</v>
      </c>
      <c r="CW1118" s="167">
        <v>29.225352112676056</v>
      </c>
      <c r="CX1118" s="168">
        <v>-0.5</v>
      </c>
      <c r="CY1118" s="169">
        <v>4</v>
      </c>
      <c r="CZ1118" s="170">
        <v>45</v>
      </c>
      <c r="DA1118" s="20">
        <f t="shared" si="14"/>
        <v>88</v>
      </c>
      <c r="DB1118" s="165">
        <v>0.88</v>
      </c>
      <c r="DC1118" s="167">
        <v>34.367541766109781</v>
      </c>
      <c r="DD1118" s="168">
        <v>-0.4</v>
      </c>
      <c r="DE1118" s="169">
        <v>4.2</v>
      </c>
      <c r="DF1118" s="170">
        <v>46</v>
      </c>
    </row>
    <row r="1119" spans="17:110" ht="13.15" hidden="1" thickBot="1" x14ac:dyDescent="0.25">
      <c r="AB1119" s="165">
        <v>2</v>
      </c>
      <c r="AC1119" s="167">
        <v>0.52724077328646746</v>
      </c>
      <c r="AD1119" s="168">
        <v>-2.6</v>
      </c>
      <c r="AE1119" s="169">
        <v>-0.2</v>
      </c>
      <c r="AF1119" s="170">
        <v>24</v>
      </c>
      <c r="AG1119" s="20">
        <f t="shared" si="15"/>
        <v>34</v>
      </c>
      <c r="AH1119" s="165">
        <v>17</v>
      </c>
      <c r="AI1119" s="167">
        <v>84.717314487632507</v>
      </c>
      <c r="AJ1119" s="168">
        <v>1</v>
      </c>
      <c r="AK1119" s="169">
        <v>7</v>
      </c>
      <c r="AL1119" s="170">
        <v>60</v>
      </c>
      <c r="AM1119" s="20">
        <f t="shared" si="17"/>
        <v>16</v>
      </c>
      <c r="AN1119" s="165">
        <v>8</v>
      </c>
      <c r="AO1119" s="167">
        <v>76.144366197183103</v>
      </c>
      <c r="AP1119" s="168">
        <v>0.7</v>
      </c>
      <c r="AQ1119" s="169">
        <v>6.4</v>
      </c>
      <c r="AR1119" s="170">
        <v>57</v>
      </c>
      <c r="AS1119" s="20">
        <f t="shared" si="16"/>
        <v>23</v>
      </c>
      <c r="AT1119" s="165">
        <v>11.5</v>
      </c>
      <c r="AU1119" s="167">
        <v>52.196836555360285</v>
      </c>
      <c r="AV1119" s="168">
        <v>0.1</v>
      </c>
      <c r="AW1119" s="169">
        <v>5.2</v>
      </c>
      <c r="AX1119" s="170">
        <v>51</v>
      </c>
      <c r="AZ1119" s="155" t="s">
        <v>10</v>
      </c>
      <c r="BA1119" s="158" t="s">
        <v>13</v>
      </c>
      <c r="BB1119" s="156" t="s">
        <v>14</v>
      </c>
      <c r="BC1119" s="156" t="s">
        <v>15</v>
      </c>
      <c r="BD1119" s="159" t="s">
        <v>16</v>
      </c>
      <c r="BL1119" s="172">
        <v>40</v>
      </c>
      <c r="BM1119" s="173">
        <v>99.823321554770317</v>
      </c>
      <c r="BN1119" s="174">
        <v>2.9</v>
      </c>
      <c r="BO1119" s="175">
        <v>10.8</v>
      </c>
      <c r="BP1119" s="176">
        <v>79</v>
      </c>
      <c r="BX1119" s="165">
        <v>678</v>
      </c>
      <c r="BY1119" s="167">
        <v>0.44014084507042256</v>
      </c>
      <c r="BZ1119" s="168">
        <v>-2.6</v>
      </c>
      <c r="CA1119" s="169">
        <v>-0.2</v>
      </c>
      <c r="CB1119" s="170">
        <v>24</v>
      </c>
      <c r="CJ1119" s="165">
        <v>4</v>
      </c>
      <c r="CK1119" s="167">
        <v>5.8875219683655535</v>
      </c>
      <c r="CL1119" s="168">
        <v>-1.6</v>
      </c>
      <c r="CM1119" s="169">
        <v>1.8</v>
      </c>
      <c r="CN1119" s="170">
        <v>34</v>
      </c>
      <c r="CP1119" s="165">
        <v>492</v>
      </c>
      <c r="CQ1119" s="167">
        <v>0.26362038664323373</v>
      </c>
      <c r="CR1119" s="168">
        <v>-2.8</v>
      </c>
      <c r="CS1119" s="169">
        <v>-0.6</v>
      </c>
      <c r="CT1119" s="170">
        <v>22</v>
      </c>
      <c r="CV1119" s="165">
        <v>25</v>
      </c>
      <c r="CW1119" s="167">
        <v>36.443661971830984</v>
      </c>
      <c r="CX1119" s="168">
        <v>-0.3</v>
      </c>
      <c r="CY1119" s="169">
        <v>4.4000000000000004</v>
      </c>
      <c r="CZ1119" s="170">
        <v>47</v>
      </c>
      <c r="DA1119" s="20">
        <f t="shared" si="14"/>
        <v>89</v>
      </c>
      <c r="DB1119" s="165">
        <v>0.89</v>
      </c>
      <c r="DC1119" s="167">
        <v>34.367541766109781</v>
      </c>
      <c r="DD1119" s="168">
        <v>-0.4</v>
      </c>
      <c r="DE1119" s="169">
        <v>4.2</v>
      </c>
      <c r="DF1119" s="170">
        <v>46</v>
      </c>
    </row>
    <row r="1120" spans="17:110" ht="13.15" hidden="1" thickBot="1" x14ac:dyDescent="0.25">
      <c r="AB1120" s="165">
        <v>3</v>
      </c>
      <c r="AC1120" s="167">
        <v>0.52724077328646746</v>
      </c>
      <c r="AD1120" s="168">
        <v>-2.6</v>
      </c>
      <c r="AE1120" s="169">
        <v>-0.2</v>
      </c>
      <c r="AF1120" s="170">
        <v>24</v>
      </c>
      <c r="AG1120" s="20">
        <f t="shared" si="15"/>
        <v>35</v>
      </c>
      <c r="AH1120" s="165">
        <v>17.5</v>
      </c>
      <c r="AI1120" s="167">
        <v>87.720848056537108</v>
      </c>
      <c r="AJ1120" s="168">
        <v>1.2</v>
      </c>
      <c r="AK1120" s="169">
        <v>7.4</v>
      </c>
      <c r="AL1120" s="170">
        <v>62</v>
      </c>
      <c r="AM1120" s="20">
        <f t="shared" si="17"/>
        <v>17</v>
      </c>
      <c r="AN1120" s="165">
        <v>8.5</v>
      </c>
      <c r="AO1120" s="167">
        <v>81.602112676056336</v>
      </c>
      <c r="AP1120" s="168">
        <v>0.9</v>
      </c>
      <c r="AQ1120" s="169">
        <v>6.8</v>
      </c>
      <c r="AR1120" s="170">
        <v>59</v>
      </c>
      <c r="AS1120" s="20">
        <f t="shared" si="16"/>
        <v>24</v>
      </c>
      <c r="AT1120" s="165">
        <v>12</v>
      </c>
      <c r="AU1120" s="167">
        <v>58.347978910369072</v>
      </c>
      <c r="AV1120" s="168">
        <v>0.2</v>
      </c>
      <c r="AW1120" s="169">
        <v>5.4</v>
      </c>
      <c r="AX1120" s="170">
        <v>52</v>
      </c>
      <c r="AY1120" s="20">
        <f t="shared" ref="AY1120:AY1132" si="18">AZ1120*2</f>
        <v>12</v>
      </c>
      <c r="AZ1120" s="160">
        <v>6</v>
      </c>
      <c r="BA1120" s="161">
        <v>8.7873462214411238E-2</v>
      </c>
      <c r="BB1120" s="162">
        <v>-3</v>
      </c>
      <c r="BC1120" s="163">
        <v>-1</v>
      </c>
      <c r="BD1120" s="164">
        <v>20</v>
      </c>
      <c r="BX1120" s="165">
        <v>677</v>
      </c>
      <c r="BY1120" s="167">
        <v>0.44014084507042256</v>
      </c>
      <c r="BZ1120" s="168">
        <v>-2.6</v>
      </c>
      <c r="CA1120" s="169">
        <v>-0.2</v>
      </c>
      <c r="CB1120" s="170">
        <v>24</v>
      </c>
      <c r="CJ1120" s="165">
        <v>3</v>
      </c>
      <c r="CK1120" s="167">
        <v>10.54481546572935</v>
      </c>
      <c r="CL1120" s="168">
        <v>-1.3</v>
      </c>
      <c r="CM1120" s="169">
        <v>2.4</v>
      </c>
      <c r="CN1120" s="170">
        <v>37</v>
      </c>
      <c r="CP1120" s="165">
        <v>491</v>
      </c>
      <c r="CQ1120" s="167">
        <v>0.26362038664323373</v>
      </c>
      <c r="CR1120" s="168">
        <v>-2.8</v>
      </c>
      <c r="CS1120" s="169">
        <v>-0.6</v>
      </c>
      <c r="CT1120" s="170">
        <v>22</v>
      </c>
      <c r="CV1120" s="165">
        <v>24</v>
      </c>
      <c r="CW1120" s="167">
        <v>44.454225352112672</v>
      </c>
      <c r="CX1120" s="168">
        <v>-0.1</v>
      </c>
      <c r="CY1120" s="169">
        <v>4.8</v>
      </c>
      <c r="CZ1120" s="170">
        <v>49</v>
      </c>
      <c r="DA1120" s="20">
        <f t="shared" si="14"/>
        <v>90</v>
      </c>
      <c r="DB1120" s="165">
        <v>0.9</v>
      </c>
      <c r="DC1120" s="167">
        <v>46.181384248210023</v>
      </c>
      <c r="DD1120" s="168">
        <v>-0.1</v>
      </c>
      <c r="DE1120" s="169">
        <v>4.8</v>
      </c>
      <c r="DF1120" s="170">
        <v>49</v>
      </c>
    </row>
    <row r="1121" spans="19:110" ht="13.8" hidden="1" thickBot="1" x14ac:dyDescent="0.3">
      <c r="AB1121" s="165">
        <v>4</v>
      </c>
      <c r="AC1121" s="167">
        <v>0.7908611599297013</v>
      </c>
      <c r="AD1121" s="168">
        <v>-2.4</v>
      </c>
      <c r="AE1121" s="169">
        <v>0.2</v>
      </c>
      <c r="AF1121" s="170">
        <v>26</v>
      </c>
      <c r="AG1121" s="20">
        <f t="shared" si="15"/>
        <v>36</v>
      </c>
      <c r="AH1121" s="165">
        <v>18</v>
      </c>
      <c r="AI1121" s="167">
        <v>90.371024734982328</v>
      </c>
      <c r="AJ1121" s="168">
        <v>1.3</v>
      </c>
      <c r="AK1121" s="169">
        <v>7.6</v>
      </c>
      <c r="AL1121" s="170">
        <v>63</v>
      </c>
      <c r="AM1121" s="20">
        <f t="shared" si="17"/>
        <v>18</v>
      </c>
      <c r="AN1121" s="165">
        <v>9</v>
      </c>
      <c r="AO1121" s="167">
        <v>86.883802816901408</v>
      </c>
      <c r="AP1121" s="168">
        <v>1.1000000000000001</v>
      </c>
      <c r="AQ1121" s="169">
        <v>7.2</v>
      </c>
      <c r="AR1121" s="170">
        <v>61</v>
      </c>
      <c r="AS1121" s="20">
        <f t="shared" si="16"/>
        <v>25</v>
      </c>
      <c r="AT1121" s="165">
        <v>12.5</v>
      </c>
      <c r="AU1121" s="167">
        <v>64.938488576449913</v>
      </c>
      <c r="AV1121" s="168">
        <v>0.4</v>
      </c>
      <c r="AW1121" s="169">
        <v>5.8</v>
      </c>
      <c r="AX1121" s="170">
        <v>54</v>
      </c>
      <c r="AY1121" s="20">
        <f t="shared" si="18"/>
        <v>11</v>
      </c>
      <c r="AZ1121" s="165">
        <v>5.5</v>
      </c>
      <c r="BA1121" s="167">
        <v>0.43936731107205629</v>
      </c>
      <c r="BB1121" s="168">
        <v>-2.6</v>
      </c>
      <c r="BC1121" s="169">
        <v>-0.2</v>
      </c>
      <c r="BD1121" s="170">
        <v>24</v>
      </c>
      <c r="BX1121" s="165">
        <v>676</v>
      </c>
      <c r="BY1121" s="167">
        <v>0.44014084507042256</v>
      </c>
      <c r="BZ1121" s="168">
        <v>-2.6</v>
      </c>
      <c r="CA1121" s="169">
        <v>-0.2</v>
      </c>
      <c r="CB1121" s="170">
        <v>24</v>
      </c>
      <c r="CD1121" s="138" t="s">
        <v>237</v>
      </c>
      <c r="CE1121" s="139"/>
      <c r="CF1121" s="139"/>
      <c r="CG1121" s="140" t="s">
        <v>215</v>
      </c>
      <c r="CH1121" s="141">
        <v>569</v>
      </c>
      <c r="CJ1121" s="165">
        <v>2</v>
      </c>
      <c r="CK1121" s="167">
        <v>18.36555360281195</v>
      </c>
      <c r="CL1121" s="168">
        <v>-0.9</v>
      </c>
      <c r="CM1121" s="169">
        <v>3.2</v>
      </c>
      <c r="CN1121" s="170">
        <v>41</v>
      </c>
      <c r="CP1121" s="165">
        <v>490</v>
      </c>
      <c r="CQ1121" s="167">
        <v>0.26362038664323373</v>
      </c>
      <c r="CR1121" s="168">
        <v>-2.8</v>
      </c>
      <c r="CS1121" s="169">
        <v>-0.6</v>
      </c>
      <c r="CT1121" s="170">
        <v>22</v>
      </c>
      <c r="CV1121" s="165">
        <v>23</v>
      </c>
      <c r="CW1121" s="167">
        <v>52.376760563380287</v>
      </c>
      <c r="CX1121" s="168">
        <v>0.1</v>
      </c>
      <c r="CY1121" s="169">
        <v>5.2</v>
      </c>
      <c r="CZ1121" s="170">
        <v>51</v>
      </c>
      <c r="DA1121" s="20">
        <f t="shared" si="14"/>
        <v>91</v>
      </c>
      <c r="DB1121" s="165">
        <v>0.91</v>
      </c>
      <c r="DC1121" s="167">
        <v>46.181384248210023</v>
      </c>
      <c r="DD1121" s="168">
        <v>-0.1</v>
      </c>
      <c r="DE1121" s="169">
        <v>4.8</v>
      </c>
      <c r="DF1121" s="170">
        <v>49</v>
      </c>
    </row>
    <row r="1122" spans="19:110" ht="13.15" hidden="1" x14ac:dyDescent="0.25">
      <c r="AB1122" s="165">
        <v>5</v>
      </c>
      <c r="AC1122" s="167">
        <v>1.2302284710017575</v>
      </c>
      <c r="AD1122" s="168">
        <v>-2.2000000000000002</v>
      </c>
      <c r="AE1122" s="169">
        <v>0.6</v>
      </c>
      <c r="AF1122" s="170">
        <v>28</v>
      </c>
      <c r="AG1122" s="20">
        <f t="shared" si="15"/>
        <v>37</v>
      </c>
      <c r="AH1122" s="165">
        <v>18.5</v>
      </c>
      <c r="AI1122" s="167">
        <v>92.579505300353361</v>
      </c>
      <c r="AJ1122" s="168">
        <v>1.4</v>
      </c>
      <c r="AK1122" s="169">
        <v>7.8</v>
      </c>
      <c r="AL1122" s="170">
        <v>64</v>
      </c>
      <c r="AM1122" s="20">
        <f t="shared" si="17"/>
        <v>19</v>
      </c>
      <c r="AN1122" s="165">
        <v>9.5</v>
      </c>
      <c r="AO1122" s="167">
        <v>92.16549295774648</v>
      </c>
      <c r="AP1122" s="168">
        <v>1.4</v>
      </c>
      <c r="AQ1122" s="169">
        <v>7.8</v>
      </c>
      <c r="AR1122" s="170">
        <v>64</v>
      </c>
      <c r="AS1122" s="20">
        <f t="shared" si="16"/>
        <v>26</v>
      </c>
      <c r="AT1122" s="165">
        <v>13</v>
      </c>
      <c r="AU1122" s="167">
        <v>71.528998242530747</v>
      </c>
      <c r="AV1122" s="168">
        <v>0.6</v>
      </c>
      <c r="AW1122" s="169">
        <v>6.2</v>
      </c>
      <c r="AX1122" s="170">
        <v>56</v>
      </c>
      <c r="AY1122" s="20">
        <f t="shared" si="18"/>
        <v>10</v>
      </c>
      <c r="AZ1122" s="165">
        <v>5</v>
      </c>
      <c r="BA1122" s="167">
        <v>0.43936731107205629</v>
      </c>
      <c r="BB1122" s="168">
        <v>-2.6</v>
      </c>
      <c r="BC1122" s="169">
        <v>-0.2</v>
      </c>
      <c r="BD1122" s="170">
        <v>24</v>
      </c>
      <c r="BL1122" s="138" t="s">
        <v>223</v>
      </c>
      <c r="BM1122" s="139"/>
      <c r="BN1122" s="139"/>
      <c r="BO1122" s="140" t="s">
        <v>180</v>
      </c>
      <c r="BP1122" s="141">
        <v>566</v>
      </c>
      <c r="BX1122" s="165">
        <v>675</v>
      </c>
      <c r="BY1122" s="167">
        <v>0.44014084507042256</v>
      </c>
      <c r="BZ1122" s="168">
        <v>-2.6</v>
      </c>
      <c r="CA1122" s="169">
        <v>-0.2</v>
      </c>
      <c r="CB1122" s="170">
        <v>24</v>
      </c>
      <c r="CD1122" s="144" t="s">
        <v>161</v>
      </c>
      <c r="CH1122" s="145"/>
      <c r="CJ1122" s="165">
        <v>1</v>
      </c>
      <c r="CK1122" s="167">
        <v>34.797891036906854</v>
      </c>
      <c r="CL1122" s="168">
        <v>-0.4</v>
      </c>
      <c r="CM1122" s="169">
        <v>4.2</v>
      </c>
      <c r="CN1122" s="170">
        <v>46</v>
      </c>
      <c r="CP1122" s="165">
        <v>489</v>
      </c>
      <c r="CQ1122" s="167">
        <v>0.26362038664323373</v>
      </c>
      <c r="CR1122" s="168">
        <v>-2.8</v>
      </c>
      <c r="CS1122" s="169">
        <v>-0.6</v>
      </c>
      <c r="CT1122" s="170">
        <v>22</v>
      </c>
      <c r="CV1122" s="165">
        <v>22</v>
      </c>
      <c r="CW1122" s="167">
        <v>61.267605633802816</v>
      </c>
      <c r="CX1122" s="168">
        <v>0.3</v>
      </c>
      <c r="CY1122" s="169">
        <v>5.6</v>
      </c>
      <c r="CZ1122" s="170">
        <v>53</v>
      </c>
      <c r="DA1122" s="20">
        <f t="shared" si="14"/>
        <v>92</v>
      </c>
      <c r="DB1122" s="165">
        <v>0.92</v>
      </c>
      <c r="DC1122" s="167">
        <v>46.181384248210023</v>
      </c>
      <c r="DD1122" s="168">
        <v>-0.1</v>
      </c>
      <c r="DE1122" s="169">
        <v>4.8</v>
      </c>
      <c r="DF1122" s="170">
        <v>49</v>
      </c>
    </row>
    <row r="1123" spans="19:110" ht="13.15" hidden="1" thickBot="1" x14ac:dyDescent="0.25">
      <c r="AB1123" s="165">
        <v>6</v>
      </c>
      <c r="AC1123" s="167">
        <v>2.5483304042179262</v>
      </c>
      <c r="AD1123" s="168">
        <v>-2</v>
      </c>
      <c r="AE1123" s="169">
        <v>1</v>
      </c>
      <c r="AF1123" s="170">
        <v>30</v>
      </c>
      <c r="AG1123" s="20">
        <f t="shared" si="15"/>
        <v>38</v>
      </c>
      <c r="AH1123" s="165">
        <v>19</v>
      </c>
      <c r="AI1123" s="167">
        <v>94.434628975265028</v>
      </c>
      <c r="AJ1123" s="168">
        <v>1.6</v>
      </c>
      <c r="AK1123" s="169">
        <v>8.1999999999999993</v>
      </c>
      <c r="AL1123" s="170">
        <v>66</v>
      </c>
      <c r="AM1123" s="20">
        <f t="shared" si="17"/>
        <v>20</v>
      </c>
      <c r="AN1123" s="165">
        <v>10</v>
      </c>
      <c r="AO1123" s="167">
        <v>94.190140845070431</v>
      </c>
      <c r="AP1123" s="168">
        <v>1.6</v>
      </c>
      <c r="AQ1123" s="169">
        <v>8.1999999999999993</v>
      </c>
      <c r="AR1123" s="170">
        <v>66</v>
      </c>
      <c r="AS1123" s="20">
        <f t="shared" si="16"/>
        <v>27</v>
      </c>
      <c r="AT1123" s="165">
        <v>13.5</v>
      </c>
      <c r="AU1123" s="167">
        <v>76.625659050966604</v>
      </c>
      <c r="AV1123" s="168">
        <v>0.7</v>
      </c>
      <c r="AW1123" s="169">
        <v>6.4</v>
      </c>
      <c r="AX1123" s="170">
        <v>57</v>
      </c>
      <c r="AY1123" s="20">
        <f t="shared" si="18"/>
        <v>9</v>
      </c>
      <c r="AZ1123" s="165">
        <v>4.5</v>
      </c>
      <c r="BA1123" s="167">
        <v>1.1423550087873462</v>
      </c>
      <c r="BB1123" s="168">
        <v>-2.2999999999999998</v>
      </c>
      <c r="BC1123" s="169">
        <v>0.4</v>
      </c>
      <c r="BD1123" s="170">
        <v>27</v>
      </c>
      <c r="BL1123" s="144" t="s">
        <v>161</v>
      </c>
      <c r="BP1123" s="145"/>
      <c r="BX1123" s="165">
        <v>674</v>
      </c>
      <c r="BY1123" s="167">
        <v>0.44014084507042256</v>
      </c>
      <c r="BZ1123" s="168">
        <v>-2.6</v>
      </c>
      <c r="CA1123" s="169">
        <v>-0.2</v>
      </c>
      <c r="CB1123" s="170">
        <v>24</v>
      </c>
      <c r="CD1123" s="147" t="s">
        <v>239</v>
      </c>
      <c r="CE1123" s="148"/>
      <c r="CF1123" s="148"/>
      <c r="CG1123" s="148"/>
      <c r="CH1123" s="149"/>
      <c r="CJ1123" s="172">
        <v>0</v>
      </c>
      <c r="CK1123" s="173">
        <v>73.110720562390156</v>
      </c>
      <c r="CL1123" s="174">
        <v>0.6</v>
      </c>
      <c r="CM1123" s="175">
        <v>6.2</v>
      </c>
      <c r="CN1123" s="176">
        <v>56</v>
      </c>
      <c r="CP1123" s="165">
        <v>488</v>
      </c>
      <c r="CQ1123" s="167">
        <v>0.26362038664323373</v>
      </c>
      <c r="CR1123" s="168">
        <v>-2.8</v>
      </c>
      <c r="CS1123" s="169">
        <v>-0.6</v>
      </c>
      <c r="CT1123" s="170">
        <v>22</v>
      </c>
      <c r="CV1123" s="165">
        <v>21</v>
      </c>
      <c r="CW1123" s="167">
        <v>70.070422535211264</v>
      </c>
      <c r="CX1123" s="168">
        <v>0.5</v>
      </c>
      <c r="CY1123" s="169">
        <v>6</v>
      </c>
      <c r="CZ1123" s="170">
        <v>55</v>
      </c>
      <c r="DA1123" s="20">
        <f t="shared" si="14"/>
        <v>93</v>
      </c>
      <c r="DB1123" s="165">
        <v>0.93</v>
      </c>
      <c r="DC1123" s="167">
        <v>58.353221957040567</v>
      </c>
      <c r="DD1123" s="168">
        <v>0.2</v>
      </c>
      <c r="DE1123" s="169">
        <v>5.4</v>
      </c>
      <c r="DF1123" s="170">
        <v>52</v>
      </c>
    </row>
    <row r="1124" spans="19:110" ht="13.15" hidden="1" thickBot="1" x14ac:dyDescent="0.25">
      <c r="AB1124" s="165">
        <v>7</v>
      </c>
      <c r="AC1124" s="167">
        <v>4.5694200351493848</v>
      </c>
      <c r="AD1124" s="168">
        <v>-1.7</v>
      </c>
      <c r="AE1124" s="169">
        <v>1.6</v>
      </c>
      <c r="AF1124" s="170">
        <v>33</v>
      </c>
      <c r="AG1124" s="20">
        <f t="shared" si="15"/>
        <v>39</v>
      </c>
      <c r="AH1124" s="165">
        <v>19.5</v>
      </c>
      <c r="AI1124" s="167">
        <v>96.201413427561832</v>
      </c>
      <c r="AJ1124" s="168">
        <v>1.8</v>
      </c>
      <c r="AK1124" s="169">
        <v>8.6</v>
      </c>
      <c r="AL1124" s="170">
        <v>68</v>
      </c>
      <c r="AM1124" s="20">
        <f t="shared" si="17"/>
        <v>21</v>
      </c>
      <c r="AN1124" s="165">
        <v>10.5</v>
      </c>
      <c r="AO1124" s="167">
        <v>95.686619718309856</v>
      </c>
      <c r="AP1124" s="168">
        <v>1.7</v>
      </c>
      <c r="AQ1124" s="169">
        <v>8.4</v>
      </c>
      <c r="AR1124" s="170">
        <v>67</v>
      </c>
      <c r="AS1124" s="20">
        <f t="shared" si="16"/>
        <v>28</v>
      </c>
      <c r="AT1124" s="165">
        <v>14</v>
      </c>
      <c r="AU1124" s="167">
        <v>82.513181019332166</v>
      </c>
      <c r="AV1124" s="168">
        <v>0.9</v>
      </c>
      <c r="AW1124" s="169">
        <v>6.8</v>
      </c>
      <c r="AX1124" s="170">
        <v>59</v>
      </c>
      <c r="AY1124" s="20">
        <f t="shared" si="18"/>
        <v>8</v>
      </c>
      <c r="AZ1124" s="165">
        <v>4</v>
      </c>
      <c r="BA1124" s="167">
        <v>2.9876977152899822</v>
      </c>
      <c r="BB1124" s="168">
        <v>-1.9</v>
      </c>
      <c r="BC1124" s="169">
        <v>1.2</v>
      </c>
      <c r="BD1124" s="170">
        <v>31</v>
      </c>
      <c r="BL1124" s="147" t="s">
        <v>226</v>
      </c>
      <c r="BM1124" s="148"/>
      <c r="BN1124" s="148"/>
      <c r="BO1124" s="148"/>
      <c r="BP1124" s="149"/>
      <c r="BX1124" s="165">
        <v>673</v>
      </c>
      <c r="BY1124" s="167">
        <v>0.44014084507042256</v>
      </c>
      <c r="BZ1124" s="168">
        <v>-2.6</v>
      </c>
      <c r="CA1124" s="169">
        <v>-0.2</v>
      </c>
      <c r="CB1124" s="170">
        <v>24</v>
      </c>
      <c r="CD1124" s="150" t="s">
        <v>164</v>
      </c>
      <c r="CE1124" s="151" t="s">
        <v>92</v>
      </c>
      <c r="CF1124" s="152"/>
      <c r="CG1124" s="152"/>
      <c r="CH1124" s="153"/>
      <c r="CP1124" s="165">
        <v>487</v>
      </c>
      <c r="CQ1124" s="167">
        <v>0.26362038664323373</v>
      </c>
      <c r="CR1124" s="168">
        <v>-2.8</v>
      </c>
      <c r="CS1124" s="169">
        <v>-0.6</v>
      </c>
      <c r="CT1124" s="170">
        <v>22</v>
      </c>
      <c r="CV1124" s="165">
        <v>20</v>
      </c>
      <c r="CW1124" s="167">
        <v>78.257042253521121</v>
      </c>
      <c r="CX1124" s="168">
        <v>0.8</v>
      </c>
      <c r="CY1124" s="169">
        <v>6.6</v>
      </c>
      <c r="CZ1124" s="170">
        <v>58</v>
      </c>
      <c r="DA1124" s="20">
        <f t="shared" si="14"/>
        <v>94</v>
      </c>
      <c r="DB1124" s="165">
        <v>0.94</v>
      </c>
      <c r="DC1124" s="167">
        <v>58.353221957040567</v>
      </c>
      <c r="DD1124" s="168">
        <v>0.2</v>
      </c>
      <c r="DE1124" s="169">
        <v>5.4</v>
      </c>
      <c r="DF1124" s="170">
        <v>52</v>
      </c>
    </row>
    <row r="1125" spans="19:110" ht="13.15" hidden="1" thickBot="1" x14ac:dyDescent="0.25">
      <c r="S1125" s="178" t="e">
        <f>IF(T1125&lt;5.4,5.4,IF(T1125&gt;10,10,T1125))</f>
        <v>#VALUE!</v>
      </c>
      <c r="T1125" s="178" t="e">
        <f>F110-4.3*$R$1031-0.34*$R$1030</f>
        <v>#VALUE!</v>
      </c>
      <c r="U1125" s="180" t="s">
        <v>307</v>
      </c>
      <c r="AB1125" s="165">
        <v>8</v>
      </c>
      <c r="AC1125" s="167">
        <v>8.172231985940245</v>
      </c>
      <c r="AD1125" s="168">
        <v>-1.4</v>
      </c>
      <c r="AE1125" s="169">
        <v>2.2000000000000002</v>
      </c>
      <c r="AF1125" s="170">
        <v>36</v>
      </c>
      <c r="AG1125" s="20">
        <f t="shared" si="15"/>
        <v>40</v>
      </c>
      <c r="AH1125" s="165">
        <v>20</v>
      </c>
      <c r="AI1125" s="167">
        <v>97.173144876325097</v>
      </c>
      <c r="AJ1125" s="168">
        <v>1.9</v>
      </c>
      <c r="AK1125" s="169">
        <v>8.8000000000000007</v>
      </c>
      <c r="AL1125" s="170">
        <v>69</v>
      </c>
      <c r="AM1125" s="20">
        <f t="shared" si="17"/>
        <v>22</v>
      </c>
      <c r="AN1125" s="165">
        <v>11</v>
      </c>
      <c r="AO1125" s="167">
        <v>97.095070422535215</v>
      </c>
      <c r="AP1125" s="168">
        <v>1.9</v>
      </c>
      <c r="AQ1125" s="169">
        <v>8.8000000000000007</v>
      </c>
      <c r="AR1125" s="170">
        <v>69</v>
      </c>
      <c r="AS1125" s="20">
        <f t="shared" si="16"/>
        <v>29</v>
      </c>
      <c r="AT1125" s="165">
        <v>14.5</v>
      </c>
      <c r="AU1125" s="167">
        <v>89.191564147627417</v>
      </c>
      <c r="AV1125" s="168">
        <v>1.2</v>
      </c>
      <c r="AW1125" s="169">
        <v>7.4</v>
      </c>
      <c r="AX1125" s="170">
        <v>62</v>
      </c>
      <c r="AY1125" s="20">
        <f t="shared" si="18"/>
        <v>7</v>
      </c>
      <c r="AZ1125" s="165">
        <v>3.5</v>
      </c>
      <c r="BA1125" s="167">
        <v>6.0632688927943761</v>
      </c>
      <c r="BB1125" s="168">
        <v>-1.6</v>
      </c>
      <c r="BC1125" s="169">
        <v>1.8</v>
      </c>
      <c r="BD1125" s="170">
        <v>34</v>
      </c>
      <c r="BL1125" s="150" t="s">
        <v>164</v>
      </c>
      <c r="BM1125" s="151" t="s">
        <v>65</v>
      </c>
      <c r="BN1125" s="152"/>
      <c r="BO1125" s="152"/>
      <c r="BP1125" s="153"/>
      <c r="BX1125" s="165">
        <v>672</v>
      </c>
      <c r="BY1125" s="167">
        <v>0.44014084507042256</v>
      </c>
      <c r="BZ1125" s="168">
        <v>-2.6</v>
      </c>
      <c r="CA1125" s="169">
        <v>-0.2</v>
      </c>
      <c r="CB1125" s="170">
        <v>24</v>
      </c>
      <c r="CD1125" s="155" t="s">
        <v>10</v>
      </c>
      <c r="CE1125" s="156" t="s">
        <v>13</v>
      </c>
      <c r="CF1125" s="156" t="s">
        <v>14</v>
      </c>
      <c r="CG1125" s="156" t="s">
        <v>15</v>
      </c>
      <c r="CH1125" s="157" t="s">
        <v>16</v>
      </c>
      <c r="CP1125" s="165">
        <v>486</v>
      </c>
      <c r="CQ1125" s="167">
        <v>0.26362038664323373</v>
      </c>
      <c r="CR1125" s="168">
        <v>-2.8</v>
      </c>
      <c r="CS1125" s="169">
        <v>-0.6</v>
      </c>
      <c r="CT1125" s="170">
        <v>22</v>
      </c>
      <c r="CV1125" s="165">
        <v>19</v>
      </c>
      <c r="CW1125" s="167">
        <v>85.123239436619713</v>
      </c>
      <c r="CX1125" s="168">
        <v>1</v>
      </c>
      <c r="CY1125" s="169">
        <v>7</v>
      </c>
      <c r="CZ1125" s="170">
        <v>60</v>
      </c>
      <c r="DA1125" s="20">
        <f t="shared" si="14"/>
        <v>95</v>
      </c>
      <c r="DB1125" s="165">
        <v>0.95</v>
      </c>
      <c r="DC1125" s="167">
        <v>76.252983293556085</v>
      </c>
      <c r="DD1125" s="168">
        <v>0.7</v>
      </c>
      <c r="DE1125" s="169">
        <v>6.4</v>
      </c>
      <c r="DF1125" s="170">
        <v>57</v>
      </c>
    </row>
    <row r="1126" spans="19:110" ht="13.8" hidden="1" thickBot="1" x14ac:dyDescent="0.3">
      <c r="S1126" s="178" t="e">
        <f ca="1">IF(T1126&lt;8,8,IF(T1126&gt;40,40,T1126))</f>
        <v>#VALUE!</v>
      </c>
      <c r="T1126" s="178" t="e">
        <f ca="1">F111-9.57*$R$1031-2.14*$R$1030</f>
        <v>#VALUE!</v>
      </c>
      <c r="U1126" s="180" t="s">
        <v>308</v>
      </c>
      <c r="AB1126" s="165">
        <v>9</v>
      </c>
      <c r="AC1126" s="167">
        <v>13.971880492091387</v>
      </c>
      <c r="AD1126" s="168">
        <v>-1.1000000000000001</v>
      </c>
      <c r="AE1126" s="169">
        <v>2.8</v>
      </c>
      <c r="AF1126" s="170">
        <v>39</v>
      </c>
      <c r="AG1126" s="20">
        <f t="shared" si="15"/>
        <v>41</v>
      </c>
      <c r="AH1126" s="165">
        <v>20.5</v>
      </c>
      <c r="AI1126" s="167">
        <v>97.614840989399298</v>
      </c>
      <c r="AJ1126" s="168">
        <v>2</v>
      </c>
      <c r="AK1126" s="169">
        <v>9</v>
      </c>
      <c r="AL1126" s="170">
        <v>70</v>
      </c>
      <c r="AM1126" s="20">
        <f t="shared" si="17"/>
        <v>23</v>
      </c>
      <c r="AN1126" s="165">
        <v>11.5</v>
      </c>
      <c r="AO1126" s="167">
        <v>99.119718309859152</v>
      </c>
      <c r="AP1126" s="168">
        <v>2.4</v>
      </c>
      <c r="AQ1126" s="169">
        <v>9.8000000000000007</v>
      </c>
      <c r="AR1126" s="170">
        <v>74</v>
      </c>
      <c r="AS1126" s="20">
        <f t="shared" si="16"/>
        <v>30</v>
      </c>
      <c r="AT1126" s="165">
        <v>15</v>
      </c>
      <c r="AU1126" s="167">
        <v>89.191564147627417</v>
      </c>
      <c r="AV1126" s="168">
        <v>1.2</v>
      </c>
      <c r="AW1126" s="169">
        <v>7.4</v>
      </c>
      <c r="AX1126" s="170">
        <v>62</v>
      </c>
      <c r="AY1126" s="20">
        <f t="shared" si="18"/>
        <v>6</v>
      </c>
      <c r="AZ1126" s="165">
        <v>3</v>
      </c>
      <c r="BA1126" s="167">
        <v>9.8418277680140598</v>
      </c>
      <c r="BB1126" s="168">
        <v>-1.3</v>
      </c>
      <c r="BC1126" s="169">
        <v>2.4</v>
      </c>
      <c r="BD1126" s="170">
        <v>37</v>
      </c>
      <c r="BL1126" s="155" t="s">
        <v>10</v>
      </c>
      <c r="BM1126" s="156" t="s">
        <v>13</v>
      </c>
      <c r="BN1126" s="156" t="s">
        <v>14</v>
      </c>
      <c r="BO1126" s="158" t="s">
        <v>15</v>
      </c>
      <c r="BP1126" s="159" t="s">
        <v>16</v>
      </c>
      <c r="BX1126" s="165">
        <v>671</v>
      </c>
      <c r="BY1126" s="167">
        <v>0.44014084507042256</v>
      </c>
      <c r="BZ1126" s="168">
        <v>-2.6</v>
      </c>
      <c r="CA1126" s="169">
        <v>-0.2</v>
      </c>
      <c r="CB1126" s="170">
        <v>24</v>
      </c>
      <c r="CD1126" s="160">
        <v>67</v>
      </c>
      <c r="CE1126" s="161">
        <v>8.7873462214411238E-2</v>
      </c>
      <c r="CF1126" s="162">
        <v>-3</v>
      </c>
      <c r="CG1126" s="163">
        <v>-1</v>
      </c>
      <c r="CH1126" s="164">
        <v>20</v>
      </c>
      <c r="CJ1126" s="138" t="s">
        <v>240</v>
      </c>
      <c r="CK1126" s="139"/>
      <c r="CL1126" s="139"/>
      <c r="CM1126" s="140" t="s">
        <v>215</v>
      </c>
      <c r="CN1126" s="141">
        <v>569</v>
      </c>
      <c r="CP1126" s="165">
        <v>485</v>
      </c>
      <c r="CQ1126" s="167">
        <v>0.26362038664323373</v>
      </c>
      <c r="CR1126" s="168">
        <v>-2.8</v>
      </c>
      <c r="CS1126" s="169">
        <v>-0.6</v>
      </c>
      <c r="CT1126" s="170">
        <v>22</v>
      </c>
      <c r="CV1126" s="165">
        <v>18</v>
      </c>
      <c r="CW1126" s="167">
        <v>89.964788732394368</v>
      </c>
      <c r="CX1126" s="168">
        <v>1.3</v>
      </c>
      <c r="CY1126" s="169">
        <v>7.6</v>
      </c>
      <c r="CZ1126" s="170">
        <v>63</v>
      </c>
      <c r="DA1126" s="20">
        <f t="shared" si="14"/>
        <v>96</v>
      </c>
      <c r="DB1126" s="165">
        <v>0.96</v>
      </c>
      <c r="DC1126" s="167">
        <v>76.252983293556085</v>
      </c>
      <c r="DD1126" s="168">
        <v>0.7</v>
      </c>
      <c r="DE1126" s="169">
        <v>6.4</v>
      </c>
      <c r="DF1126" s="170">
        <v>57</v>
      </c>
    </row>
    <row r="1127" spans="19:110" hidden="1" x14ac:dyDescent="0.2">
      <c r="S1127" s="178" t="e">
        <f ca="1">IF(T1127&lt;0,0,IF(T1127&gt;8.5,8.5,T1127))</f>
        <v>#VALUE!</v>
      </c>
      <c r="T1127" s="178" t="e">
        <f ca="1">F112-0.72*$R$1031</f>
        <v>#VALUE!</v>
      </c>
      <c r="U1127" s="180" t="s">
        <v>309</v>
      </c>
      <c r="AB1127" s="165">
        <v>10</v>
      </c>
      <c r="AC1127" s="167">
        <v>20.826010544815464</v>
      </c>
      <c r="AD1127" s="168">
        <v>-0.8</v>
      </c>
      <c r="AE1127" s="169">
        <v>3.4</v>
      </c>
      <c r="AF1127" s="170">
        <v>42</v>
      </c>
      <c r="AG1127" s="20">
        <f t="shared" si="15"/>
        <v>42</v>
      </c>
      <c r="AH1127" s="165">
        <v>21</v>
      </c>
      <c r="AI1127" s="167">
        <v>98.4982332155477</v>
      </c>
      <c r="AJ1127" s="168">
        <v>2.2000000000000002</v>
      </c>
      <c r="AK1127" s="169">
        <v>9.4</v>
      </c>
      <c r="AL1127" s="170">
        <v>72</v>
      </c>
      <c r="AM1127" s="20">
        <f t="shared" si="17"/>
        <v>24</v>
      </c>
      <c r="AN1127" s="165">
        <v>12</v>
      </c>
      <c r="AO1127" s="167">
        <v>99.119718309859152</v>
      </c>
      <c r="AP1127" s="168">
        <v>2.4</v>
      </c>
      <c r="AQ1127" s="169">
        <v>9.8000000000000007</v>
      </c>
      <c r="AR1127" s="170">
        <v>74</v>
      </c>
      <c r="AS1127" s="20">
        <f t="shared" si="16"/>
        <v>31</v>
      </c>
      <c r="AT1127" s="165">
        <v>15.5</v>
      </c>
      <c r="AU1127" s="167">
        <v>95.430579964850608</v>
      </c>
      <c r="AV1127" s="168">
        <v>1.7</v>
      </c>
      <c r="AW1127" s="169">
        <v>8.4</v>
      </c>
      <c r="AX1127" s="170">
        <v>67</v>
      </c>
      <c r="AY1127" s="20">
        <f t="shared" si="18"/>
        <v>5</v>
      </c>
      <c r="AZ1127" s="165">
        <v>2.5</v>
      </c>
      <c r="BA1127" s="167">
        <v>13.971880492091387</v>
      </c>
      <c r="BB1127" s="168">
        <v>-1.1000000000000001</v>
      </c>
      <c r="BC1127" s="169">
        <v>2.8</v>
      </c>
      <c r="BD1127" s="170">
        <v>39</v>
      </c>
      <c r="BK1127" s="20">
        <f t="shared" ref="BK1127:BK1190" si="19">BL1127*10</f>
        <v>85</v>
      </c>
      <c r="BL1127" s="160">
        <v>8.5</v>
      </c>
      <c r="BM1127" s="161">
        <v>0.17667844522968199</v>
      </c>
      <c r="BN1127" s="162">
        <v>-2.9</v>
      </c>
      <c r="BO1127" s="163">
        <v>-0.8</v>
      </c>
      <c r="BP1127" s="164">
        <v>21</v>
      </c>
      <c r="BX1127" s="165">
        <v>670</v>
      </c>
      <c r="BY1127" s="167">
        <v>0.44014084507042256</v>
      </c>
      <c r="BZ1127" s="168">
        <v>-2.6</v>
      </c>
      <c r="CA1127" s="169">
        <v>-0.2</v>
      </c>
      <c r="CB1127" s="170">
        <v>24</v>
      </c>
      <c r="CD1127" s="165">
        <v>66</v>
      </c>
      <c r="CE1127" s="167">
        <v>0.26362038664323373</v>
      </c>
      <c r="CF1127" s="168">
        <v>-2.8</v>
      </c>
      <c r="CG1127" s="169">
        <v>-0.6</v>
      </c>
      <c r="CH1127" s="170">
        <v>22</v>
      </c>
      <c r="CJ1127" s="144" t="s">
        <v>161</v>
      </c>
      <c r="CN1127" s="145"/>
      <c r="CP1127" s="165">
        <v>484</v>
      </c>
      <c r="CQ1127" s="167">
        <v>0.26362038664323373</v>
      </c>
      <c r="CR1127" s="168">
        <v>-2.8</v>
      </c>
      <c r="CS1127" s="169">
        <v>-0.6</v>
      </c>
      <c r="CT1127" s="170">
        <v>22</v>
      </c>
      <c r="CV1127" s="165">
        <v>17</v>
      </c>
      <c r="CW1127" s="167">
        <v>93.926056338028175</v>
      </c>
      <c r="CX1127" s="168">
        <v>1.6</v>
      </c>
      <c r="CY1127" s="169">
        <v>8.1999999999999993</v>
      </c>
      <c r="CZ1127" s="170">
        <v>66</v>
      </c>
      <c r="DA1127" s="20">
        <f t="shared" si="14"/>
        <v>97</v>
      </c>
      <c r="DB1127" s="165">
        <v>0.97</v>
      </c>
      <c r="DC1127" s="167">
        <v>76.252983293556085</v>
      </c>
      <c r="DD1127" s="168">
        <v>0.7</v>
      </c>
      <c r="DE1127" s="169">
        <v>6.4</v>
      </c>
      <c r="DF1127" s="170">
        <v>57</v>
      </c>
    </row>
    <row r="1128" spans="19:110" ht="13.15" hidden="1" thickBot="1" x14ac:dyDescent="0.25">
      <c r="S1128" s="178" t="e">
        <f ca="1">IF(T1128&lt;0,0,IF(T1128&gt;1.8,1.8,T1128))</f>
        <v>#VALUE!</v>
      </c>
      <c r="T1128" s="178" t="e">
        <f ca="1">F113-0.01*$R$1030</f>
        <v>#VALUE!</v>
      </c>
      <c r="U1128" s="180" t="s">
        <v>310</v>
      </c>
      <c r="AB1128" s="165">
        <v>11</v>
      </c>
      <c r="AC1128" s="167">
        <v>30.052724077328648</v>
      </c>
      <c r="AD1128" s="168">
        <v>-0.5</v>
      </c>
      <c r="AE1128" s="169">
        <v>4</v>
      </c>
      <c r="AF1128" s="170">
        <v>45</v>
      </c>
      <c r="AG1128" s="20">
        <f t="shared" si="15"/>
        <v>43</v>
      </c>
      <c r="AH1128" s="165">
        <v>21.5</v>
      </c>
      <c r="AI1128" s="167">
        <v>99.293286219081267</v>
      </c>
      <c r="AJ1128" s="168">
        <v>2.5</v>
      </c>
      <c r="AK1128" s="169">
        <v>10</v>
      </c>
      <c r="AL1128" s="170">
        <v>75</v>
      </c>
      <c r="AM1128" s="20">
        <f t="shared" si="17"/>
        <v>25</v>
      </c>
      <c r="AN1128" s="165">
        <v>12.5</v>
      </c>
      <c r="AO1128" s="167">
        <v>99.911971830985919</v>
      </c>
      <c r="AP1128" s="168">
        <v>3</v>
      </c>
      <c r="AQ1128" s="169">
        <v>11</v>
      </c>
      <c r="AR1128" s="170">
        <v>80</v>
      </c>
      <c r="AS1128" s="20">
        <f t="shared" si="16"/>
        <v>32</v>
      </c>
      <c r="AT1128" s="172">
        <v>16</v>
      </c>
      <c r="AU1128" s="173">
        <v>95.430579964850608</v>
      </c>
      <c r="AV1128" s="174">
        <v>1.7</v>
      </c>
      <c r="AW1128" s="175">
        <v>8.4</v>
      </c>
      <c r="AX1128" s="176">
        <v>67</v>
      </c>
      <c r="AY1128" s="20">
        <f t="shared" si="18"/>
        <v>4</v>
      </c>
      <c r="AZ1128" s="165">
        <v>2</v>
      </c>
      <c r="BA1128" s="167">
        <v>21.0896309314587</v>
      </c>
      <c r="BB1128" s="168">
        <v>-0.8</v>
      </c>
      <c r="BC1128" s="169">
        <v>3.4</v>
      </c>
      <c r="BD1128" s="170">
        <v>42</v>
      </c>
      <c r="BK1128" s="20">
        <f t="shared" si="19"/>
        <v>84.000000000000085</v>
      </c>
      <c r="BL1128" s="165">
        <v>8.4000000000000092</v>
      </c>
      <c r="BM1128" s="167">
        <v>0.61837455830388688</v>
      </c>
      <c r="BN1128" s="168">
        <v>-2.5</v>
      </c>
      <c r="BO1128" s="169">
        <v>0</v>
      </c>
      <c r="BP1128" s="170">
        <v>25</v>
      </c>
      <c r="BX1128" s="165">
        <v>669</v>
      </c>
      <c r="BY1128" s="167">
        <v>0.44014084507042256</v>
      </c>
      <c r="BZ1128" s="168">
        <v>-2.6</v>
      </c>
      <c r="CA1128" s="169">
        <v>-0.2</v>
      </c>
      <c r="CB1128" s="170">
        <v>24</v>
      </c>
      <c r="CD1128" s="165">
        <v>65</v>
      </c>
      <c r="CE1128" s="167">
        <v>0.26362038664323373</v>
      </c>
      <c r="CF1128" s="168">
        <v>-2.8</v>
      </c>
      <c r="CG1128" s="169">
        <v>-0.6</v>
      </c>
      <c r="CH1128" s="170">
        <v>22</v>
      </c>
      <c r="CJ1128" s="147"/>
      <c r="CK1128" s="148"/>
      <c r="CL1128" s="179" t="s">
        <v>170</v>
      </c>
      <c r="CM1128" s="148"/>
      <c r="CN1128" s="149"/>
      <c r="CP1128" s="165">
        <v>483</v>
      </c>
      <c r="CQ1128" s="167">
        <v>0.26362038664323373</v>
      </c>
      <c r="CR1128" s="168">
        <v>-2.8</v>
      </c>
      <c r="CS1128" s="169">
        <v>-0.6</v>
      </c>
      <c r="CT1128" s="170">
        <v>22</v>
      </c>
      <c r="CV1128" s="165">
        <v>16</v>
      </c>
      <c r="CW1128" s="167">
        <v>97.183098591549296</v>
      </c>
      <c r="CX1128" s="168">
        <v>1.9</v>
      </c>
      <c r="CY1128" s="169">
        <v>8.8000000000000007</v>
      </c>
      <c r="CZ1128" s="170">
        <v>69</v>
      </c>
      <c r="DA1128" s="20">
        <f t="shared" si="14"/>
        <v>98</v>
      </c>
      <c r="DB1128" s="165">
        <v>0.98</v>
      </c>
      <c r="DC1128" s="167">
        <v>93.794749403341299</v>
      </c>
      <c r="DD1128" s="168">
        <v>1.5</v>
      </c>
      <c r="DE1128" s="169">
        <v>8</v>
      </c>
      <c r="DF1128" s="170">
        <v>65</v>
      </c>
    </row>
    <row r="1129" spans="19:110" ht="13.15" hidden="1" thickBot="1" x14ac:dyDescent="0.25">
      <c r="S1129" s="178" t="e">
        <f ca="1">IF(T1129&lt;0,0,IF(T1129&gt;8.5,8.5,T1129))</f>
        <v>#VALUE!</v>
      </c>
      <c r="T1129" s="178" t="e">
        <f ca="1">F114-0.8*$R$1031</f>
        <v>#VALUE!</v>
      </c>
      <c r="U1129" s="180" t="s">
        <v>311</v>
      </c>
      <c r="AB1129" s="165">
        <v>12</v>
      </c>
      <c r="AC1129" s="167">
        <v>42.706502636203872</v>
      </c>
      <c r="AD1129" s="168">
        <v>-0.2</v>
      </c>
      <c r="AE1129" s="169">
        <v>4.5999999999999996</v>
      </c>
      <c r="AF1129" s="170">
        <v>48</v>
      </c>
      <c r="AG1129" s="20">
        <f t="shared" si="15"/>
        <v>44</v>
      </c>
      <c r="AH1129" s="165">
        <v>22</v>
      </c>
      <c r="AI1129" s="167">
        <v>99.293286219081267</v>
      </c>
      <c r="AJ1129" s="168">
        <v>2.5</v>
      </c>
      <c r="AK1129" s="169">
        <v>10</v>
      </c>
      <c r="AL1129" s="170">
        <v>75</v>
      </c>
      <c r="AM1129" s="20">
        <f t="shared" si="17"/>
        <v>26</v>
      </c>
      <c r="AN1129" s="172">
        <v>13</v>
      </c>
      <c r="AO1129" s="173">
        <v>99.911971830985919</v>
      </c>
      <c r="AP1129" s="174">
        <v>3</v>
      </c>
      <c r="AQ1129" s="175">
        <v>11</v>
      </c>
      <c r="AR1129" s="176">
        <v>80</v>
      </c>
      <c r="AY1129" s="20">
        <f t="shared" si="18"/>
        <v>3</v>
      </c>
      <c r="AZ1129" s="165">
        <v>1.5</v>
      </c>
      <c r="BA1129" s="167">
        <v>29.964850615114237</v>
      </c>
      <c r="BB1129" s="168">
        <v>-0.5</v>
      </c>
      <c r="BC1129" s="169">
        <v>4</v>
      </c>
      <c r="BD1129" s="170">
        <v>45</v>
      </c>
      <c r="BK1129" s="20">
        <f t="shared" si="19"/>
        <v>83.000000000000099</v>
      </c>
      <c r="BL1129" s="165">
        <v>8.3000000000000096</v>
      </c>
      <c r="BM1129" s="167">
        <v>0.61837455830388688</v>
      </c>
      <c r="BN1129" s="168">
        <v>-2.5</v>
      </c>
      <c r="BO1129" s="169">
        <v>0</v>
      </c>
      <c r="BP1129" s="170">
        <v>25</v>
      </c>
      <c r="BX1129" s="165">
        <v>668</v>
      </c>
      <c r="BY1129" s="167">
        <v>0.44014084507042256</v>
      </c>
      <c r="BZ1129" s="168">
        <v>-2.6</v>
      </c>
      <c r="CA1129" s="169">
        <v>-0.2</v>
      </c>
      <c r="CB1129" s="170">
        <v>24</v>
      </c>
      <c r="CD1129" s="165">
        <v>64</v>
      </c>
      <c r="CE1129" s="167">
        <v>0.26362038664323373</v>
      </c>
      <c r="CF1129" s="168">
        <v>-2.8</v>
      </c>
      <c r="CG1129" s="169">
        <v>-0.6</v>
      </c>
      <c r="CH1129" s="170">
        <v>22</v>
      </c>
      <c r="CJ1129" s="150" t="s">
        <v>164</v>
      </c>
      <c r="CK1129" s="151" t="s">
        <v>90</v>
      </c>
      <c r="CL1129" s="152"/>
      <c r="CM1129" s="152"/>
      <c r="CN1129" s="153"/>
      <c r="CP1129" s="165">
        <v>482</v>
      </c>
      <c r="CQ1129" s="167">
        <v>0.26362038664323373</v>
      </c>
      <c r="CR1129" s="168">
        <v>-2.8</v>
      </c>
      <c r="CS1129" s="169">
        <v>-0.6</v>
      </c>
      <c r="CT1129" s="170">
        <v>22</v>
      </c>
      <c r="CV1129" s="165">
        <v>15</v>
      </c>
      <c r="CW1129" s="167">
        <v>99.031690140845072</v>
      </c>
      <c r="CX1129" s="168">
        <v>2.2999999999999998</v>
      </c>
      <c r="CY1129" s="169">
        <v>9.6</v>
      </c>
      <c r="CZ1129" s="170">
        <v>73</v>
      </c>
      <c r="DA1129" s="20">
        <f t="shared" si="14"/>
        <v>99</v>
      </c>
      <c r="DB1129" s="165">
        <v>0.99</v>
      </c>
      <c r="DC1129" s="167">
        <v>93.794749403341299</v>
      </c>
      <c r="DD1129" s="168">
        <v>1.5</v>
      </c>
      <c r="DE1129" s="169">
        <v>8</v>
      </c>
      <c r="DF1129" s="170">
        <v>65</v>
      </c>
    </row>
    <row r="1130" spans="19:110" ht="13.15" hidden="1" thickBot="1" x14ac:dyDescent="0.25">
      <c r="S1130" s="178" t="e">
        <f ca="1">IF(T1130&lt;0,0,IF(T1130&gt;31,31,T1130))</f>
        <v>#VALUE!</v>
      </c>
      <c r="T1130" s="178" t="e">
        <f ca="1">F115-0.07*$R$1029-0.94*$R$1030</f>
        <v>#VALUE!</v>
      </c>
      <c r="U1130" s="180" t="s">
        <v>325</v>
      </c>
      <c r="AB1130" s="165">
        <v>13</v>
      </c>
      <c r="AC1130" s="167">
        <v>58.084358523725832</v>
      </c>
      <c r="AD1130" s="168">
        <v>0.2</v>
      </c>
      <c r="AE1130" s="169">
        <v>5.4</v>
      </c>
      <c r="AF1130" s="170">
        <v>52</v>
      </c>
      <c r="AG1130" s="20">
        <f t="shared" si="15"/>
        <v>45</v>
      </c>
      <c r="AH1130" s="165">
        <v>22.5</v>
      </c>
      <c r="AI1130" s="167">
        <v>99.646643109540634</v>
      </c>
      <c r="AJ1130" s="168">
        <v>2.7</v>
      </c>
      <c r="AK1130" s="169">
        <v>10.4</v>
      </c>
      <c r="AL1130" s="170">
        <v>77</v>
      </c>
      <c r="AY1130" s="20">
        <f t="shared" si="18"/>
        <v>2</v>
      </c>
      <c r="AZ1130" s="165">
        <v>1</v>
      </c>
      <c r="BA1130" s="167">
        <v>41.652021089630928</v>
      </c>
      <c r="BB1130" s="168">
        <v>-0.2</v>
      </c>
      <c r="BC1130" s="169">
        <v>4.5999999999999996</v>
      </c>
      <c r="BD1130" s="170">
        <v>48</v>
      </c>
      <c r="BK1130" s="20">
        <f t="shared" si="19"/>
        <v>82</v>
      </c>
      <c r="BL1130" s="165">
        <v>8.1999999999999993</v>
      </c>
      <c r="BM1130" s="167">
        <v>0.61837455830388688</v>
      </c>
      <c r="BN1130" s="168">
        <v>-2.5</v>
      </c>
      <c r="BO1130" s="169">
        <v>0</v>
      </c>
      <c r="BP1130" s="170">
        <v>25</v>
      </c>
      <c r="BX1130" s="165">
        <v>667</v>
      </c>
      <c r="BY1130" s="167">
        <v>0.44014084507042256</v>
      </c>
      <c r="BZ1130" s="168">
        <v>-2.6</v>
      </c>
      <c r="CA1130" s="169">
        <v>-0.2</v>
      </c>
      <c r="CB1130" s="170">
        <v>24</v>
      </c>
      <c r="CD1130" s="165">
        <v>63</v>
      </c>
      <c r="CE1130" s="167">
        <v>0.26362038664323373</v>
      </c>
      <c r="CF1130" s="168">
        <v>-2.8</v>
      </c>
      <c r="CG1130" s="169">
        <v>-0.6</v>
      </c>
      <c r="CH1130" s="170">
        <v>22</v>
      </c>
      <c r="CJ1130" s="155" t="s">
        <v>10</v>
      </c>
      <c r="CK1130" s="156" t="s">
        <v>13</v>
      </c>
      <c r="CL1130" s="156" t="s">
        <v>14</v>
      </c>
      <c r="CM1130" s="156" t="s">
        <v>15</v>
      </c>
      <c r="CN1130" s="159" t="s">
        <v>16</v>
      </c>
      <c r="CP1130" s="165">
        <v>481</v>
      </c>
      <c r="CQ1130" s="167">
        <v>0.26362038664323373</v>
      </c>
      <c r="CR1130" s="168">
        <v>-2.8</v>
      </c>
      <c r="CS1130" s="169">
        <v>-0.6</v>
      </c>
      <c r="CT1130" s="170">
        <v>22</v>
      </c>
      <c r="CV1130" s="165">
        <v>14</v>
      </c>
      <c r="CW1130" s="167">
        <v>99.735915492957744</v>
      </c>
      <c r="CX1130" s="168">
        <v>2.8</v>
      </c>
      <c r="CY1130" s="169">
        <v>10.6</v>
      </c>
      <c r="CZ1130" s="170">
        <v>78</v>
      </c>
      <c r="DA1130" s="20">
        <f t="shared" si="14"/>
        <v>100</v>
      </c>
      <c r="DB1130" s="172">
        <v>1</v>
      </c>
      <c r="DC1130" s="173">
        <v>93.794749403341299</v>
      </c>
      <c r="DD1130" s="174">
        <v>1.5</v>
      </c>
      <c r="DE1130" s="175">
        <v>8</v>
      </c>
      <c r="DF1130" s="176">
        <v>65</v>
      </c>
    </row>
    <row r="1131" spans="19:110" ht="13.8" hidden="1" thickBot="1" x14ac:dyDescent="0.3">
      <c r="S1131" s="178" t="e">
        <f ca="1">IF(T1131&lt;3,3,IF(T1131&gt;39,39,T1131))</f>
        <v>#VALUE!</v>
      </c>
      <c r="T1131" s="178" t="e">
        <f ca="1">F116-5.97*$R$1031</f>
        <v>#VALUE!</v>
      </c>
      <c r="U1131" s="180" t="s">
        <v>312</v>
      </c>
      <c r="AB1131" s="165">
        <v>14</v>
      </c>
      <c r="AC1131" s="167">
        <v>74.340949033391908</v>
      </c>
      <c r="AD1131" s="168">
        <v>0.7</v>
      </c>
      <c r="AE1131" s="169">
        <v>6.4</v>
      </c>
      <c r="AF1131" s="170">
        <v>57</v>
      </c>
      <c r="AG1131" s="20">
        <f t="shared" si="15"/>
        <v>46</v>
      </c>
      <c r="AH1131" s="172">
        <v>23</v>
      </c>
      <c r="AI1131" s="173">
        <v>99.911660777385151</v>
      </c>
      <c r="AJ1131" s="174">
        <v>3</v>
      </c>
      <c r="AK1131" s="175">
        <v>11</v>
      </c>
      <c r="AL1131" s="176">
        <v>80</v>
      </c>
      <c r="AT1131" s="138" t="s">
        <v>203</v>
      </c>
      <c r="AU1131" s="139"/>
      <c r="AV1131" s="139"/>
      <c r="AW1131" s="140"/>
      <c r="AX1131" s="141" t="s">
        <v>160</v>
      </c>
      <c r="AY1131" s="20">
        <f t="shared" si="18"/>
        <v>1</v>
      </c>
      <c r="AZ1131" s="165">
        <v>0.5</v>
      </c>
      <c r="BA1131" s="167">
        <v>58.611599297012305</v>
      </c>
      <c r="BB1131" s="168">
        <v>0.2</v>
      </c>
      <c r="BC1131" s="169">
        <v>5.4</v>
      </c>
      <c r="BD1131" s="170">
        <v>52</v>
      </c>
      <c r="BK1131" s="20">
        <f t="shared" si="19"/>
        <v>81</v>
      </c>
      <c r="BL1131" s="165">
        <v>8.1</v>
      </c>
      <c r="BM1131" s="167">
        <v>0.61837455830388688</v>
      </c>
      <c r="BN1131" s="168">
        <v>-2.5</v>
      </c>
      <c r="BO1131" s="169">
        <v>0</v>
      </c>
      <c r="BP1131" s="170">
        <v>25</v>
      </c>
      <c r="BX1131" s="165">
        <v>666</v>
      </c>
      <c r="BY1131" s="167">
        <v>0.44014084507042256</v>
      </c>
      <c r="BZ1131" s="168">
        <v>-2.6</v>
      </c>
      <c r="CA1131" s="169">
        <v>-0.2</v>
      </c>
      <c r="CB1131" s="170">
        <v>24</v>
      </c>
      <c r="CD1131" s="165">
        <v>62</v>
      </c>
      <c r="CE1131" s="167">
        <v>0.26362038664323373</v>
      </c>
      <c r="CF1131" s="168">
        <v>-2.8</v>
      </c>
      <c r="CG1131" s="169">
        <v>-0.6</v>
      </c>
      <c r="CH1131" s="170">
        <v>22</v>
      </c>
      <c r="CJ1131" s="165">
        <v>15</v>
      </c>
      <c r="CK1131" s="167">
        <v>8.7873462214411238E-2</v>
      </c>
      <c r="CL1131" s="168">
        <v>-3</v>
      </c>
      <c r="CM1131" s="169">
        <v>-1</v>
      </c>
      <c r="CN1131" s="170">
        <v>20</v>
      </c>
      <c r="CP1131" s="165">
        <v>480</v>
      </c>
      <c r="CQ1131" s="167">
        <v>0.26362038664323373</v>
      </c>
      <c r="CR1131" s="168">
        <v>-2.8</v>
      </c>
      <c r="CS1131" s="169">
        <v>-0.6</v>
      </c>
      <c r="CT1131" s="170">
        <v>22</v>
      </c>
      <c r="CV1131" s="165">
        <v>13</v>
      </c>
      <c r="CW1131" s="167">
        <v>99.911971830985919</v>
      </c>
      <c r="CX1131" s="168">
        <v>3</v>
      </c>
      <c r="CY1131" s="169">
        <v>11</v>
      </c>
      <c r="CZ1131" s="170">
        <v>80</v>
      </c>
    </row>
    <row r="1132" spans="19:110" ht="13.8" hidden="1" thickBot="1" x14ac:dyDescent="0.3">
      <c r="AB1132" s="172">
        <v>15</v>
      </c>
      <c r="AC1132" s="173">
        <v>91.12478031634447</v>
      </c>
      <c r="AD1132" s="174">
        <v>1.4</v>
      </c>
      <c r="AE1132" s="175">
        <v>7.8</v>
      </c>
      <c r="AF1132" s="176">
        <v>64</v>
      </c>
      <c r="AN1132" s="138" t="s">
        <v>186</v>
      </c>
      <c r="AO1132" s="139"/>
      <c r="AP1132" s="139"/>
      <c r="AQ1132" s="140" t="s">
        <v>180</v>
      </c>
      <c r="AR1132" s="141">
        <v>568</v>
      </c>
      <c r="AT1132" s="144" t="s">
        <v>161</v>
      </c>
      <c r="AV1132" s="20" t="s">
        <v>162</v>
      </c>
      <c r="AX1132" s="145"/>
      <c r="AY1132" s="20">
        <f t="shared" si="18"/>
        <v>0</v>
      </c>
      <c r="AZ1132" s="172">
        <v>0</v>
      </c>
      <c r="BA1132" s="177">
        <v>83.831282952548321</v>
      </c>
      <c r="BB1132" s="174">
        <v>1</v>
      </c>
      <c r="BC1132" s="175">
        <v>7</v>
      </c>
      <c r="BD1132" s="176">
        <v>60</v>
      </c>
      <c r="BK1132" s="20">
        <f t="shared" si="19"/>
        <v>80</v>
      </c>
      <c r="BL1132" s="165">
        <v>8</v>
      </c>
      <c r="BM1132" s="167">
        <v>0.61837455830388688</v>
      </c>
      <c r="BN1132" s="168">
        <v>-2.5</v>
      </c>
      <c r="BO1132" s="169">
        <v>0</v>
      </c>
      <c r="BP1132" s="170">
        <v>25</v>
      </c>
      <c r="BX1132" s="165">
        <v>665</v>
      </c>
      <c r="BY1132" s="167">
        <v>0.44014084507042256</v>
      </c>
      <c r="BZ1132" s="168">
        <v>-2.6</v>
      </c>
      <c r="CA1132" s="169">
        <v>-0.2</v>
      </c>
      <c r="CB1132" s="170">
        <v>24</v>
      </c>
      <c r="CD1132" s="165">
        <v>61</v>
      </c>
      <c r="CE1132" s="167">
        <v>0.26362038664323373</v>
      </c>
      <c r="CF1132" s="168">
        <v>-2.8</v>
      </c>
      <c r="CG1132" s="169">
        <v>-0.6</v>
      </c>
      <c r="CH1132" s="170">
        <v>22</v>
      </c>
      <c r="CJ1132" s="165">
        <v>14</v>
      </c>
      <c r="CK1132" s="167">
        <v>0.26362038664323373</v>
      </c>
      <c r="CL1132" s="168">
        <v>-2.8</v>
      </c>
      <c r="CM1132" s="169">
        <v>-0.6</v>
      </c>
      <c r="CN1132" s="170">
        <v>22</v>
      </c>
      <c r="CP1132" s="165">
        <v>479</v>
      </c>
      <c r="CQ1132" s="167">
        <v>0.26362038664323373</v>
      </c>
      <c r="CR1132" s="168">
        <v>-2.8</v>
      </c>
      <c r="CS1132" s="169">
        <v>-0.6</v>
      </c>
      <c r="CT1132" s="170">
        <v>22</v>
      </c>
      <c r="CV1132" s="172">
        <v>12</v>
      </c>
      <c r="CW1132" s="173">
        <v>99.911971830985919</v>
      </c>
      <c r="CX1132" s="174">
        <v>3</v>
      </c>
      <c r="CY1132" s="175">
        <v>11</v>
      </c>
      <c r="CZ1132" s="176">
        <v>80</v>
      </c>
    </row>
    <row r="1133" spans="19:110" ht="13.8" hidden="1" thickBot="1" x14ac:dyDescent="0.3">
      <c r="AN1133" s="144" t="s">
        <v>161</v>
      </c>
      <c r="AP1133" s="20" t="s">
        <v>162</v>
      </c>
      <c r="AR1133" s="145"/>
      <c r="AT1133" s="147" t="s">
        <v>206</v>
      </c>
      <c r="AU1133" s="148"/>
      <c r="AV1133" s="148"/>
      <c r="AW1133" s="148"/>
      <c r="AX1133" s="149"/>
      <c r="BK1133" s="20">
        <f t="shared" si="19"/>
        <v>79</v>
      </c>
      <c r="BL1133" s="165">
        <v>7.9</v>
      </c>
      <c r="BM1133" s="167">
        <v>0.61837455830388688</v>
      </c>
      <c r="BN1133" s="168">
        <v>-2.5</v>
      </c>
      <c r="BO1133" s="169">
        <v>0</v>
      </c>
      <c r="BP1133" s="170">
        <v>25</v>
      </c>
      <c r="BX1133" s="165">
        <v>664</v>
      </c>
      <c r="BY1133" s="167">
        <v>0.44014084507042256</v>
      </c>
      <c r="BZ1133" s="168">
        <v>-2.6</v>
      </c>
      <c r="CA1133" s="169">
        <v>-0.2</v>
      </c>
      <c r="CB1133" s="170">
        <v>24</v>
      </c>
      <c r="CD1133" s="165">
        <v>60</v>
      </c>
      <c r="CE1133" s="167">
        <v>0.26362038664323373</v>
      </c>
      <c r="CF1133" s="168">
        <v>-2.8</v>
      </c>
      <c r="CG1133" s="169">
        <v>-0.6</v>
      </c>
      <c r="CH1133" s="170">
        <v>22</v>
      </c>
      <c r="CJ1133" s="165">
        <v>13</v>
      </c>
      <c r="CK1133" s="167">
        <v>0.26362038664323373</v>
      </c>
      <c r="CL1133" s="168">
        <v>-2.8</v>
      </c>
      <c r="CM1133" s="169">
        <v>-0.6</v>
      </c>
      <c r="CN1133" s="170">
        <v>22</v>
      </c>
      <c r="CP1133" s="165">
        <v>478</v>
      </c>
      <c r="CQ1133" s="167">
        <v>0.26362038664323373</v>
      </c>
      <c r="CR1133" s="168">
        <v>-2.8</v>
      </c>
      <c r="CS1133" s="169">
        <v>-0.6</v>
      </c>
      <c r="CT1133" s="170">
        <v>22</v>
      </c>
      <c r="DB1133" s="138" t="s">
        <v>114</v>
      </c>
      <c r="DC1133" s="139"/>
      <c r="DD1133" s="139"/>
      <c r="DE1133" s="140" t="s">
        <v>215</v>
      </c>
      <c r="DF1133" s="141">
        <v>419</v>
      </c>
    </row>
    <row r="1134" spans="19:110" ht="13.8" hidden="1" thickBot="1" x14ac:dyDescent="0.3">
      <c r="AH1134" s="138" t="s">
        <v>37</v>
      </c>
      <c r="AI1134" s="139"/>
      <c r="AJ1134" s="139"/>
      <c r="AK1134" s="140" t="s">
        <v>180</v>
      </c>
      <c r="AL1134" s="141">
        <v>566</v>
      </c>
      <c r="AN1134" s="147" t="s">
        <v>189</v>
      </c>
      <c r="AO1134" s="148"/>
      <c r="AP1134" s="148"/>
      <c r="AQ1134" s="148"/>
      <c r="AR1134" s="149"/>
      <c r="AT1134" s="150" t="s">
        <v>164</v>
      </c>
      <c r="AU1134" s="151" t="s">
        <v>24</v>
      </c>
      <c r="AV1134" s="152"/>
      <c r="AW1134" s="152"/>
      <c r="AX1134" s="153"/>
      <c r="BK1134" s="20">
        <f t="shared" si="19"/>
        <v>78</v>
      </c>
      <c r="BL1134" s="165">
        <v>7.8</v>
      </c>
      <c r="BM1134" s="167">
        <v>0.61837455830388688</v>
      </c>
      <c r="BN1134" s="168">
        <v>-2.5</v>
      </c>
      <c r="BO1134" s="169">
        <v>0</v>
      </c>
      <c r="BP1134" s="170">
        <v>25</v>
      </c>
      <c r="BX1134" s="165">
        <v>663</v>
      </c>
      <c r="BY1134" s="167">
        <v>0.44014084507042256</v>
      </c>
      <c r="BZ1134" s="168">
        <v>-2.6</v>
      </c>
      <c r="CA1134" s="169">
        <v>-0.2</v>
      </c>
      <c r="CB1134" s="170">
        <v>24</v>
      </c>
      <c r="CD1134" s="165">
        <v>59</v>
      </c>
      <c r="CE1134" s="167">
        <v>0.26362038664323373</v>
      </c>
      <c r="CF1134" s="168">
        <v>-2.8</v>
      </c>
      <c r="CG1134" s="169">
        <v>-0.6</v>
      </c>
      <c r="CH1134" s="170">
        <v>22</v>
      </c>
      <c r="CJ1134" s="165">
        <v>12</v>
      </c>
      <c r="CK1134" s="167">
        <v>0.26362038664323373</v>
      </c>
      <c r="CL1134" s="168">
        <v>-2.8</v>
      </c>
      <c r="CM1134" s="169">
        <v>-0.6</v>
      </c>
      <c r="CN1134" s="170">
        <v>22</v>
      </c>
      <c r="CP1134" s="165">
        <v>477</v>
      </c>
      <c r="CQ1134" s="167">
        <v>0.26362038664323373</v>
      </c>
      <c r="CR1134" s="168">
        <v>-2.8</v>
      </c>
      <c r="CS1134" s="169">
        <v>-0.6</v>
      </c>
      <c r="CT1134" s="170">
        <v>22</v>
      </c>
      <c r="DB1134" s="144" t="s">
        <v>161</v>
      </c>
      <c r="DD1134" s="20" t="s">
        <v>162</v>
      </c>
      <c r="DF1134" s="145"/>
    </row>
    <row r="1135" spans="19:110" ht="13.8" hidden="1" thickBot="1" x14ac:dyDescent="0.3">
      <c r="AB1135" s="138" t="s">
        <v>159</v>
      </c>
      <c r="AC1135" s="139"/>
      <c r="AD1135" s="139"/>
      <c r="AE1135" s="140"/>
      <c r="AF1135" s="141" t="s">
        <v>167</v>
      </c>
      <c r="AH1135" s="144" t="s">
        <v>161</v>
      </c>
      <c r="AJ1135" s="20" t="s">
        <v>162</v>
      </c>
      <c r="AL1135" s="145"/>
      <c r="AN1135" s="150" t="s">
        <v>164</v>
      </c>
      <c r="AO1135" s="151" t="s">
        <v>24</v>
      </c>
      <c r="AP1135" s="152"/>
      <c r="AQ1135" s="152"/>
      <c r="AR1135" s="153"/>
      <c r="AT1135" s="155" t="s">
        <v>10</v>
      </c>
      <c r="AU1135" s="158" t="s">
        <v>13</v>
      </c>
      <c r="AV1135" s="156" t="s">
        <v>14</v>
      </c>
      <c r="AW1135" s="156" t="s">
        <v>15</v>
      </c>
      <c r="AX1135" s="159" t="s">
        <v>16</v>
      </c>
      <c r="AZ1135" s="138" t="s">
        <v>214</v>
      </c>
      <c r="BA1135" s="139"/>
      <c r="BB1135" s="139"/>
      <c r="BC1135" s="140" t="s">
        <v>215</v>
      </c>
      <c r="BD1135" s="141">
        <v>569</v>
      </c>
      <c r="BK1135" s="20">
        <f t="shared" si="19"/>
        <v>77</v>
      </c>
      <c r="BL1135" s="165">
        <v>7.7</v>
      </c>
      <c r="BM1135" s="167">
        <v>0.61837455830388688</v>
      </c>
      <c r="BN1135" s="168">
        <v>-2.5</v>
      </c>
      <c r="BO1135" s="169">
        <v>0</v>
      </c>
      <c r="BP1135" s="170">
        <v>25</v>
      </c>
      <c r="BX1135" s="165">
        <v>662</v>
      </c>
      <c r="BY1135" s="167">
        <v>0.44014084507042256</v>
      </c>
      <c r="BZ1135" s="168">
        <v>-2.6</v>
      </c>
      <c r="CA1135" s="169">
        <v>-0.2</v>
      </c>
      <c r="CB1135" s="170">
        <v>24</v>
      </c>
      <c r="CD1135" s="165">
        <v>58</v>
      </c>
      <c r="CE1135" s="167">
        <v>0.26362038664323373</v>
      </c>
      <c r="CF1135" s="168">
        <v>-2.8</v>
      </c>
      <c r="CG1135" s="169">
        <v>-0.6</v>
      </c>
      <c r="CH1135" s="170">
        <v>22</v>
      </c>
      <c r="CJ1135" s="165">
        <v>11</v>
      </c>
      <c r="CK1135" s="167">
        <v>0.26362038664323373</v>
      </c>
      <c r="CL1135" s="168">
        <v>-2.8</v>
      </c>
      <c r="CM1135" s="169">
        <v>-0.6</v>
      </c>
      <c r="CN1135" s="170">
        <v>22</v>
      </c>
      <c r="CP1135" s="165">
        <v>476</v>
      </c>
      <c r="CQ1135" s="167">
        <v>0.26362038664323373</v>
      </c>
      <c r="CR1135" s="168">
        <v>-2.8</v>
      </c>
      <c r="CS1135" s="169">
        <v>-0.6</v>
      </c>
      <c r="CT1135" s="170">
        <v>22</v>
      </c>
      <c r="CV1135" s="138" t="s">
        <v>102</v>
      </c>
      <c r="CW1135" s="139"/>
      <c r="CX1135" s="139"/>
      <c r="CY1135" s="140" t="s">
        <v>215</v>
      </c>
      <c r="CZ1135" s="141">
        <v>568</v>
      </c>
      <c r="DB1135" s="181"/>
      <c r="DC1135" s="148"/>
      <c r="DD1135" s="179" t="s">
        <v>170</v>
      </c>
      <c r="DE1135" s="148"/>
      <c r="DF1135" s="149"/>
    </row>
    <row r="1136" spans="19:110" ht="13.15" hidden="1" thickBot="1" x14ac:dyDescent="0.25">
      <c r="S1136" s="178" t="e">
        <f>IF(T1136&lt;14.5,14.5,IF(T1136&gt;18,18,IF(T1136&lt;F123,F123,T1136)))</f>
        <v>#REF!</v>
      </c>
      <c r="T1136" s="178" t="e">
        <f>F123-8.02*$R$1031-0.95*$R$1030</f>
        <v>#REF!</v>
      </c>
      <c r="U1136" s="180" t="s">
        <v>286</v>
      </c>
      <c r="AB1136" s="144" t="s">
        <v>161</v>
      </c>
      <c r="AD1136" s="20" t="s">
        <v>162</v>
      </c>
      <c r="AF1136" s="145"/>
      <c r="AH1136" s="147" t="s">
        <v>184</v>
      </c>
      <c r="AI1136" s="148"/>
      <c r="AJ1136" s="148"/>
      <c r="AK1136" s="148"/>
      <c r="AL1136" s="149"/>
      <c r="AN1136" s="155" t="s">
        <v>10</v>
      </c>
      <c r="AO1136" s="156" t="s">
        <v>13</v>
      </c>
      <c r="AP1136" s="156" t="s">
        <v>14</v>
      </c>
      <c r="AQ1136" s="156" t="s">
        <v>15</v>
      </c>
      <c r="AR1136" s="157" t="s">
        <v>16</v>
      </c>
      <c r="AS1136" s="20">
        <f t="shared" ref="AS1136:AS1165" si="20">AT1136*2</f>
        <v>3</v>
      </c>
      <c r="AT1136" s="165">
        <v>1.5</v>
      </c>
      <c r="AU1136" s="167">
        <v>8.7873462214411238E-2</v>
      </c>
      <c r="AV1136" s="168">
        <v>-3</v>
      </c>
      <c r="AW1136" s="169">
        <v>-1</v>
      </c>
      <c r="AX1136" s="170">
        <v>20</v>
      </c>
      <c r="AZ1136" s="144" t="s">
        <v>161</v>
      </c>
      <c r="BB1136" s="20" t="s">
        <v>162</v>
      </c>
      <c r="BD1136" s="145"/>
      <c r="BK1136" s="20">
        <f t="shared" si="19"/>
        <v>76</v>
      </c>
      <c r="BL1136" s="165">
        <v>7.6</v>
      </c>
      <c r="BM1136" s="167">
        <v>0.61837455830388688</v>
      </c>
      <c r="BN1136" s="168">
        <v>-2.5</v>
      </c>
      <c r="BO1136" s="169">
        <v>0</v>
      </c>
      <c r="BP1136" s="170">
        <v>25</v>
      </c>
      <c r="BX1136" s="165">
        <v>661</v>
      </c>
      <c r="BY1136" s="167">
        <v>0.44014084507042256</v>
      </c>
      <c r="BZ1136" s="168">
        <v>-2.6</v>
      </c>
      <c r="CA1136" s="169">
        <v>-0.2</v>
      </c>
      <c r="CB1136" s="170">
        <v>24</v>
      </c>
      <c r="CD1136" s="165">
        <v>57</v>
      </c>
      <c r="CE1136" s="167">
        <v>0.26362038664323373</v>
      </c>
      <c r="CF1136" s="168">
        <v>-2.8</v>
      </c>
      <c r="CG1136" s="169">
        <v>-0.6</v>
      </c>
      <c r="CH1136" s="170">
        <v>22</v>
      </c>
      <c r="CJ1136" s="165">
        <v>10</v>
      </c>
      <c r="CK1136" s="167">
        <v>0.26362038664323373</v>
      </c>
      <c r="CL1136" s="168">
        <v>-2.8</v>
      </c>
      <c r="CM1136" s="169">
        <v>-0.6</v>
      </c>
      <c r="CN1136" s="170">
        <v>22</v>
      </c>
      <c r="CP1136" s="165">
        <v>475</v>
      </c>
      <c r="CQ1136" s="167">
        <v>0.26362038664323373</v>
      </c>
      <c r="CR1136" s="168">
        <v>-2.8</v>
      </c>
      <c r="CS1136" s="169">
        <v>-0.6</v>
      </c>
      <c r="CT1136" s="170">
        <v>22</v>
      </c>
      <c r="CV1136" s="144" t="s">
        <v>161</v>
      </c>
      <c r="CZ1136" s="145"/>
      <c r="DB1136" s="150" t="s">
        <v>164</v>
      </c>
      <c r="DC1136" s="151" t="s">
        <v>256</v>
      </c>
      <c r="DD1136" s="152"/>
      <c r="DE1136" s="152"/>
      <c r="DF1136" s="153"/>
    </row>
    <row r="1137" spans="15:110" ht="13.15" hidden="1" thickBot="1" x14ac:dyDescent="0.25">
      <c r="S1137" s="178" t="e">
        <f>IF(F124&lt;0,0,IF(F124&gt;2.5,2.5,F124))</f>
        <v>#REF!</v>
      </c>
      <c r="U1137" s="180" t="s">
        <v>281</v>
      </c>
      <c r="AB1137" s="147" t="s">
        <v>168</v>
      </c>
      <c r="AC1137" s="148"/>
      <c r="AD1137" s="148"/>
      <c r="AE1137" s="148"/>
      <c r="AF1137" s="149"/>
      <c r="AH1137" s="150" t="s">
        <v>164</v>
      </c>
      <c r="AI1137" s="151" t="s">
        <v>25</v>
      </c>
      <c r="AJ1137" s="152"/>
      <c r="AK1137" s="152"/>
      <c r="AL1137" s="153"/>
      <c r="AM1137" s="20">
        <f t="shared" ref="AM1137:AM1162" si="21">AN1137*2</f>
        <v>5</v>
      </c>
      <c r="AN1137" s="165">
        <v>2.5</v>
      </c>
      <c r="AO1137" s="167">
        <v>8.8028169014084515E-2</v>
      </c>
      <c r="AP1137" s="168">
        <v>-3</v>
      </c>
      <c r="AQ1137" s="169">
        <v>-1</v>
      </c>
      <c r="AR1137" s="170">
        <v>20</v>
      </c>
      <c r="AS1137" s="20">
        <f t="shared" si="20"/>
        <v>4</v>
      </c>
      <c r="AT1137" s="165">
        <v>2</v>
      </c>
      <c r="AU1137" s="167">
        <v>0.35149384885764495</v>
      </c>
      <c r="AV1137" s="168">
        <v>-2.7</v>
      </c>
      <c r="AW1137" s="169">
        <v>-0.4</v>
      </c>
      <c r="AX1137" s="170">
        <v>23</v>
      </c>
      <c r="AZ1137" s="147" t="s">
        <v>220</v>
      </c>
      <c r="BA1137" s="148"/>
      <c r="BB1137" s="148"/>
      <c r="BC1137" s="148"/>
      <c r="BD1137" s="149"/>
      <c r="BK1137" s="20">
        <f t="shared" si="19"/>
        <v>75</v>
      </c>
      <c r="BL1137" s="165">
        <v>7.5</v>
      </c>
      <c r="BM1137" s="167">
        <v>0.61837455830388688</v>
      </c>
      <c r="BN1137" s="168">
        <v>-2.5</v>
      </c>
      <c r="BO1137" s="169">
        <v>0</v>
      </c>
      <c r="BP1137" s="170">
        <v>25</v>
      </c>
      <c r="BX1137" s="165">
        <v>660</v>
      </c>
      <c r="BY1137" s="167">
        <v>0.44014084507042256</v>
      </c>
      <c r="BZ1137" s="168">
        <v>-2.6</v>
      </c>
      <c r="CA1137" s="169">
        <v>-0.2</v>
      </c>
      <c r="CB1137" s="170">
        <v>24</v>
      </c>
      <c r="CD1137" s="165">
        <v>56</v>
      </c>
      <c r="CE1137" s="167">
        <v>0.26362038664323373</v>
      </c>
      <c r="CF1137" s="168">
        <v>-2.8</v>
      </c>
      <c r="CG1137" s="169">
        <v>-0.6</v>
      </c>
      <c r="CH1137" s="170">
        <v>22</v>
      </c>
      <c r="CJ1137" s="165">
        <v>9</v>
      </c>
      <c r="CK1137" s="167">
        <v>0.26362038664323373</v>
      </c>
      <c r="CL1137" s="168">
        <v>-2.8</v>
      </c>
      <c r="CM1137" s="169">
        <v>-0.6</v>
      </c>
      <c r="CN1137" s="170">
        <v>22</v>
      </c>
      <c r="CP1137" s="165">
        <v>474</v>
      </c>
      <c r="CQ1137" s="167">
        <v>0.26362038664323373</v>
      </c>
      <c r="CR1137" s="168">
        <v>-2.8</v>
      </c>
      <c r="CS1137" s="169">
        <v>-0.6</v>
      </c>
      <c r="CT1137" s="170">
        <v>22</v>
      </c>
      <c r="CV1137" s="147"/>
      <c r="CW1137" s="148"/>
      <c r="CX1137" s="179" t="s">
        <v>170</v>
      </c>
      <c r="CY1137" s="148"/>
      <c r="CZ1137" s="149"/>
      <c r="DB1137" s="155" t="s">
        <v>10</v>
      </c>
      <c r="DC1137" s="156" t="s">
        <v>13</v>
      </c>
      <c r="DD1137" s="156" t="s">
        <v>14</v>
      </c>
      <c r="DE1137" s="156" t="s">
        <v>15</v>
      </c>
      <c r="DF1137" s="159" t="s">
        <v>16</v>
      </c>
    </row>
    <row r="1138" spans="15:110" ht="13.15" hidden="1" thickBot="1" x14ac:dyDescent="0.25">
      <c r="S1138" s="178" t="e">
        <f>IF(T1138&lt;0,0,IF(T1138&gt;5,5,T1138))</f>
        <v>#REF!</v>
      </c>
      <c r="T1138" s="11" t="e">
        <f>$F125-1.04*$R$1031+0.06*$R$1032</f>
        <v>#REF!</v>
      </c>
      <c r="U1138" s="180" t="s">
        <v>287</v>
      </c>
      <c r="AB1138" s="150" t="s">
        <v>164</v>
      </c>
      <c r="AC1138" s="151" t="s">
        <v>25</v>
      </c>
      <c r="AD1138" s="152"/>
      <c r="AE1138" s="152"/>
      <c r="AF1138" s="153"/>
      <c r="AH1138" s="155" t="s">
        <v>10</v>
      </c>
      <c r="AI1138" s="156" t="s">
        <v>13</v>
      </c>
      <c r="AJ1138" s="156" t="s">
        <v>14</v>
      </c>
      <c r="AK1138" s="156" t="s">
        <v>15</v>
      </c>
      <c r="AL1138" s="157" t="s">
        <v>16</v>
      </c>
      <c r="AM1138" s="20">
        <f t="shared" si="21"/>
        <v>6</v>
      </c>
      <c r="AN1138" s="165">
        <v>3</v>
      </c>
      <c r="AO1138" s="167">
        <v>0.2640845070422535</v>
      </c>
      <c r="AP1138" s="168">
        <v>-2.8</v>
      </c>
      <c r="AQ1138" s="169">
        <v>-0.6</v>
      </c>
      <c r="AR1138" s="170">
        <v>22</v>
      </c>
      <c r="AS1138" s="20">
        <f t="shared" si="20"/>
        <v>5</v>
      </c>
      <c r="AT1138" s="165">
        <v>2.5</v>
      </c>
      <c r="AU1138" s="167">
        <v>0.35149384885764495</v>
      </c>
      <c r="AV1138" s="168">
        <v>-2.7</v>
      </c>
      <c r="AW1138" s="169">
        <v>-0.4</v>
      </c>
      <c r="AX1138" s="170">
        <v>23</v>
      </c>
      <c r="AZ1138" s="150" t="s">
        <v>164</v>
      </c>
      <c r="BA1138" s="151" t="s">
        <v>49</v>
      </c>
      <c r="BB1138" s="152"/>
      <c r="BC1138" s="152"/>
      <c r="BD1138" s="153"/>
      <c r="BK1138" s="20">
        <f t="shared" si="19"/>
        <v>74</v>
      </c>
      <c r="BL1138" s="165">
        <v>7.4</v>
      </c>
      <c r="BM1138" s="167">
        <v>0.61837455830388688</v>
      </c>
      <c r="BN1138" s="168">
        <v>-2.5</v>
      </c>
      <c r="BO1138" s="169">
        <v>0</v>
      </c>
      <c r="BP1138" s="170">
        <v>25</v>
      </c>
      <c r="BX1138" s="165">
        <v>659</v>
      </c>
      <c r="BY1138" s="167">
        <v>0.44014084507042256</v>
      </c>
      <c r="BZ1138" s="168">
        <v>-2.6</v>
      </c>
      <c r="CA1138" s="169">
        <v>-0.2</v>
      </c>
      <c r="CB1138" s="170">
        <v>24</v>
      </c>
      <c r="CD1138" s="165">
        <v>55</v>
      </c>
      <c r="CE1138" s="167">
        <v>0.26362038664323373</v>
      </c>
      <c r="CF1138" s="168">
        <v>-2.8</v>
      </c>
      <c r="CG1138" s="169">
        <v>-0.6</v>
      </c>
      <c r="CH1138" s="170">
        <v>22</v>
      </c>
      <c r="CJ1138" s="165">
        <v>8</v>
      </c>
      <c r="CK1138" s="167">
        <v>0.26362038664323373</v>
      </c>
      <c r="CL1138" s="168">
        <v>-2.8</v>
      </c>
      <c r="CM1138" s="169">
        <v>-0.6</v>
      </c>
      <c r="CN1138" s="170">
        <v>22</v>
      </c>
      <c r="CP1138" s="165">
        <v>473</v>
      </c>
      <c r="CQ1138" s="167">
        <v>0.26362038664323373</v>
      </c>
      <c r="CR1138" s="168">
        <v>-2.8</v>
      </c>
      <c r="CS1138" s="169">
        <v>-0.6</v>
      </c>
      <c r="CT1138" s="170">
        <v>22</v>
      </c>
      <c r="CV1138" s="150" t="s">
        <v>164</v>
      </c>
      <c r="CW1138" s="151" t="s">
        <v>248</v>
      </c>
      <c r="CX1138" s="152"/>
      <c r="CY1138" s="152"/>
      <c r="CZ1138" s="153"/>
      <c r="DB1138" s="160">
        <v>0.1</v>
      </c>
      <c r="DC1138" s="161">
        <v>0.11933174224343676</v>
      </c>
      <c r="DD1138" s="162">
        <v>-3</v>
      </c>
      <c r="DE1138" s="163">
        <v>-1</v>
      </c>
      <c r="DF1138" s="164">
        <v>20</v>
      </c>
    </row>
    <row r="1139" spans="15:110" ht="13.15" hidden="1" thickBot="1" x14ac:dyDescent="0.25">
      <c r="AB1139" s="155" t="s">
        <v>10</v>
      </c>
      <c r="AC1139" s="158" t="s">
        <v>13</v>
      </c>
      <c r="AD1139" s="156" t="s">
        <v>14</v>
      </c>
      <c r="AE1139" s="158" t="s">
        <v>15</v>
      </c>
      <c r="AF1139" s="159" t="s">
        <v>16</v>
      </c>
      <c r="AG1139" s="20">
        <f t="shared" ref="AG1139:AG1181" si="22">AH1139*2</f>
        <v>0</v>
      </c>
      <c r="AH1139" s="160">
        <v>0</v>
      </c>
      <c r="AI1139" s="161">
        <v>0.17667844522968199</v>
      </c>
      <c r="AJ1139" s="162">
        <v>-2.9</v>
      </c>
      <c r="AK1139" s="163">
        <v>-0.8</v>
      </c>
      <c r="AL1139" s="164">
        <v>21</v>
      </c>
      <c r="AM1139" s="20">
        <f t="shared" si="21"/>
        <v>7</v>
      </c>
      <c r="AN1139" s="165">
        <v>3.5</v>
      </c>
      <c r="AO1139" s="167">
        <v>0.70422535211267612</v>
      </c>
      <c r="AP1139" s="168">
        <v>-2.5</v>
      </c>
      <c r="AQ1139" s="169">
        <v>0</v>
      </c>
      <c r="AR1139" s="170">
        <v>25</v>
      </c>
      <c r="AS1139" s="20">
        <f t="shared" si="20"/>
        <v>6</v>
      </c>
      <c r="AT1139" s="165">
        <v>3</v>
      </c>
      <c r="AU1139" s="167">
        <v>0.35149384885764495</v>
      </c>
      <c r="AV1139" s="168">
        <v>-2.7</v>
      </c>
      <c r="AW1139" s="169">
        <v>-0.4</v>
      </c>
      <c r="AX1139" s="170">
        <v>23</v>
      </c>
      <c r="AZ1139" s="155" t="s">
        <v>10</v>
      </c>
      <c r="BA1139" s="158" t="s">
        <v>13</v>
      </c>
      <c r="BB1139" s="156" t="s">
        <v>14</v>
      </c>
      <c r="BC1139" s="156" t="s">
        <v>15</v>
      </c>
      <c r="BD1139" s="159" t="s">
        <v>16</v>
      </c>
      <c r="BK1139" s="20">
        <f t="shared" si="19"/>
        <v>73</v>
      </c>
      <c r="BL1139" s="165">
        <v>7.3</v>
      </c>
      <c r="BM1139" s="167">
        <v>0.61837455830388688</v>
      </c>
      <c r="BN1139" s="168">
        <v>-2.5</v>
      </c>
      <c r="BO1139" s="169">
        <v>0</v>
      </c>
      <c r="BP1139" s="170">
        <v>25</v>
      </c>
      <c r="BX1139" s="165">
        <v>658</v>
      </c>
      <c r="BY1139" s="167">
        <v>0.44014084507042256</v>
      </c>
      <c r="BZ1139" s="168">
        <v>-2.6</v>
      </c>
      <c r="CA1139" s="169">
        <v>-0.2</v>
      </c>
      <c r="CB1139" s="170">
        <v>24</v>
      </c>
      <c r="CD1139" s="165">
        <v>54</v>
      </c>
      <c r="CE1139" s="167">
        <v>0.26362038664323373</v>
      </c>
      <c r="CF1139" s="168">
        <v>-2.8</v>
      </c>
      <c r="CG1139" s="169">
        <v>-0.6</v>
      </c>
      <c r="CH1139" s="170">
        <v>22</v>
      </c>
      <c r="CJ1139" s="165">
        <v>7</v>
      </c>
      <c r="CK1139" s="167">
        <v>0.26362038664323373</v>
      </c>
      <c r="CL1139" s="168">
        <v>-2.8</v>
      </c>
      <c r="CM1139" s="169">
        <v>-0.6</v>
      </c>
      <c r="CN1139" s="170">
        <v>22</v>
      </c>
      <c r="CP1139" s="165">
        <v>472</v>
      </c>
      <c r="CQ1139" s="167">
        <v>0.26362038664323373</v>
      </c>
      <c r="CR1139" s="168">
        <v>-2.8</v>
      </c>
      <c r="CS1139" s="169">
        <v>-0.6</v>
      </c>
      <c r="CT1139" s="170">
        <v>22</v>
      </c>
      <c r="CV1139" s="155" t="s">
        <v>10</v>
      </c>
      <c r="CW1139" s="156" t="s">
        <v>13</v>
      </c>
      <c r="CX1139" s="156" t="s">
        <v>14</v>
      </c>
      <c r="CY1139" s="156" t="s">
        <v>15</v>
      </c>
      <c r="CZ1139" s="159" t="s">
        <v>16</v>
      </c>
      <c r="DB1139" s="165">
        <v>0.2</v>
      </c>
      <c r="DC1139" s="167">
        <v>0.47732696897374705</v>
      </c>
      <c r="DD1139" s="168">
        <v>-2.6</v>
      </c>
      <c r="DE1139" s="169">
        <v>-0.2</v>
      </c>
      <c r="DF1139" s="170">
        <v>24</v>
      </c>
    </row>
    <row r="1140" spans="15:110" hidden="1" x14ac:dyDescent="0.2">
      <c r="AB1140" s="165">
        <v>2</v>
      </c>
      <c r="AC1140" s="167">
        <v>8.8028169014084515E-2</v>
      </c>
      <c r="AD1140" s="168">
        <v>-3</v>
      </c>
      <c r="AE1140" s="169">
        <v>-1</v>
      </c>
      <c r="AF1140" s="170">
        <v>20</v>
      </c>
      <c r="AG1140" s="20">
        <f t="shared" si="22"/>
        <v>1</v>
      </c>
      <c r="AH1140" s="165">
        <v>0.5</v>
      </c>
      <c r="AI1140" s="167">
        <v>0.44169611307420498</v>
      </c>
      <c r="AJ1140" s="168">
        <v>-2.6</v>
      </c>
      <c r="AK1140" s="169">
        <v>-0.2</v>
      </c>
      <c r="AL1140" s="170">
        <v>24</v>
      </c>
      <c r="AM1140" s="20">
        <f t="shared" si="21"/>
        <v>8</v>
      </c>
      <c r="AN1140" s="165">
        <v>4</v>
      </c>
      <c r="AO1140" s="167">
        <v>1.4084507042253522</v>
      </c>
      <c r="AP1140" s="168">
        <v>-2.2000000000000002</v>
      </c>
      <c r="AQ1140" s="169">
        <v>0.6</v>
      </c>
      <c r="AR1140" s="170">
        <v>28</v>
      </c>
      <c r="AS1140" s="20">
        <f t="shared" si="20"/>
        <v>7</v>
      </c>
      <c r="AT1140" s="165">
        <v>3.5</v>
      </c>
      <c r="AU1140" s="167">
        <v>0.35149384885764495</v>
      </c>
      <c r="AV1140" s="168">
        <v>-2.7</v>
      </c>
      <c r="AW1140" s="169">
        <v>-0.4</v>
      </c>
      <c r="AX1140" s="170">
        <v>23</v>
      </c>
      <c r="AY1140" s="20">
        <f t="shared" ref="AY1140:AY1154" si="23">AZ1140*2</f>
        <v>14</v>
      </c>
      <c r="AZ1140" s="160">
        <v>7</v>
      </c>
      <c r="BA1140" s="161">
        <v>8.7873462214411238E-2</v>
      </c>
      <c r="BB1140" s="162">
        <v>-3</v>
      </c>
      <c r="BC1140" s="163">
        <v>-1</v>
      </c>
      <c r="BD1140" s="164">
        <v>20</v>
      </c>
      <c r="BK1140" s="20">
        <f t="shared" si="19"/>
        <v>72</v>
      </c>
      <c r="BL1140" s="165">
        <v>7.2</v>
      </c>
      <c r="BM1140" s="167">
        <v>0.61837455830388688</v>
      </c>
      <c r="BN1140" s="168">
        <v>-2.5</v>
      </c>
      <c r="BO1140" s="169">
        <v>0</v>
      </c>
      <c r="BP1140" s="170">
        <v>25</v>
      </c>
      <c r="BX1140" s="165">
        <v>657</v>
      </c>
      <c r="BY1140" s="167">
        <v>0.44014084507042256</v>
      </c>
      <c r="BZ1140" s="168">
        <v>-2.6</v>
      </c>
      <c r="CA1140" s="169">
        <v>-0.2</v>
      </c>
      <c r="CB1140" s="170">
        <v>24</v>
      </c>
      <c r="CD1140" s="165">
        <v>53</v>
      </c>
      <c r="CE1140" s="167">
        <v>0.26362038664323373</v>
      </c>
      <c r="CF1140" s="168">
        <v>-2.8</v>
      </c>
      <c r="CG1140" s="169">
        <v>-0.6</v>
      </c>
      <c r="CH1140" s="170">
        <v>22</v>
      </c>
      <c r="CJ1140" s="165">
        <v>6</v>
      </c>
      <c r="CK1140" s="167">
        <v>0.26362038664323373</v>
      </c>
      <c r="CL1140" s="168">
        <v>-2.8</v>
      </c>
      <c r="CM1140" s="169">
        <v>-0.6</v>
      </c>
      <c r="CN1140" s="170">
        <v>22</v>
      </c>
      <c r="CP1140" s="165">
        <v>471</v>
      </c>
      <c r="CQ1140" s="167">
        <v>0.26362038664323373</v>
      </c>
      <c r="CR1140" s="168">
        <v>-2.8</v>
      </c>
      <c r="CS1140" s="169">
        <v>-0.6</v>
      </c>
      <c r="CT1140" s="170">
        <v>22</v>
      </c>
      <c r="CV1140" s="160">
        <v>3</v>
      </c>
      <c r="CW1140" s="161">
        <v>0.17605633802816903</v>
      </c>
      <c r="CX1140" s="162">
        <v>-2.9</v>
      </c>
      <c r="CY1140" s="163">
        <v>-0.8</v>
      </c>
      <c r="CZ1140" s="164">
        <v>21</v>
      </c>
      <c r="DB1140" s="165">
        <v>0.3</v>
      </c>
      <c r="DC1140" s="167">
        <v>0.47732696897374705</v>
      </c>
      <c r="DD1140" s="168">
        <v>-2.6</v>
      </c>
      <c r="DE1140" s="169">
        <v>-0.2</v>
      </c>
      <c r="DF1140" s="170">
        <v>24</v>
      </c>
    </row>
    <row r="1141" spans="15:110" hidden="1" x14ac:dyDescent="0.2">
      <c r="AB1141" s="165">
        <v>3</v>
      </c>
      <c r="AC1141" s="167">
        <v>0.2640845070422535</v>
      </c>
      <c r="AD1141" s="168">
        <v>-2.8</v>
      </c>
      <c r="AE1141" s="169">
        <v>-0.6</v>
      </c>
      <c r="AF1141" s="170">
        <v>22</v>
      </c>
      <c r="AG1141" s="20">
        <f t="shared" si="22"/>
        <v>2</v>
      </c>
      <c r="AH1141" s="165">
        <v>1</v>
      </c>
      <c r="AI1141" s="167">
        <v>0.44169611307420498</v>
      </c>
      <c r="AJ1141" s="168">
        <v>-2.6</v>
      </c>
      <c r="AK1141" s="169">
        <v>-0.2</v>
      </c>
      <c r="AL1141" s="170">
        <v>24</v>
      </c>
      <c r="AM1141" s="20">
        <f t="shared" si="21"/>
        <v>9</v>
      </c>
      <c r="AN1141" s="165">
        <v>4.5</v>
      </c>
      <c r="AO1141" s="167">
        <v>2.024647887323944</v>
      </c>
      <c r="AP1141" s="168">
        <v>-2.1</v>
      </c>
      <c r="AQ1141" s="169">
        <v>0.8</v>
      </c>
      <c r="AR1141" s="170">
        <v>29</v>
      </c>
      <c r="AS1141" s="20">
        <f t="shared" si="20"/>
        <v>8</v>
      </c>
      <c r="AT1141" s="165">
        <v>4</v>
      </c>
      <c r="AU1141" s="167">
        <v>0.35149384885764495</v>
      </c>
      <c r="AV1141" s="168">
        <v>-2.7</v>
      </c>
      <c r="AW1141" s="169">
        <v>-0.4</v>
      </c>
      <c r="AX1141" s="170">
        <v>23</v>
      </c>
      <c r="AY1141" s="20">
        <f t="shared" si="23"/>
        <v>13</v>
      </c>
      <c r="AZ1141" s="165">
        <v>6.5</v>
      </c>
      <c r="BA1141" s="167">
        <v>0.35149384885764495</v>
      </c>
      <c r="BB1141" s="168">
        <v>-2.7</v>
      </c>
      <c r="BC1141" s="169">
        <v>-0.4</v>
      </c>
      <c r="BD1141" s="170">
        <v>23</v>
      </c>
      <c r="BK1141" s="20">
        <f t="shared" si="19"/>
        <v>71</v>
      </c>
      <c r="BL1141" s="165">
        <v>7.1</v>
      </c>
      <c r="BM1141" s="167">
        <v>0.61837455830388688</v>
      </c>
      <c r="BN1141" s="168">
        <v>-2.5</v>
      </c>
      <c r="BO1141" s="169">
        <v>0</v>
      </c>
      <c r="BP1141" s="170">
        <v>25</v>
      </c>
      <c r="BX1141" s="165">
        <v>656</v>
      </c>
      <c r="BY1141" s="167">
        <v>0.44014084507042256</v>
      </c>
      <c r="BZ1141" s="168">
        <v>-2.6</v>
      </c>
      <c r="CA1141" s="169">
        <v>-0.2</v>
      </c>
      <c r="CB1141" s="170">
        <v>24</v>
      </c>
      <c r="CD1141" s="165">
        <v>52</v>
      </c>
      <c r="CE1141" s="167">
        <v>0.26362038664323373</v>
      </c>
      <c r="CF1141" s="168">
        <v>-2.8</v>
      </c>
      <c r="CG1141" s="169">
        <v>-0.6</v>
      </c>
      <c r="CH1141" s="170">
        <v>22</v>
      </c>
      <c r="CJ1141" s="165">
        <v>5</v>
      </c>
      <c r="CK1141" s="167">
        <v>0.26362038664323373</v>
      </c>
      <c r="CL1141" s="168">
        <v>-2.8</v>
      </c>
      <c r="CM1141" s="169">
        <v>-0.6</v>
      </c>
      <c r="CN1141" s="170">
        <v>22</v>
      </c>
      <c r="CP1141" s="165">
        <v>470</v>
      </c>
      <c r="CQ1141" s="167">
        <v>0.26362038664323373</v>
      </c>
      <c r="CR1141" s="168">
        <v>-2.8</v>
      </c>
      <c r="CS1141" s="169">
        <v>-0.6</v>
      </c>
      <c r="CT1141" s="170">
        <v>22</v>
      </c>
      <c r="CV1141" s="165">
        <v>2</v>
      </c>
      <c r="CW1141" s="167">
        <v>0.61619718309859151</v>
      </c>
      <c r="CX1141" s="168">
        <v>-2.5</v>
      </c>
      <c r="CY1141" s="169">
        <v>0</v>
      </c>
      <c r="CZ1141" s="170">
        <v>25</v>
      </c>
      <c r="DB1141" s="165">
        <v>0.4</v>
      </c>
      <c r="DC1141" s="167">
        <v>0.47732696897374705</v>
      </c>
      <c r="DD1141" s="168">
        <v>-2.6</v>
      </c>
      <c r="DE1141" s="169">
        <v>-0.2</v>
      </c>
      <c r="DF1141" s="170">
        <v>24</v>
      </c>
    </row>
    <row r="1142" spans="15:110" hidden="1" x14ac:dyDescent="0.2">
      <c r="S1142" s="178" t="e">
        <f>IF(T1142&lt;16,16,IF(T1142&gt;20,20,IF(T1142&lt;F130,F130,T1142)))</f>
        <v>#REF!</v>
      </c>
      <c r="T1142" s="178" t="e">
        <f>F130-8.75*$R$1031-1.12*$R$1030</f>
        <v>#REF!</v>
      </c>
      <c r="U1142" s="180" t="s">
        <v>288</v>
      </c>
      <c r="AB1142" s="165">
        <v>4</v>
      </c>
      <c r="AC1142" s="167">
        <v>0.61619718309859151</v>
      </c>
      <c r="AD1142" s="168">
        <v>-2.5</v>
      </c>
      <c r="AE1142" s="169">
        <v>0</v>
      </c>
      <c r="AF1142" s="170">
        <v>25</v>
      </c>
      <c r="AG1142" s="20">
        <f t="shared" si="22"/>
        <v>3</v>
      </c>
      <c r="AH1142" s="165">
        <v>1.5</v>
      </c>
      <c r="AI1142" s="167">
        <v>0.61837455830388688</v>
      </c>
      <c r="AJ1142" s="168">
        <v>-2.5</v>
      </c>
      <c r="AK1142" s="169">
        <v>0</v>
      </c>
      <c r="AL1142" s="170">
        <v>25</v>
      </c>
      <c r="AM1142" s="20">
        <f t="shared" si="21"/>
        <v>10</v>
      </c>
      <c r="AN1142" s="165">
        <v>5</v>
      </c>
      <c r="AO1142" s="167">
        <v>2.8169014084507045</v>
      </c>
      <c r="AP1142" s="168">
        <v>-1.9</v>
      </c>
      <c r="AQ1142" s="169">
        <v>1.2</v>
      </c>
      <c r="AR1142" s="170">
        <v>31</v>
      </c>
      <c r="AS1142" s="20">
        <f t="shared" si="20"/>
        <v>9</v>
      </c>
      <c r="AT1142" s="165">
        <v>4.5</v>
      </c>
      <c r="AU1142" s="167">
        <v>0.35149384885764495</v>
      </c>
      <c r="AV1142" s="168">
        <v>-2.7</v>
      </c>
      <c r="AW1142" s="169">
        <v>-0.4</v>
      </c>
      <c r="AX1142" s="170">
        <v>23</v>
      </c>
      <c r="AY1142" s="20">
        <f t="shared" si="23"/>
        <v>12</v>
      </c>
      <c r="AZ1142" s="165">
        <v>6</v>
      </c>
      <c r="BA1142" s="167">
        <v>0.35149384885764495</v>
      </c>
      <c r="BB1142" s="168">
        <v>-2.7</v>
      </c>
      <c r="BC1142" s="169">
        <v>-0.4</v>
      </c>
      <c r="BD1142" s="170">
        <v>23</v>
      </c>
      <c r="BK1142" s="20">
        <f t="shared" si="19"/>
        <v>70</v>
      </c>
      <c r="BL1142" s="165">
        <v>7</v>
      </c>
      <c r="BM1142" s="167">
        <v>0.61837455830388688</v>
      </c>
      <c r="BN1142" s="168">
        <v>-2.5</v>
      </c>
      <c r="BO1142" s="169">
        <v>0</v>
      </c>
      <c r="BP1142" s="170">
        <v>25</v>
      </c>
      <c r="BX1142" s="165">
        <v>655</v>
      </c>
      <c r="BY1142" s="167">
        <v>0.44014084507042256</v>
      </c>
      <c r="BZ1142" s="168">
        <v>-2.6</v>
      </c>
      <c r="CA1142" s="169">
        <v>-0.2</v>
      </c>
      <c r="CB1142" s="170">
        <v>24</v>
      </c>
      <c r="CD1142" s="165">
        <v>51</v>
      </c>
      <c r="CE1142" s="167">
        <v>0.26362038664323373</v>
      </c>
      <c r="CF1142" s="168">
        <v>-2.8</v>
      </c>
      <c r="CG1142" s="169">
        <v>-0.6</v>
      </c>
      <c r="CH1142" s="170">
        <v>22</v>
      </c>
      <c r="CJ1142" s="165">
        <v>4</v>
      </c>
      <c r="CK1142" s="167">
        <v>0.43936731107205629</v>
      </c>
      <c r="CL1142" s="168">
        <v>-2.6</v>
      </c>
      <c r="CM1142" s="169">
        <v>-0.2</v>
      </c>
      <c r="CN1142" s="170">
        <v>24</v>
      </c>
      <c r="CP1142" s="165">
        <v>469</v>
      </c>
      <c r="CQ1142" s="167">
        <v>0.26362038664323373</v>
      </c>
      <c r="CR1142" s="168">
        <v>-2.8</v>
      </c>
      <c r="CS1142" s="169">
        <v>-0.6</v>
      </c>
      <c r="CT1142" s="170">
        <v>22</v>
      </c>
      <c r="CV1142" s="165">
        <v>1</v>
      </c>
      <c r="CW1142" s="167">
        <v>1.6725352112676055</v>
      </c>
      <c r="CX1142" s="168">
        <v>-2.1</v>
      </c>
      <c r="CY1142" s="169">
        <v>0.8</v>
      </c>
      <c r="CZ1142" s="170">
        <v>29</v>
      </c>
      <c r="DB1142" s="165">
        <v>0.5</v>
      </c>
      <c r="DC1142" s="167">
        <v>0.47732696897374705</v>
      </c>
      <c r="DD1142" s="168">
        <v>-2.6</v>
      </c>
      <c r="DE1142" s="169">
        <v>-0.2</v>
      </c>
      <c r="DF1142" s="170">
        <v>24</v>
      </c>
    </row>
    <row r="1143" spans="15:110" ht="13.15" hidden="1" thickBot="1" x14ac:dyDescent="0.25">
      <c r="S1143" s="178" t="e">
        <f>IF(F131&lt;0,0,IF(F131&gt;2,2,F131))</f>
        <v>#REF!</v>
      </c>
      <c r="U1143" s="180" t="s">
        <v>281</v>
      </c>
      <c r="AB1143" s="165">
        <v>5</v>
      </c>
      <c r="AC1143" s="167">
        <v>1.4084507042253522</v>
      </c>
      <c r="AD1143" s="168">
        <v>-2.2000000000000002</v>
      </c>
      <c r="AE1143" s="169">
        <v>0.6</v>
      </c>
      <c r="AF1143" s="170">
        <v>28</v>
      </c>
      <c r="AG1143" s="20">
        <f t="shared" si="22"/>
        <v>4</v>
      </c>
      <c r="AH1143" s="165">
        <v>2</v>
      </c>
      <c r="AI1143" s="167">
        <v>1.1484098939929328</v>
      </c>
      <c r="AJ1143" s="168">
        <v>-2.2999999999999998</v>
      </c>
      <c r="AK1143" s="169">
        <v>0.4</v>
      </c>
      <c r="AL1143" s="170">
        <v>27</v>
      </c>
      <c r="AM1143" s="20">
        <f t="shared" si="21"/>
        <v>11</v>
      </c>
      <c r="AN1143" s="165">
        <v>5.5</v>
      </c>
      <c r="AO1143" s="167">
        <v>3.697183098591549</v>
      </c>
      <c r="AP1143" s="168">
        <v>-1.8</v>
      </c>
      <c r="AQ1143" s="169">
        <v>1.4</v>
      </c>
      <c r="AR1143" s="170">
        <v>32</v>
      </c>
      <c r="AS1143" s="20">
        <f t="shared" si="20"/>
        <v>10</v>
      </c>
      <c r="AT1143" s="165">
        <v>5</v>
      </c>
      <c r="AU1143" s="167">
        <v>0.35149384885764495</v>
      </c>
      <c r="AV1143" s="168">
        <v>-2.7</v>
      </c>
      <c r="AW1143" s="169">
        <v>-0.4</v>
      </c>
      <c r="AX1143" s="170">
        <v>23</v>
      </c>
      <c r="AY1143" s="20">
        <f t="shared" si="23"/>
        <v>11</v>
      </c>
      <c r="AZ1143" s="165">
        <v>5.5</v>
      </c>
      <c r="BA1143" s="167">
        <v>0.70298769771528991</v>
      </c>
      <c r="BB1143" s="168">
        <v>-2.5</v>
      </c>
      <c r="BC1143" s="169">
        <v>0</v>
      </c>
      <c r="BD1143" s="170">
        <v>25</v>
      </c>
      <c r="BK1143" s="20">
        <f t="shared" si="19"/>
        <v>69</v>
      </c>
      <c r="BL1143" s="165">
        <v>6.9</v>
      </c>
      <c r="BM1143" s="167">
        <v>1.0600706713780919</v>
      </c>
      <c r="BN1143" s="168">
        <v>-2.2999999999999998</v>
      </c>
      <c r="BO1143" s="169">
        <v>0.4</v>
      </c>
      <c r="BP1143" s="170">
        <v>27</v>
      </c>
      <c r="BX1143" s="165">
        <v>654</v>
      </c>
      <c r="BY1143" s="167">
        <v>0.44014084507042256</v>
      </c>
      <c r="BZ1143" s="168">
        <v>-2.6</v>
      </c>
      <c r="CA1143" s="169">
        <v>-0.2</v>
      </c>
      <c r="CB1143" s="170">
        <v>24</v>
      </c>
      <c r="CD1143" s="165">
        <v>50</v>
      </c>
      <c r="CE1143" s="167">
        <v>0.26362038664323373</v>
      </c>
      <c r="CF1143" s="168">
        <v>-2.8</v>
      </c>
      <c r="CG1143" s="169">
        <v>-0.6</v>
      </c>
      <c r="CH1143" s="170">
        <v>22</v>
      </c>
      <c r="CJ1143" s="165">
        <v>3</v>
      </c>
      <c r="CK1143" s="167">
        <v>0.70298769771528991</v>
      </c>
      <c r="CL1143" s="168">
        <v>-2.5</v>
      </c>
      <c r="CM1143" s="169">
        <v>0</v>
      </c>
      <c r="CN1143" s="170">
        <v>25</v>
      </c>
      <c r="CP1143" s="165">
        <v>468</v>
      </c>
      <c r="CQ1143" s="167">
        <v>0.26362038664323373</v>
      </c>
      <c r="CR1143" s="168">
        <v>-2.8</v>
      </c>
      <c r="CS1143" s="169">
        <v>-0.6</v>
      </c>
      <c r="CT1143" s="170">
        <v>22</v>
      </c>
      <c r="CV1143" s="172">
        <v>0</v>
      </c>
      <c r="CW1143" s="173">
        <v>51.232394366197184</v>
      </c>
      <c r="CX1143" s="174">
        <v>0</v>
      </c>
      <c r="CY1143" s="175">
        <v>5</v>
      </c>
      <c r="CZ1143" s="176">
        <v>50</v>
      </c>
      <c r="DB1143" s="165">
        <v>0.6</v>
      </c>
      <c r="DC1143" s="167">
        <v>0.47732696897374705</v>
      </c>
      <c r="DD1143" s="168">
        <v>-2.6</v>
      </c>
      <c r="DE1143" s="169">
        <v>-0.2</v>
      </c>
      <c r="DF1143" s="170">
        <v>24</v>
      </c>
    </row>
    <row r="1144" spans="15:110" hidden="1" x14ac:dyDescent="0.2">
      <c r="S1144" s="178" t="e">
        <f>IF(F132&lt;0,0,IF(F132&gt;3,3,F132))</f>
        <v>#REF!</v>
      </c>
      <c r="U1144" s="180" t="s">
        <v>281</v>
      </c>
      <c r="AB1144" s="165">
        <v>6</v>
      </c>
      <c r="AC1144" s="167">
        <v>2.992957746478873</v>
      </c>
      <c r="AD1144" s="168">
        <v>-1.9</v>
      </c>
      <c r="AE1144" s="169">
        <v>1.2</v>
      </c>
      <c r="AF1144" s="170">
        <v>31</v>
      </c>
      <c r="AG1144" s="20">
        <f t="shared" si="22"/>
        <v>5</v>
      </c>
      <c r="AH1144" s="165">
        <v>2.5</v>
      </c>
      <c r="AI1144" s="167">
        <v>1.7667844522968199</v>
      </c>
      <c r="AJ1144" s="168">
        <v>-2.1</v>
      </c>
      <c r="AK1144" s="169">
        <v>0.8</v>
      </c>
      <c r="AL1144" s="170">
        <v>29</v>
      </c>
      <c r="AM1144" s="20">
        <f t="shared" si="21"/>
        <v>12</v>
      </c>
      <c r="AN1144" s="165">
        <v>6</v>
      </c>
      <c r="AO1144" s="167">
        <v>4.753521126760563</v>
      </c>
      <c r="AP1144" s="168">
        <v>-1.7</v>
      </c>
      <c r="AQ1144" s="169">
        <v>1.6</v>
      </c>
      <c r="AR1144" s="170">
        <v>33</v>
      </c>
      <c r="AS1144" s="20">
        <f t="shared" si="20"/>
        <v>11</v>
      </c>
      <c r="AT1144" s="165">
        <v>5.5</v>
      </c>
      <c r="AU1144" s="167">
        <v>0.70298769771528991</v>
      </c>
      <c r="AV1144" s="168">
        <v>-2.5</v>
      </c>
      <c r="AW1144" s="169">
        <v>0</v>
      </c>
      <c r="AX1144" s="170">
        <v>25</v>
      </c>
      <c r="AY1144" s="20">
        <f t="shared" si="23"/>
        <v>10</v>
      </c>
      <c r="AZ1144" s="165">
        <v>5</v>
      </c>
      <c r="BA1144" s="167">
        <v>1.2302284710017575</v>
      </c>
      <c r="BB1144" s="168">
        <v>-2.2000000000000002</v>
      </c>
      <c r="BC1144" s="169">
        <v>0.6</v>
      </c>
      <c r="BD1144" s="170">
        <v>28</v>
      </c>
      <c r="BK1144" s="20">
        <f t="shared" si="19"/>
        <v>68</v>
      </c>
      <c r="BL1144" s="165">
        <v>6.8</v>
      </c>
      <c r="BM1144" s="167">
        <v>1.0600706713780919</v>
      </c>
      <c r="BN1144" s="168">
        <v>-2.2999999999999998</v>
      </c>
      <c r="BO1144" s="169">
        <v>0.4</v>
      </c>
      <c r="BP1144" s="170">
        <v>27</v>
      </c>
      <c r="BX1144" s="165">
        <v>653</v>
      </c>
      <c r="BY1144" s="167">
        <v>0.44014084507042256</v>
      </c>
      <c r="BZ1144" s="168">
        <v>-2.6</v>
      </c>
      <c r="CA1144" s="169">
        <v>-0.2</v>
      </c>
      <c r="CB1144" s="170">
        <v>24</v>
      </c>
      <c r="CD1144" s="165">
        <v>49</v>
      </c>
      <c r="CE1144" s="167">
        <v>0.26362038664323373</v>
      </c>
      <c r="CF1144" s="168">
        <v>-2.8</v>
      </c>
      <c r="CG1144" s="169">
        <v>-0.6</v>
      </c>
      <c r="CH1144" s="170">
        <v>22</v>
      </c>
      <c r="CJ1144" s="165">
        <v>2</v>
      </c>
      <c r="CK1144" s="167">
        <v>1.7574692442882252</v>
      </c>
      <c r="CL1144" s="168">
        <v>-2.1</v>
      </c>
      <c r="CM1144" s="169">
        <v>0.8</v>
      </c>
      <c r="CN1144" s="170">
        <v>29</v>
      </c>
      <c r="CP1144" s="165">
        <v>467</v>
      </c>
      <c r="CQ1144" s="167">
        <v>0.26362038664323373</v>
      </c>
      <c r="CR1144" s="168">
        <v>-2.8</v>
      </c>
      <c r="CS1144" s="169">
        <v>-0.6</v>
      </c>
      <c r="CT1144" s="170">
        <v>22</v>
      </c>
      <c r="DB1144" s="165">
        <v>0.7</v>
      </c>
      <c r="DC1144" s="167">
        <v>50.35799522673031</v>
      </c>
      <c r="DD1144" s="168">
        <v>0</v>
      </c>
      <c r="DE1144" s="169">
        <v>5</v>
      </c>
      <c r="DF1144" s="170">
        <v>50</v>
      </c>
    </row>
    <row r="1145" spans="15:110" ht="13.15" hidden="1" thickBot="1" x14ac:dyDescent="0.25">
      <c r="AB1145" s="165">
        <v>7</v>
      </c>
      <c r="AC1145" s="167">
        <v>5.28169014084507</v>
      </c>
      <c r="AD1145" s="168">
        <v>-1.6</v>
      </c>
      <c r="AE1145" s="169">
        <v>1.8</v>
      </c>
      <c r="AF1145" s="170">
        <v>34</v>
      </c>
      <c r="AG1145" s="20">
        <f t="shared" si="22"/>
        <v>6</v>
      </c>
      <c r="AH1145" s="165">
        <v>3</v>
      </c>
      <c r="AI1145" s="167">
        <v>2.6501766784452299</v>
      </c>
      <c r="AJ1145" s="168">
        <v>-1.9</v>
      </c>
      <c r="AK1145" s="169">
        <v>1.2</v>
      </c>
      <c r="AL1145" s="170">
        <v>31</v>
      </c>
      <c r="AM1145" s="20">
        <f t="shared" si="21"/>
        <v>13</v>
      </c>
      <c r="AN1145" s="165">
        <v>6.5</v>
      </c>
      <c r="AO1145" s="167">
        <v>5.897887323943662</v>
      </c>
      <c r="AP1145" s="168">
        <v>-1.6</v>
      </c>
      <c r="AQ1145" s="169">
        <v>1.8</v>
      </c>
      <c r="AR1145" s="170">
        <v>34</v>
      </c>
      <c r="AS1145" s="20">
        <f t="shared" si="20"/>
        <v>12</v>
      </c>
      <c r="AT1145" s="165">
        <v>6</v>
      </c>
      <c r="AU1145" s="167">
        <v>0.96660808435852363</v>
      </c>
      <c r="AV1145" s="168">
        <v>-2.2999999999999998</v>
      </c>
      <c r="AW1145" s="169">
        <v>0.4</v>
      </c>
      <c r="AX1145" s="170">
        <v>27</v>
      </c>
      <c r="AY1145" s="20">
        <f t="shared" si="23"/>
        <v>9</v>
      </c>
      <c r="AZ1145" s="165">
        <v>4.5</v>
      </c>
      <c r="BA1145" s="167">
        <v>2.8119507908611596</v>
      </c>
      <c r="BB1145" s="168">
        <v>-1.9</v>
      </c>
      <c r="BC1145" s="169">
        <v>1.2</v>
      </c>
      <c r="BD1145" s="170">
        <v>31</v>
      </c>
      <c r="BK1145" s="20">
        <f t="shared" si="19"/>
        <v>67</v>
      </c>
      <c r="BL1145" s="165">
        <v>6.7</v>
      </c>
      <c r="BM1145" s="167">
        <v>1.0600706713780919</v>
      </c>
      <c r="BN1145" s="168">
        <v>-2.2999999999999998</v>
      </c>
      <c r="BO1145" s="169">
        <v>0.4</v>
      </c>
      <c r="BP1145" s="170">
        <v>27</v>
      </c>
      <c r="BX1145" s="165">
        <v>652</v>
      </c>
      <c r="BY1145" s="167">
        <v>0.44014084507042256</v>
      </c>
      <c r="BZ1145" s="168">
        <v>-2.6</v>
      </c>
      <c r="CA1145" s="169">
        <v>-0.2</v>
      </c>
      <c r="CB1145" s="170">
        <v>24</v>
      </c>
      <c r="CD1145" s="165">
        <v>48</v>
      </c>
      <c r="CE1145" s="167">
        <v>0.26362038664323373</v>
      </c>
      <c r="CF1145" s="168">
        <v>-2.8</v>
      </c>
      <c r="CG1145" s="169">
        <v>-0.6</v>
      </c>
      <c r="CH1145" s="170">
        <v>22</v>
      </c>
      <c r="CJ1145" s="165">
        <v>1</v>
      </c>
      <c r="CK1145" s="167">
        <v>3.5149384885764503</v>
      </c>
      <c r="CL1145" s="168">
        <v>-1.8</v>
      </c>
      <c r="CM1145" s="169">
        <v>1.4</v>
      </c>
      <c r="CN1145" s="170">
        <v>32</v>
      </c>
      <c r="CP1145" s="165">
        <v>466</v>
      </c>
      <c r="CQ1145" s="167">
        <v>0.26362038664323373</v>
      </c>
      <c r="CR1145" s="168">
        <v>-2.8</v>
      </c>
      <c r="CS1145" s="169">
        <v>-0.6</v>
      </c>
      <c r="CT1145" s="170">
        <v>22</v>
      </c>
      <c r="DB1145" s="165">
        <v>0.8</v>
      </c>
      <c r="DC1145" s="167">
        <v>50.35799522673031</v>
      </c>
      <c r="DD1145" s="168">
        <v>0</v>
      </c>
      <c r="DE1145" s="169">
        <v>5</v>
      </c>
      <c r="DF1145" s="170">
        <v>50</v>
      </c>
    </row>
    <row r="1146" spans="15:110" ht="13.8" hidden="1" thickBot="1" x14ac:dyDescent="0.3">
      <c r="AB1146" s="165">
        <v>8</v>
      </c>
      <c r="AC1146" s="167">
        <v>8.8028169014084501</v>
      </c>
      <c r="AD1146" s="168">
        <v>-1.4</v>
      </c>
      <c r="AE1146" s="169">
        <v>2.2000000000000002</v>
      </c>
      <c r="AF1146" s="170">
        <v>36</v>
      </c>
      <c r="AG1146" s="20">
        <f t="shared" si="22"/>
        <v>7</v>
      </c>
      <c r="AH1146" s="165">
        <v>3.5</v>
      </c>
      <c r="AI1146" s="167">
        <v>3.6219081272084805</v>
      </c>
      <c r="AJ1146" s="168">
        <v>-1.8</v>
      </c>
      <c r="AK1146" s="169">
        <v>1.4</v>
      </c>
      <c r="AL1146" s="170">
        <v>32</v>
      </c>
      <c r="AM1146" s="20">
        <f t="shared" si="21"/>
        <v>14</v>
      </c>
      <c r="AN1146" s="165">
        <v>7</v>
      </c>
      <c r="AO1146" s="167">
        <v>8.362676056338028</v>
      </c>
      <c r="AP1146" s="168">
        <v>-1.4</v>
      </c>
      <c r="AQ1146" s="169">
        <v>2.2000000000000002</v>
      </c>
      <c r="AR1146" s="170">
        <v>36</v>
      </c>
      <c r="AS1146" s="20">
        <f t="shared" si="20"/>
        <v>13</v>
      </c>
      <c r="AT1146" s="165">
        <v>6.5</v>
      </c>
      <c r="AU1146" s="167">
        <v>0.96660808435852363</v>
      </c>
      <c r="AV1146" s="168">
        <v>-2.2999999999999998</v>
      </c>
      <c r="AW1146" s="169">
        <v>0.4</v>
      </c>
      <c r="AX1146" s="170">
        <v>27</v>
      </c>
      <c r="AY1146" s="20">
        <f t="shared" si="23"/>
        <v>8</v>
      </c>
      <c r="AZ1146" s="165">
        <v>4</v>
      </c>
      <c r="BA1146" s="167">
        <v>5.5360281195079093</v>
      </c>
      <c r="BB1146" s="168">
        <v>-1.6</v>
      </c>
      <c r="BC1146" s="169">
        <v>1.8</v>
      </c>
      <c r="BD1146" s="170">
        <v>34</v>
      </c>
      <c r="BK1146" s="20">
        <f t="shared" si="19"/>
        <v>66</v>
      </c>
      <c r="BL1146" s="165">
        <v>6.6</v>
      </c>
      <c r="BM1146" s="167">
        <v>1.0600706713780919</v>
      </c>
      <c r="BN1146" s="168">
        <v>-2.2999999999999998</v>
      </c>
      <c r="BO1146" s="169">
        <v>0.4</v>
      </c>
      <c r="BP1146" s="170">
        <v>27</v>
      </c>
      <c r="BX1146" s="165">
        <v>651</v>
      </c>
      <c r="BY1146" s="167">
        <v>0.44014084507042256</v>
      </c>
      <c r="BZ1146" s="168">
        <v>-2.6</v>
      </c>
      <c r="CA1146" s="169">
        <v>-0.2</v>
      </c>
      <c r="CB1146" s="170">
        <v>24</v>
      </c>
      <c r="CD1146" s="165">
        <v>47</v>
      </c>
      <c r="CE1146" s="167">
        <v>0.26362038664323373</v>
      </c>
      <c r="CF1146" s="168">
        <v>-2.8</v>
      </c>
      <c r="CG1146" s="169">
        <v>-0.6</v>
      </c>
      <c r="CH1146" s="170">
        <v>22</v>
      </c>
      <c r="CJ1146" s="172">
        <v>0</v>
      </c>
      <c r="CK1146" s="173">
        <v>52.196836555360285</v>
      </c>
      <c r="CL1146" s="174">
        <v>0.1</v>
      </c>
      <c r="CM1146" s="175">
        <v>5.2</v>
      </c>
      <c r="CN1146" s="176">
        <v>51</v>
      </c>
      <c r="CP1146" s="165">
        <v>465</v>
      </c>
      <c r="CQ1146" s="167">
        <v>0.26362038664323373</v>
      </c>
      <c r="CR1146" s="168">
        <v>-2.8</v>
      </c>
      <c r="CS1146" s="169">
        <v>-0.6</v>
      </c>
      <c r="CT1146" s="170">
        <v>22</v>
      </c>
      <c r="CV1146" s="138" t="s">
        <v>102</v>
      </c>
      <c r="CW1146" s="139"/>
      <c r="CX1146" s="139"/>
      <c r="CY1146" s="140" t="s">
        <v>215</v>
      </c>
      <c r="CZ1146" s="141">
        <v>568</v>
      </c>
      <c r="DB1146" s="165">
        <v>0.9</v>
      </c>
      <c r="DC1146" s="167">
        <v>50.35799522673031</v>
      </c>
      <c r="DD1146" s="168">
        <v>0</v>
      </c>
      <c r="DE1146" s="169">
        <v>5</v>
      </c>
      <c r="DF1146" s="170">
        <v>50</v>
      </c>
    </row>
    <row r="1147" spans="15:110" ht="13.15" hidden="1" thickBot="1" x14ac:dyDescent="0.25">
      <c r="AB1147" s="165">
        <v>9</v>
      </c>
      <c r="AC1147" s="167">
        <v>14.43661971830986</v>
      </c>
      <c r="AD1147" s="168">
        <v>-1.1000000000000001</v>
      </c>
      <c r="AE1147" s="169">
        <v>2.8</v>
      </c>
      <c r="AF1147" s="170">
        <v>39</v>
      </c>
      <c r="AG1147" s="20">
        <f t="shared" si="22"/>
        <v>8</v>
      </c>
      <c r="AH1147" s="165">
        <v>4</v>
      </c>
      <c r="AI1147" s="167">
        <v>4.681978798586572</v>
      </c>
      <c r="AJ1147" s="168">
        <v>-1.7</v>
      </c>
      <c r="AK1147" s="169">
        <v>1.6</v>
      </c>
      <c r="AL1147" s="170">
        <v>33</v>
      </c>
      <c r="AM1147" s="20">
        <f t="shared" si="21"/>
        <v>15</v>
      </c>
      <c r="AN1147" s="165">
        <v>7.5</v>
      </c>
      <c r="AO1147" s="167">
        <v>11.179577464788732</v>
      </c>
      <c r="AP1147" s="168">
        <v>-1.2</v>
      </c>
      <c r="AQ1147" s="169">
        <v>2.6</v>
      </c>
      <c r="AR1147" s="170">
        <v>38</v>
      </c>
      <c r="AS1147" s="20">
        <f t="shared" si="20"/>
        <v>14</v>
      </c>
      <c r="AT1147" s="165">
        <v>7</v>
      </c>
      <c r="AU1147" s="167">
        <v>1.1423550087873462</v>
      </c>
      <c r="AV1147" s="168">
        <v>-2.2999999999999998</v>
      </c>
      <c r="AW1147" s="169">
        <v>0.4</v>
      </c>
      <c r="AX1147" s="170">
        <v>27</v>
      </c>
      <c r="AY1147" s="20">
        <f t="shared" si="23"/>
        <v>7</v>
      </c>
      <c r="AZ1147" s="165">
        <v>3.5</v>
      </c>
      <c r="BA1147" s="167">
        <v>9.9297012302284706</v>
      </c>
      <c r="BB1147" s="168">
        <v>-1.3</v>
      </c>
      <c r="BC1147" s="169">
        <v>2.4</v>
      </c>
      <c r="BD1147" s="170">
        <v>37</v>
      </c>
      <c r="BK1147" s="20">
        <f t="shared" si="19"/>
        <v>65</v>
      </c>
      <c r="BL1147" s="165">
        <v>6.5</v>
      </c>
      <c r="BM1147" s="167">
        <v>1.0600706713780919</v>
      </c>
      <c r="BN1147" s="168">
        <v>-2.2999999999999998</v>
      </c>
      <c r="BO1147" s="169">
        <v>0.4</v>
      </c>
      <c r="BP1147" s="170">
        <v>27</v>
      </c>
      <c r="BX1147" s="165">
        <v>650</v>
      </c>
      <c r="BY1147" s="167">
        <v>0.44014084507042256</v>
      </c>
      <c r="BZ1147" s="168">
        <v>-2.6</v>
      </c>
      <c r="CA1147" s="169">
        <v>-0.2</v>
      </c>
      <c r="CB1147" s="170">
        <v>24</v>
      </c>
      <c r="CD1147" s="165">
        <v>46</v>
      </c>
      <c r="CE1147" s="167">
        <v>0.26362038664323373</v>
      </c>
      <c r="CF1147" s="168">
        <v>-2.8</v>
      </c>
      <c r="CG1147" s="169">
        <v>-0.6</v>
      </c>
      <c r="CH1147" s="170">
        <v>22</v>
      </c>
      <c r="CP1147" s="165">
        <v>464</v>
      </c>
      <c r="CQ1147" s="167">
        <v>0.26362038664323373</v>
      </c>
      <c r="CR1147" s="168">
        <v>-2.8</v>
      </c>
      <c r="CS1147" s="169">
        <v>-0.6</v>
      </c>
      <c r="CT1147" s="170">
        <v>22</v>
      </c>
      <c r="CV1147" s="144" t="s">
        <v>161</v>
      </c>
      <c r="CZ1147" s="145"/>
      <c r="DB1147" s="172">
        <v>1</v>
      </c>
      <c r="DC1147" s="173">
        <v>50.35799522673031</v>
      </c>
      <c r="DD1147" s="174">
        <v>0</v>
      </c>
      <c r="DE1147" s="175">
        <v>5</v>
      </c>
      <c r="DF1147" s="176">
        <v>50</v>
      </c>
    </row>
    <row r="1148" spans="15:110" ht="13.15" hidden="1" thickBot="1" x14ac:dyDescent="0.25">
      <c r="S1148" s="178" t="e">
        <f>IF(T1148&lt;3,3,IF(T1148&gt;16,16,T1148))</f>
        <v>#REF!</v>
      </c>
      <c r="T1148" s="178" t="e">
        <f>$F137-6*$R$1031-1*$R$1030</f>
        <v>#REF!</v>
      </c>
      <c r="U1148" s="180" t="s">
        <v>289</v>
      </c>
      <c r="AB1148" s="165">
        <v>10</v>
      </c>
      <c r="AC1148" s="167">
        <v>21.919014084507044</v>
      </c>
      <c r="AD1148" s="168">
        <v>-0.8</v>
      </c>
      <c r="AE1148" s="169">
        <v>3.4</v>
      </c>
      <c r="AF1148" s="170">
        <v>42</v>
      </c>
      <c r="AG1148" s="20">
        <f t="shared" si="22"/>
        <v>9</v>
      </c>
      <c r="AH1148" s="165">
        <v>4.5</v>
      </c>
      <c r="AI1148" s="167">
        <v>6.5371024734982335</v>
      </c>
      <c r="AJ1148" s="168">
        <v>-1.5</v>
      </c>
      <c r="AK1148" s="169">
        <v>2</v>
      </c>
      <c r="AL1148" s="170">
        <v>35</v>
      </c>
      <c r="AM1148" s="20">
        <f t="shared" si="21"/>
        <v>16</v>
      </c>
      <c r="AN1148" s="165">
        <v>8</v>
      </c>
      <c r="AO1148" s="167">
        <v>13.6443661971831</v>
      </c>
      <c r="AP1148" s="168">
        <v>-1.1000000000000001</v>
      </c>
      <c r="AQ1148" s="169">
        <v>2.8</v>
      </c>
      <c r="AR1148" s="170">
        <v>39</v>
      </c>
      <c r="AS1148" s="20">
        <f t="shared" si="20"/>
        <v>15</v>
      </c>
      <c r="AT1148" s="165">
        <v>7.5</v>
      </c>
      <c r="AU1148" s="167">
        <v>1.3181019332161688</v>
      </c>
      <c r="AV1148" s="168">
        <v>-2.2000000000000002</v>
      </c>
      <c r="AW1148" s="169">
        <v>0.6</v>
      </c>
      <c r="AX1148" s="170">
        <v>28</v>
      </c>
      <c r="AY1148" s="20">
        <f t="shared" si="23"/>
        <v>6</v>
      </c>
      <c r="AZ1148" s="165">
        <v>3</v>
      </c>
      <c r="BA1148" s="167">
        <v>16.871704745166959</v>
      </c>
      <c r="BB1148" s="168">
        <v>-1</v>
      </c>
      <c r="BC1148" s="169">
        <v>3</v>
      </c>
      <c r="BD1148" s="170">
        <v>40</v>
      </c>
      <c r="BK1148" s="20">
        <f t="shared" si="19"/>
        <v>64</v>
      </c>
      <c r="BL1148" s="165">
        <v>6.4</v>
      </c>
      <c r="BM1148" s="167">
        <v>2.2084805653710249</v>
      </c>
      <c r="BN1148" s="168">
        <v>-2</v>
      </c>
      <c r="BO1148" s="169">
        <v>1</v>
      </c>
      <c r="BP1148" s="170">
        <v>30</v>
      </c>
      <c r="BX1148" s="165">
        <v>649</v>
      </c>
      <c r="BY1148" s="167">
        <v>0.44014084507042256</v>
      </c>
      <c r="BZ1148" s="168">
        <v>-2.6</v>
      </c>
      <c r="CA1148" s="169">
        <v>-0.2</v>
      </c>
      <c r="CB1148" s="170">
        <v>24</v>
      </c>
      <c r="CD1148" s="165">
        <v>45</v>
      </c>
      <c r="CE1148" s="167">
        <v>0.26362038664323373</v>
      </c>
      <c r="CF1148" s="168">
        <v>-2.8</v>
      </c>
      <c r="CG1148" s="169">
        <v>-0.6</v>
      </c>
      <c r="CH1148" s="170">
        <v>22</v>
      </c>
      <c r="CP1148" s="165">
        <v>463</v>
      </c>
      <c r="CQ1148" s="167">
        <v>0.26362038664323373</v>
      </c>
      <c r="CR1148" s="168">
        <v>-2.8</v>
      </c>
      <c r="CS1148" s="169">
        <v>-0.6</v>
      </c>
      <c r="CT1148" s="170">
        <v>22</v>
      </c>
      <c r="CV1148" s="147"/>
      <c r="CW1148" s="148"/>
      <c r="CX1148" s="179" t="s">
        <v>170</v>
      </c>
      <c r="CY1148" s="148"/>
      <c r="CZ1148" s="149"/>
    </row>
    <row r="1149" spans="15:110" ht="13.8" hidden="1" thickBot="1" x14ac:dyDescent="0.3">
      <c r="S1149" s="178" t="e">
        <f>IF(T1149&lt;0,0,IF(T1149&gt;15,15,T1149))</f>
        <v>#REF!</v>
      </c>
      <c r="T1149" s="178" t="e">
        <f>F138-0.03*$R$1029+0.02*$R$1032</f>
        <v>#REF!</v>
      </c>
      <c r="U1149" s="180" t="s">
        <v>290</v>
      </c>
      <c r="AB1149" s="165">
        <v>11</v>
      </c>
      <c r="AC1149" s="167">
        <v>30.985915492957744</v>
      </c>
      <c r="AD1149" s="168">
        <v>-0.5</v>
      </c>
      <c r="AE1149" s="169">
        <v>4</v>
      </c>
      <c r="AF1149" s="170">
        <v>45</v>
      </c>
      <c r="AG1149" s="20">
        <f t="shared" si="22"/>
        <v>10</v>
      </c>
      <c r="AH1149" s="165">
        <v>5</v>
      </c>
      <c r="AI1149" s="167">
        <v>8.8339222614840995</v>
      </c>
      <c r="AJ1149" s="168">
        <v>-1.4</v>
      </c>
      <c r="AK1149" s="169">
        <v>2.2000000000000002</v>
      </c>
      <c r="AL1149" s="170">
        <v>36</v>
      </c>
      <c r="AM1149" s="20">
        <f t="shared" si="21"/>
        <v>17</v>
      </c>
      <c r="AN1149" s="165">
        <v>8.5</v>
      </c>
      <c r="AO1149" s="167">
        <v>16.02112676056338</v>
      </c>
      <c r="AP1149" s="168">
        <v>-1</v>
      </c>
      <c r="AQ1149" s="169">
        <v>3</v>
      </c>
      <c r="AR1149" s="170">
        <v>40</v>
      </c>
      <c r="AS1149" s="20">
        <f t="shared" si="20"/>
        <v>16</v>
      </c>
      <c r="AT1149" s="165">
        <v>8</v>
      </c>
      <c r="AU1149" s="167">
        <v>1.6695957820738139</v>
      </c>
      <c r="AV1149" s="168">
        <v>-2.1</v>
      </c>
      <c r="AW1149" s="169">
        <v>0.8</v>
      </c>
      <c r="AX1149" s="170">
        <v>29</v>
      </c>
      <c r="AY1149" s="20">
        <f t="shared" si="23"/>
        <v>5</v>
      </c>
      <c r="AZ1149" s="165">
        <v>2.5</v>
      </c>
      <c r="BA1149" s="167">
        <v>26.625659050966611</v>
      </c>
      <c r="BB1149" s="168">
        <v>-0.6</v>
      </c>
      <c r="BC1149" s="169">
        <v>3.8</v>
      </c>
      <c r="BD1149" s="170">
        <v>44</v>
      </c>
      <c r="BK1149" s="20">
        <f t="shared" si="19"/>
        <v>63</v>
      </c>
      <c r="BL1149" s="165">
        <v>6.3</v>
      </c>
      <c r="BM1149" s="167">
        <v>2.2084805653710249</v>
      </c>
      <c r="BN1149" s="168">
        <v>-2</v>
      </c>
      <c r="BO1149" s="169">
        <v>1</v>
      </c>
      <c r="BP1149" s="170">
        <v>30</v>
      </c>
      <c r="BX1149" s="165">
        <v>648</v>
      </c>
      <c r="BY1149" s="167">
        <v>0.44014084507042256</v>
      </c>
      <c r="BZ1149" s="168">
        <v>-2.6</v>
      </c>
      <c r="CA1149" s="169">
        <v>-0.2</v>
      </c>
      <c r="CB1149" s="170">
        <v>24</v>
      </c>
      <c r="CD1149" s="165">
        <v>44</v>
      </c>
      <c r="CE1149" s="167">
        <v>0.26362038664323373</v>
      </c>
      <c r="CF1149" s="168">
        <v>-2.8</v>
      </c>
      <c r="CG1149" s="169">
        <v>-0.6</v>
      </c>
      <c r="CH1149" s="170">
        <v>22</v>
      </c>
      <c r="CJ1149" s="138" t="s">
        <v>240</v>
      </c>
      <c r="CK1149" s="139"/>
      <c r="CL1149" s="139"/>
      <c r="CM1149" s="140" t="s">
        <v>215</v>
      </c>
      <c r="CN1149" s="141">
        <v>569</v>
      </c>
      <c r="CP1149" s="165">
        <v>462</v>
      </c>
      <c r="CQ1149" s="167">
        <v>0.26362038664323373</v>
      </c>
      <c r="CR1149" s="168">
        <v>-2.8</v>
      </c>
      <c r="CS1149" s="169">
        <v>-0.6</v>
      </c>
      <c r="CT1149" s="170">
        <v>22</v>
      </c>
      <c r="CV1149" s="150" t="s">
        <v>164</v>
      </c>
      <c r="CW1149" s="151" t="s">
        <v>108</v>
      </c>
      <c r="CX1149" s="152"/>
      <c r="CY1149" s="152"/>
      <c r="CZ1149" s="153"/>
    </row>
    <row r="1150" spans="15:110" ht="13.8" hidden="1" thickBot="1" x14ac:dyDescent="0.3">
      <c r="O1150" s="20" t="e">
        <f>$F139-2.84*$R$1029-15.68*$R$1030+18</f>
        <v>#REF!</v>
      </c>
      <c r="P1150" s="20" t="e">
        <f>$F139-2.84*$R$1029-15.68*$R$1030-18</f>
        <v>#REF!</v>
      </c>
      <c r="S1150" s="169">
        <f>IF(T1150&lt;20,20,IF(T1150&gt;720,720,T1150))</f>
        <v>720</v>
      </c>
      <c r="T1150" s="11" t="str">
        <f>IF($C$5="m",O1150,IF($C$5="w",P1150,""))</f>
        <v/>
      </c>
      <c r="U1150" s="180" t="s">
        <v>291</v>
      </c>
      <c r="AB1150" s="165">
        <v>12</v>
      </c>
      <c r="AC1150" s="167">
        <v>42.077464788732392</v>
      </c>
      <c r="AD1150" s="168">
        <v>-0.2</v>
      </c>
      <c r="AE1150" s="169">
        <v>4.5999999999999996</v>
      </c>
      <c r="AF1150" s="170">
        <v>48</v>
      </c>
      <c r="AG1150" s="20">
        <f t="shared" si="22"/>
        <v>11</v>
      </c>
      <c r="AH1150" s="165">
        <v>5.5</v>
      </c>
      <c r="AI1150" s="167">
        <v>11.395759717314489</v>
      </c>
      <c r="AJ1150" s="168">
        <v>-1.2</v>
      </c>
      <c r="AK1150" s="169">
        <v>2.6</v>
      </c>
      <c r="AL1150" s="170">
        <v>38</v>
      </c>
      <c r="AM1150" s="20">
        <f t="shared" si="21"/>
        <v>18</v>
      </c>
      <c r="AN1150" s="165">
        <v>9</v>
      </c>
      <c r="AO1150" s="167">
        <v>19.454225352112676</v>
      </c>
      <c r="AP1150" s="168">
        <v>-0.9</v>
      </c>
      <c r="AQ1150" s="169">
        <v>3.2</v>
      </c>
      <c r="AR1150" s="170">
        <v>41</v>
      </c>
      <c r="AS1150" s="20">
        <f t="shared" si="20"/>
        <v>17</v>
      </c>
      <c r="AT1150" s="165">
        <v>8.5</v>
      </c>
      <c r="AU1150" s="167">
        <v>2.1968365553602811</v>
      </c>
      <c r="AV1150" s="168">
        <v>-2</v>
      </c>
      <c r="AW1150" s="169">
        <v>1</v>
      </c>
      <c r="AX1150" s="170">
        <v>30</v>
      </c>
      <c r="AY1150" s="20">
        <f t="shared" si="23"/>
        <v>4</v>
      </c>
      <c r="AZ1150" s="165">
        <v>2</v>
      </c>
      <c r="BA1150" s="167">
        <v>38.049209138840069</v>
      </c>
      <c r="BB1150" s="168">
        <v>-0.3</v>
      </c>
      <c r="BC1150" s="169">
        <v>4.4000000000000004</v>
      </c>
      <c r="BD1150" s="170">
        <v>47</v>
      </c>
      <c r="BK1150" s="20">
        <f t="shared" si="19"/>
        <v>62</v>
      </c>
      <c r="BL1150" s="165">
        <v>6.2</v>
      </c>
      <c r="BM1150" s="167">
        <v>2.2084805653710249</v>
      </c>
      <c r="BN1150" s="168">
        <v>-2</v>
      </c>
      <c r="BO1150" s="169">
        <v>1</v>
      </c>
      <c r="BP1150" s="170">
        <v>30</v>
      </c>
      <c r="BX1150" s="165">
        <v>647</v>
      </c>
      <c r="BY1150" s="167">
        <v>0.44014084507042256</v>
      </c>
      <c r="BZ1150" s="168">
        <v>-2.6</v>
      </c>
      <c r="CA1150" s="169">
        <v>-0.2</v>
      </c>
      <c r="CB1150" s="170">
        <v>24</v>
      </c>
      <c r="CD1150" s="165">
        <v>43</v>
      </c>
      <c r="CE1150" s="167">
        <v>0.43936731107205629</v>
      </c>
      <c r="CF1150" s="168">
        <v>-2.6</v>
      </c>
      <c r="CG1150" s="169">
        <v>-0.2</v>
      </c>
      <c r="CH1150" s="170">
        <v>24</v>
      </c>
      <c r="CJ1150" s="144" t="s">
        <v>161</v>
      </c>
      <c r="CN1150" s="145"/>
      <c r="CP1150" s="165">
        <v>461</v>
      </c>
      <c r="CQ1150" s="167">
        <v>0.26362038664323373</v>
      </c>
      <c r="CR1150" s="168">
        <v>-2.8</v>
      </c>
      <c r="CS1150" s="169">
        <v>-0.6</v>
      </c>
      <c r="CT1150" s="170">
        <v>22</v>
      </c>
      <c r="CV1150" s="155" t="s">
        <v>10</v>
      </c>
      <c r="CW1150" s="156" t="s">
        <v>13</v>
      </c>
      <c r="CX1150" s="156" t="s">
        <v>14</v>
      </c>
      <c r="CY1150" s="156" t="s">
        <v>15</v>
      </c>
      <c r="CZ1150" s="159" t="s">
        <v>16</v>
      </c>
      <c r="DB1150" s="138" t="s">
        <v>114</v>
      </c>
      <c r="DC1150" s="139"/>
      <c r="DD1150" s="139"/>
      <c r="DE1150" s="140" t="s">
        <v>215</v>
      </c>
      <c r="DF1150" s="141">
        <v>419</v>
      </c>
    </row>
    <row r="1151" spans="15:110" ht="13.15" hidden="1" thickBot="1" x14ac:dyDescent="0.25">
      <c r="AB1151" s="165">
        <v>13</v>
      </c>
      <c r="AC1151" s="167">
        <v>57.130281690140848</v>
      </c>
      <c r="AD1151" s="168">
        <v>0.2</v>
      </c>
      <c r="AE1151" s="169">
        <v>5.4</v>
      </c>
      <c r="AF1151" s="170">
        <v>52</v>
      </c>
      <c r="AG1151" s="20">
        <f t="shared" si="22"/>
        <v>12</v>
      </c>
      <c r="AH1151" s="165">
        <v>6</v>
      </c>
      <c r="AI1151" s="167">
        <v>15.01766784452297</v>
      </c>
      <c r="AJ1151" s="168">
        <v>-1</v>
      </c>
      <c r="AK1151" s="169">
        <v>3</v>
      </c>
      <c r="AL1151" s="170">
        <v>40</v>
      </c>
      <c r="AM1151" s="20">
        <f t="shared" si="21"/>
        <v>19</v>
      </c>
      <c r="AN1151" s="165">
        <v>9.5</v>
      </c>
      <c r="AO1151" s="167">
        <v>23.06338028169014</v>
      </c>
      <c r="AP1151" s="168">
        <v>-0.7</v>
      </c>
      <c r="AQ1151" s="169">
        <v>3.6</v>
      </c>
      <c r="AR1151" s="170">
        <v>43</v>
      </c>
      <c r="AS1151" s="20">
        <f t="shared" si="20"/>
        <v>18</v>
      </c>
      <c r="AT1151" s="165">
        <v>9</v>
      </c>
      <c r="AU1151" s="167">
        <v>2.7240773286467488</v>
      </c>
      <c r="AV1151" s="168">
        <v>-1.9</v>
      </c>
      <c r="AW1151" s="169">
        <v>1.2</v>
      </c>
      <c r="AX1151" s="170">
        <v>31</v>
      </c>
      <c r="AY1151" s="20">
        <f t="shared" si="23"/>
        <v>3</v>
      </c>
      <c r="AZ1151" s="165">
        <v>1.5</v>
      </c>
      <c r="BA1151" s="167">
        <v>53.427065026362044</v>
      </c>
      <c r="BB1151" s="168">
        <v>0.1</v>
      </c>
      <c r="BC1151" s="169">
        <v>5.2</v>
      </c>
      <c r="BD1151" s="170">
        <v>51</v>
      </c>
      <c r="BK1151" s="20">
        <f t="shared" si="19"/>
        <v>61</v>
      </c>
      <c r="BL1151" s="165">
        <v>6.1</v>
      </c>
      <c r="BM1151" s="167">
        <v>2.2084805653710249</v>
      </c>
      <c r="BN1151" s="168">
        <v>-2</v>
      </c>
      <c r="BO1151" s="169">
        <v>1</v>
      </c>
      <c r="BP1151" s="170">
        <v>30</v>
      </c>
      <c r="BX1151" s="165">
        <v>646</v>
      </c>
      <c r="BY1151" s="167">
        <v>0.44014084507042256</v>
      </c>
      <c r="BZ1151" s="168">
        <v>-2.6</v>
      </c>
      <c r="CA1151" s="169">
        <v>-0.2</v>
      </c>
      <c r="CB1151" s="170">
        <v>24</v>
      </c>
      <c r="CD1151" s="165">
        <v>42</v>
      </c>
      <c r="CE1151" s="167">
        <v>0.43936731107205629</v>
      </c>
      <c r="CF1151" s="168">
        <v>-2.6</v>
      </c>
      <c r="CG1151" s="169">
        <v>-0.2</v>
      </c>
      <c r="CH1151" s="170">
        <v>24</v>
      </c>
      <c r="CJ1151" s="147" t="s">
        <v>239</v>
      </c>
      <c r="CK1151" s="148"/>
      <c r="CL1151" s="148"/>
      <c r="CM1151" s="148"/>
      <c r="CN1151" s="149"/>
      <c r="CP1151" s="165">
        <v>460</v>
      </c>
      <c r="CQ1151" s="167">
        <v>0.26362038664323373</v>
      </c>
      <c r="CR1151" s="168">
        <v>-2.8</v>
      </c>
      <c r="CS1151" s="169">
        <v>-0.6</v>
      </c>
      <c r="CT1151" s="170">
        <v>22</v>
      </c>
      <c r="CV1151" s="160">
        <v>4</v>
      </c>
      <c r="CW1151" s="161">
        <v>8.8028169014084515E-2</v>
      </c>
      <c r="CX1151" s="162">
        <v>-3</v>
      </c>
      <c r="CY1151" s="163">
        <v>-1</v>
      </c>
      <c r="CZ1151" s="164">
        <v>20</v>
      </c>
      <c r="DB1151" s="144" t="s">
        <v>161</v>
      </c>
      <c r="DD1151" s="20" t="s">
        <v>162</v>
      </c>
      <c r="DF1151" s="145"/>
    </row>
    <row r="1152" spans="15:110" ht="13.15" hidden="1" thickBot="1" x14ac:dyDescent="0.25">
      <c r="AB1152" s="165">
        <v>14</v>
      </c>
      <c r="AC1152" s="167">
        <v>74.295774647887328</v>
      </c>
      <c r="AD1152" s="168">
        <v>0.7</v>
      </c>
      <c r="AE1152" s="169">
        <v>6.4</v>
      </c>
      <c r="AF1152" s="170">
        <v>57</v>
      </c>
      <c r="AG1152" s="20">
        <f t="shared" si="22"/>
        <v>13</v>
      </c>
      <c r="AH1152" s="165">
        <v>6.5</v>
      </c>
      <c r="AI1152" s="167">
        <v>19.78798586572438</v>
      </c>
      <c r="AJ1152" s="168">
        <v>-0.9</v>
      </c>
      <c r="AK1152" s="169">
        <v>3.2</v>
      </c>
      <c r="AL1152" s="170">
        <v>41</v>
      </c>
      <c r="AM1152" s="20">
        <f t="shared" si="21"/>
        <v>20</v>
      </c>
      <c r="AN1152" s="165">
        <v>10</v>
      </c>
      <c r="AO1152" s="167">
        <v>27.464788732394368</v>
      </c>
      <c r="AP1152" s="168">
        <v>-0.6</v>
      </c>
      <c r="AQ1152" s="169">
        <v>3.8</v>
      </c>
      <c r="AR1152" s="170">
        <v>44</v>
      </c>
      <c r="AS1152" s="20">
        <f t="shared" si="20"/>
        <v>19</v>
      </c>
      <c r="AT1152" s="165">
        <v>9.5</v>
      </c>
      <c r="AU1152" s="167">
        <v>3.3391915641476277</v>
      </c>
      <c r="AV1152" s="168">
        <v>-1.8</v>
      </c>
      <c r="AW1152" s="169">
        <v>1.4</v>
      </c>
      <c r="AX1152" s="170">
        <v>32</v>
      </c>
      <c r="AY1152" s="20">
        <f t="shared" si="23"/>
        <v>2</v>
      </c>
      <c r="AZ1152" s="165">
        <v>1</v>
      </c>
      <c r="BA1152" s="167">
        <v>71.704745166959583</v>
      </c>
      <c r="BB1152" s="168">
        <v>0.6</v>
      </c>
      <c r="BC1152" s="169">
        <v>6.2</v>
      </c>
      <c r="BD1152" s="170">
        <v>56</v>
      </c>
      <c r="BK1152" s="20">
        <f t="shared" si="19"/>
        <v>60</v>
      </c>
      <c r="BL1152" s="165">
        <v>6</v>
      </c>
      <c r="BM1152" s="167">
        <v>2.2084805653710249</v>
      </c>
      <c r="BN1152" s="168">
        <v>-2</v>
      </c>
      <c r="BO1152" s="169">
        <v>1</v>
      </c>
      <c r="BP1152" s="170">
        <v>30</v>
      </c>
      <c r="BX1152" s="165">
        <v>645</v>
      </c>
      <c r="BY1152" s="167">
        <v>0.44014084507042256</v>
      </c>
      <c r="BZ1152" s="168">
        <v>-2.6</v>
      </c>
      <c r="CA1152" s="169">
        <v>-0.2</v>
      </c>
      <c r="CB1152" s="170">
        <v>24</v>
      </c>
      <c r="CD1152" s="165">
        <v>41</v>
      </c>
      <c r="CE1152" s="167">
        <v>0.61511423550087874</v>
      </c>
      <c r="CF1152" s="168">
        <v>-2.5</v>
      </c>
      <c r="CG1152" s="169">
        <v>0</v>
      </c>
      <c r="CH1152" s="170">
        <v>25</v>
      </c>
      <c r="CJ1152" s="150" t="s">
        <v>164</v>
      </c>
      <c r="CK1152" s="151" t="s">
        <v>243</v>
      </c>
      <c r="CL1152" s="152"/>
      <c r="CM1152" s="152"/>
      <c r="CN1152" s="153"/>
      <c r="CP1152" s="165">
        <v>459</v>
      </c>
      <c r="CQ1152" s="167">
        <v>0.26362038664323373</v>
      </c>
      <c r="CR1152" s="168">
        <v>-2.8</v>
      </c>
      <c r="CS1152" s="169">
        <v>-0.6</v>
      </c>
      <c r="CT1152" s="170">
        <v>22</v>
      </c>
      <c r="CV1152" s="165">
        <v>3</v>
      </c>
      <c r="CW1152" s="167">
        <v>0.61619718309859151</v>
      </c>
      <c r="CX1152" s="168">
        <v>-2.5</v>
      </c>
      <c r="CY1152" s="169">
        <v>0</v>
      </c>
      <c r="CZ1152" s="170">
        <v>25</v>
      </c>
      <c r="DB1152" s="181"/>
      <c r="DC1152" s="148"/>
      <c r="DD1152" s="179" t="s">
        <v>170</v>
      </c>
      <c r="DE1152" s="148"/>
      <c r="DF1152" s="149"/>
    </row>
    <row r="1153" spans="15:110" ht="13.15" hidden="1" thickBot="1" x14ac:dyDescent="0.25">
      <c r="AB1153" s="172">
        <v>15</v>
      </c>
      <c r="AC1153" s="173">
        <v>91.285211267605632</v>
      </c>
      <c r="AD1153" s="174">
        <v>1.4</v>
      </c>
      <c r="AE1153" s="175">
        <v>7.8</v>
      </c>
      <c r="AF1153" s="176">
        <v>64</v>
      </c>
      <c r="AG1153" s="20">
        <f t="shared" si="22"/>
        <v>14</v>
      </c>
      <c r="AH1153" s="165">
        <v>7</v>
      </c>
      <c r="AI1153" s="167">
        <v>24.823321554770317</v>
      </c>
      <c r="AJ1153" s="168">
        <v>-0.7</v>
      </c>
      <c r="AK1153" s="169">
        <v>3.6</v>
      </c>
      <c r="AL1153" s="170">
        <v>43</v>
      </c>
      <c r="AM1153" s="20">
        <f t="shared" si="21"/>
        <v>21</v>
      </c>
      <c r="AN1153" s="165">
        <v>10.5</v>
      </c>
      <c r="AO1153" s="167">
        <v>31.602112676056336</v>
      </c>
      <c r="AP1153" s="168">
        <v>-0.5</v>
      </c>
      <c r="AQ1153" s="169">
        <v>4</v>
      </c>
      <c r="AR1153" s="170">
        <v>45</v>
      </c>
      <c r="AS1153" s="20">
        <f t="shared" si="20"/>
        <v>20</v>
      </c>
      <c r="AT1153" s="165">
        <v>10</v>
      </c>
      <c r="AU1153" s="167">
        <v>4.3057996485061514</v>
      </c>
      <c r="AV1153" s="168">
        <v>-1.7</v>
      </c>
      <c r="AW1153" s="169">
        <v>1.6</v>
      </c>
      <c r="AX1153" s="170">
        <v>33</v>
      </c>
      <c r="AY1153" s="20">
        <f t="shared" si="23"/>
        <v>1</v>
      </c>
      <c r="AZ1153" s="165">
        <v>0.5</v>
      </c>
      <c r="BA1153" s="167">
        <v>87.082601054481543</v>
      </c>
      <c r="BB1153" s="168">
        <v>1.1000000000000001</v>
      </c>
      <c r="BC1153" s="169">
        <v>7.2</v>
      </c>
      <c r="BD1153" s="170">
        <v>61</v>
      </c>
      <c r="BK1153" s="20">
        <f t="shared" si="19"/>
        <v>59</v>
      </c>
      <c r="BL1153" s="165">
        <v>5.9</v>
      </c>
      <c r="BM1153" s="167">
        <v>2.2084805653710249</v>
      </c>
      <c r="BN1153" s="168">
        <v>-2</v>
      </c>
      <c r="BO1153" s="169">
        <v>1</v>
      </c>
      <c r="BP1153" s="170">
        <v>30</v>
      </c>
      <c r="BX1153" s="165">
        <v>644</v>
      </c>
      <c r="BY1153" s="167">
        <v>0.44014084507042256</v>
      </c>
      <c r="BZ1153" s="168">
        <v>-2.6</v>
      </c>
      <c r="CA1153" s="169">
        <v>-0.2</v>
      </c>
      <c r="CB1153" s="170">
        <v>24</v>
      </c>
      <c r="CD1153" s="165">
        <v>40</v>
      </c>
      <c r="CE1153" s="167">
        <v>0.61511423550087874</v>
      </c>
      <c r="CF1153" s="168">
        <v>-2.5</v>
      </c>
      <c r="CG1153" s="169">
        <v>0</v>
      </c>
      <c r="CH1153" s="170">
        <v>25</v>
      </c>
      <c r="CJ1153" s="155" t="s">
        <v>10</v>
      </c>
      <c r="CK1153" s="156" t="s">
        <v>13</v>
      </c>
      <c r="CL1153" s="156" t="s">
        <v>14</v>
      </c>
      <c r="CM1153" s="156" t="s">
        <v>15</v>
      </c>
      <c r="CN1153" s="157" t="s">
        <v>16</v>
      </c>
      <c r="CP1153" s="165">
        <v>458</v>
      </c>
      <c r="CQ1153" s="167">
        <v>0.26362038664323373</v>
      </c>
      <c r="CR1153" s="168">
        <v>-2.8</v>
      </c>
      <c r="CS1153" s="169">
        <v>-0.6</v>
      </c>
      <c r="CT1153" s="170">
        <v>22</v>
      </c>
      <c r="CV1153" s="165">
        <v>2</v>
      </c>
      <c r="CW1153" s="167">
        <v>2.640845070422535</v>
      </c>
      <c r="CX1153" s="168">
        <v>-1.9</v>
      </c>
      <c r="CY1153" s="169">
        <v>1.2</v>
      </c>
      <c r="CZ1153" s="170">
        <v>31</v>
      </c>
      <c r="DB1153" s="150" t="s">
        <v>164</v>
      </c>
      <c r="DC1153" s="151" t="s">
        <v>257</v>
      </c>
      <c r="DD1153" s="152"/>
      <c r="DE1153" s="152"/>
      <c r="DF1153" s="153"/>
    </row>
    <row r="1154" spans="15:110" ht="13.15" hidden="1" thickBot="1" x14ac:dyDescent="0.25">
      <c r="AG1154" s="20">
        <f t="shared" si="22"/>
        <v>15</v>
      </c>
      <c r="AH1154" s="165">
        <v>7.5</v>
      </c>
      <c r="AI1154" s="167">
        <v>29.328621908127207</v>
      </c>
      <c r="AJ1154" s="168">
        <v>-0.5</v>
      </c>
      <c r="AK1154" s="169">
        <v>4</v>
      </c>
      <c r="AL1154" s="170">
        <v>45</v>
      </c>
      <c r="AM1154" s="20">
        <f t="shared" si="21"/>
        <v>22</v>
      </c>
      <c r="AN1154" s="165">
        <v>11</v>
      </c>
      <c r="AO1154" s="167">
        <v>36.70774647887324</v>
      </c>
      <c r="AP1154" s="168">
        <v>-0.3</v>
      </c>
      <c r="AQ1154" s="169">
        <v>4.4000000000000004</v>
      </c>
      <c r="AR1154" s="170">
        <v>47</v>
      </c>
      <c r="AS1154" s="20">
        <f t="shared" si="20"/>
        <v>21</v>
      </c>
      <c r="AT1154" s="165">
        <v>10.5</v>
      </c>
      <c r="AU1154" s="167">
        <v>5.0966608084358525</v>
      </c>
      <c r="AV1154" s="168">
        <v>-1.6</v>
      </c>
      <c r="AW1154" s="169">
        <v>1.8</v>
      </c>
      <c r="AX1154" s="170">
        <v>34</v>
      </c>
      <c r="AY1154" s="20">
        <f t="shared" si="23"/>
        <v>0</v>
      </c>
      <c r="AZ1154" s="172">
        <v>0</v>
      </c>
      <c r="BA1154" s="173">
        <v>96.924428822495614</v>
      </c>
      <c r="BB1154" s="174">
        <v>1.9</v>
      </c>
      <c r="BC1154" s="175">
        <v>8.8000000000000007</v>
      </c>
      <c r="BD1154" s="176">
        <v>69</v>
      </c>
      <c r="BK1154" s="20">
        <f t="shared" si="19"/>
        <v>58</v>
      </c>
      <c r="BL1154" s="165">
        <v>5.8</v>
      </c>
      <c r="BM1154" s="167">
        <v>2.2084805653710249</v>
      </c>
      <c r="BN1154" s="168">
        <v>-2</v>
      </c>
      <c r="BO1154" s="169">
        <v>1</v>
      </c>
      <c r="BP1154" s="170">
        <v>30</v>
      </c>
      <c r="BX1154" s="165">
        <v>643</v>
      </c>
      <c r="BY1154" s="167">
        <v>0.44014084507042256</v>
      </c>
      <c r="BZ1154" s="168">
        <v>-2.6</v>
      </c>
      <c r="CA1154" s="169">
        <v>-0.2</v>
      </c>
      <c r="CB1154" s="170">
        <v>24</v>
      </c>
      <c r="CD1154" s="165">
        <v>39</v>
      </c>
      <c r="CE1154" s="167">
        <v>0.61511423550087874</v>
      </c>
      <c r="CF1154" s="168">
        <v>-2.5</v>
      </c>
      <c r="CG1154" s="169">
        <v>0</v>
      </c>
      <c r="CH1154" s="170">
        <v>25</v>
      </c>
      <c r="CJ1154" s="165">
        <v>42</v>
      </c>
      <c r="CK1154" s="167">
        <v>0.26362038664323373</v>
      </c>
      <c r="CL1154" s="168">
        <v>-2.8</v>
      </c>
      <c r="CM1154" s="169">
        <v>-0.6</v>
      </c>
      <c r="CN1154" s="170">
        <v>22</v>
      </c>
      <c r="CP1154" s="165">
        <v>457</v>
      </c>
      <c r="CQ1154" s="167">
        <v>0.26362038664323373</v>
      </c>
      <c r="CR1154" s="168">
        <v>-2.8</v>
      </c>
      <c r="CS1154" s="169">
        <v>-0.6</v>
      </c>
      <c r="CT1154" s="170">
        <v>22</v>
      </c>
      <c r="CV1154" s="165">
        <v>1</v>
      </c>
      <c r="CW1154" s="167">
        <v>9.2429577464788739</v>
      </c>
      <c r="CX1154" s="168">
        <v>-1.3</v>
      </c>
      <c r="CY1154" s="169">
        <v>2.4</v>
      </c>
      <c r="CZ1154" s="170">
        <v>37</v>
      </c>
      <c r="DB1154" s="155" t="s">
        <v>10</v>
      </c>
      <c r="DC1154" s="156" t="s">
        <v>13</v>
      </c>
      <c r="DD1154" s="156" t="s">
        <v>14</v>
      </c>
      <c r="DE1154" s="156" t="s">
        <v>15</v>
      </c>
      <c r="DF1154" s="159" t="s">
        <v>16</v>
      </c>
    </row>
    <row r="1155" spans="15:110" ht="13.15" hidden="1" thickBot="1" x14ac:dyDescent="0.25">
      <c r="O1155" s="20" t="e">
        <f>$F146-5.92*$R$1031-5.68*$R$1030+1.5</f>
        <v>#REF!</v>
      </c>
      <c r="P1155" s="20" t="e">
        <f>$F146-5.92*$R$1031-5.68*$R$1030-1.5</f>
        <v>#REF!</v>
      </c>
      <c r="S1155" s="169">
        <f>IF(T1155&lt;6,6,IF(T1155&gt;60,60,T1155))</f>
        <v>60</v>
      </c>
      <c r="T1155" s="11" t="str">
        <f>IF($C$5="m",O1155,IF($C$5="w",P1155,""))</f>
        <v/>
      </c>
      <c r="U1155" s="180" t="s">
        <v>391</v>
      </c>
      <c r="AG1155" s="20">
        <f t="shared" si="22"/>
        <v>16</v>
      </c>
      <c r="AH1155" s="165">
        <v>8</v>
      </c>
      <c r="AI1155" s="167">
        <v>33.745583038869256</v>
      </c>
      <c r="AJ1155" s="168">
        <v>-0.4</v>
      </c>
      <c r="AK1155" s="169">
        <v>4.2</v>
      </c>
      <c r="AL1155" s="170">
        <v>46</v>
      </c>
      <c r="AM1155" s="20">
        <f t="shared" si="21"/>
        <v>23</v>
      </c>
      <c r="AN1155" s="165">
        <v>11.5</v>
      </c>
      <c r="AO1155" s="167">
        <v>42.429577464788728</v>
      </c>
      <c r="AP1155" s="168">
        <v>-0.2</v>
      </c>
      <c r="AQ1155" s="169">
        <v>4.5999999999999996</v>
      </c>
      <c r="AR1155" s="170">
        <v>48</v>
      </c>
      <c r="AS1155" s="20">
        <f t="shared" si="20"/>
        <v>22</v>
      </c>
      <c r="AT1155" s="165">
        <v>11</v>
      </c>
      <c r="AU1155" s="167">
        <v>6.5026362038664329</v>
      </c>
      <c r="AV1155" s="168">
        <v>-1.5</v>
      </c>
      <c r="AW1155" s="169">
        <v>2</v>
      </c>
      <c r="AX1155" s="170">
        <v>35</v>
      </c>
      <c r="BK1155" s="20">
        <f t="shared" si="19"/>
        <v>57</v>
      </c>
      <c r="BL1155" s="165">
        <v>5.7</v>
      </c>
      <c r="BM1155" s="167">
        <v>2.2084805653710249</v>
      </c>
      <c r="BN1155" s="168">
        <v>-2</v>
      </c>
      <c r="BO1155" s="169">
        <v>1</v>
      </c>
      <c r="BP1155" s="170">
        <v>30</v>
      </c>
      <c r="BX1155" s="165">
        <v>642</v>
      </c>
      <c r="BY1155" s="167">
        <v>0.44014084507042256</v>
      </c>
      <c r="BZ1155" s="168">
        <v>-2.6</v>
      </c>
      <c r="CA1155" s="169">
        <v>-0.2</v>
      </c>
      <c r="CB1155" s="170">
        <v>24</v>
      </c>
      <c r="CD1155" s="165">
        <v>38</v>
      </c>
      <c r="CE1155" s="167">
        <v>0.61511423550087874</v>
      </c>
      <c r="CF1155" s="168">
        <v>-2.5</v>
      </c>
      <c r="CG1155" s="169">
        <v>0</v>
      </c>
      <c r="CH1155" s="170">
        <v>25</v>
      </c>
      <c r="CJ1155" s="165">
        <v>41</v>
      </c>
      <c r="CK1155" s="167">
        <v>0.43936731107205629</v>
      </c>
      <c r="CL1155" s="168">
        <v>-2.6</v>
      </c>
      <c r="CM1155" s="169">
        <v>-0.2</v>
      </c>
      <c r="CN1155" s="170">
        <v>24</v>
      </c>
      <c r="CP1155" s="165">
        <v>456</v>
      </c>
      <c r="CQ1155" s="167">
        <v>0.26362038664323373</v>
      </c>
      <c r="CR1155" s="168">
        <v>-2.8</v>
      </c>
      <c r="CS1155" s="169">
        <v>-0.6</v>
      </c>
      <c r="CT1155" s="170">
        <v>22</v>
      </c>
      <c r="CV1155" s="172">
        <v>0</v>
      </c>
      <c r="CW1155" s="173">
        <v>57.130281690140848</v>
      </c>
      <c r="CX1155" s="174">
        <v>0.2</v>
      </c>
      <c r="CY1155" s="175">
        <v>5.4</v>
      </c>
      <c r="CZ1155" s="176">
        <v>52</v>
      </c>
      <c r="DB1155" s="160">
        <v>0.2</v>
      </c>
      <c r="DC1155" s="161">
        <v>0.11933174224343676</v>
      </c>
      <c r="DD1155" s="162">
        <v>-3</v>
      </c>
      <c r="DE1155" s="163">
        <v>-1</v>
      </c>
      <c r="DF1155" s="164">
        <v>20</v>
      </c>
    </row>
    <row r="1156" spans="15:110" ht="13.15" hidden="1" x14ac:dyDescent="0.25">
      <c r="S1156" s="169" t="e">
        <f>IF(T1156&lt;0,0,IF(T1156&gt;10,10,T1156))</f>
        <v>#REF!</v>
      </c>
      <c r="T1156" s="178" t="e">
        <f>F147-0.03*$R$1029-0.15*$R$1030</f>
        <v>#REF!</v>
      </c>
      <c r="U1156" s="180" t="s">
        <v>292</v>
      </c>
      <c r="AB1156" s="138" t="s">
        <v>159</v>
      </c>
      <c r="AC1156" s="139"/>
      <c r="AD1156" s="139"/>
      <c r="AE1156" s="140"/>
      <c r="AF1156" s="141" t="s">
        <v>169</v>
      </c>
      <c r="AG1156" s="20">
        <f t="shared" si="22"/>
        <v>17</v>
      </c>
      <c r="AH1156" s="165">
        <v>8.5</v>
      </c>
      <c r="AI1156" s="167">
        <v>38.869257950530034</v>
      </c>
      <c r="AJ1156" s="168">
        <v>-0.3</v>
      </c>
      <c r="AK1156" s="169">
        <v>4.4000000000000004</v>
      </c>
      <c r="AL1156" s="170">
        <v>47</v>
      </c>
      <c r="AM1156" s="20">
        <f t="shared" si="21"/>
        <v>24</v>
      </c>
      <c r="AN1156" s="165">
        <v>12</v>
      </c>
      <c r="AO1156" s="167">
        <v>48.767605633802816</v>
      </c>
      <c r="AP1156" s="168">
        <v>0</v>
      </c>
      <c r="AQ1156" s="169">
        <v>5</v>
      </c>
      <c r="AR1156" s="170">
        <v>50</v>
      </c>
      <c r="AS1156" s="20">
        <f t="shared" si="20"/>
        <v>23</v>
      </c>
      <c r="AT1156" s="165">
        <v>11.5</v>
      </c>
      <c r="AU1156" s="167">
        <v>7.9086115992970125</v>
      </c>
      <c r="AV1156" s="168">
        <v>-1.4</v>
      </c>
      <c r="AW1156" s="169">
        <v>2.2000000000000002</v>
      </c>
      <c r="AX1156" s="170">
        <v>36</v>
      </c>
      <c r="BK1156" s="20">
        <f t="shared" si="19"/>
        <v>56</v>
      </c>
      <c r="BL1156" s="165">
        <v>5.6</v>
      </c>
      <c r="BM1156" s="167">
        <v>2.2084805653710249</v>
      </c>
      <c r="BN1156" s="168">
        <v>-2</v>
      </c>
      <c r="BO1156" s="169">
        <v>1</v>
      </c>
      <c r="BP1156" s="170">
        <v>30</v>
      </c>
      <c r="BX1156" s="165">
        <v>641</v>
      </c>
      <c r="BY1156" s="167">
        <v>0.44014084507042256</v>
      </c>
      <c r="BZ1156" s="168">
        <v>-2.6</v>
      </c>
      <c r="CA1156" s="169">
        <v>-0.2</v>
      </c>
      <c r="CB1156" s="170">
        <v>24</v>
      </c>
      <c r="CD1156" s="165">
        <v>37</v>
      </c>
      <c r="CE1156" s="167">
        <v>0.7908611599297013</v>
      </c>
      <c r="CF1156" s="168">
        <v>-2.4</v>
      </c>
      <c r="CG1156" s="169">
        <v>0.2</v>
      </c>
      <c r="CH1156" s="170">
        <v>26</v>
      </c>
      <c r="CJ1156" s="165">
        <v>40</v>
      </c>
      <c r="CK1156" s="167">
        <v>0.43936731107205629</v>
      </c>
      <c r="CL1156" s="168">
        <v>-2.6</v>
      </c>
      <c r="CM1156" s="169">
        <v>-0.2</v>
      </c>
      <c r="CN1156" s="170">
        <v>24</v>
      </c>
      <c r="CP1156" s="165">
        <v>455</v>
      </c>
      <c r="CQ1156" s="167">
        <v>0.26362038664323373</v>
      </c>
      <c r="CR1156" s="168">
        <v>-2.8</v>
      </c>
      <c r="CS1156" s="169">
        <v>-0.6</v>
      </c>
      <c r="CT1156" s="170">
        <v>22</v>
      </c>
      <c r="DB1156" s="165">
        <v>0.3</v>
      </c>
      <c r="DC1156" s="167">
        <v>0.47732696897374705</v>
      </c>
      <c r="DD1156" s="168">
        <v>-2.6</v>
      </c>
      <c r="DE1156" s="169">
        <v>-0.2</v>
      </c>
      <c r="DF1156" s="170">
        <v>24</v>
      </c>
    </row>
    <row r="1157" spans="15:110" ht="13.15" hidden="1" thickBot="1" x14ac:dyDescent="0.25">
      <c r="S1157" s="178" t="e">
        <f>IF(F148&lt;0,0,IF(F148&gt;5,5,F148))</f>
        <v>#REF!</v>
      </c>
      <c r="T1157" s="178"/>
      <c r="U1157" s="180" t="s">
        <v>281</v>
      </c>
      <c r="AB1157" s="144" t="s">
        <v>161</v>
      </c>
      <c r="AD1157" s="20" t="s">
        <v>162</v>
      </c>
      <c r="AF1157" s="145"/>
      <c r="AG1157" s="20">
        <f t="shared" si="22"/>
        <v>18</v>
      </c>
      <c r="AH1157" s="165">
        <v>9</v>
      </c>
      <c r="AI1157" s="167">
        <v>44.78798586572438</v>
      </c>
      <c r="AJ1157" s="168">
        <v>-0.1</v>
      </c>
      <c r="AK1157" s="169">
        <v>4.8</v>
      </c>
      <c r="AL1157" s="170">
        <v>49</v>
      </c>
      <c r="AM1157" s="20">
        <f t="shared" si="21"/>
        <v>25</v>
      </c>
      <c r="AN1157" s="165">
        <v>12.5</v>
      </c>
      <c r="AO1157" s="167">
        <v>54.577464788732399</v>
      </c>
      <c r="AP1157" s="168">
        <v>0.1</v>
      </c>
      <c r="AQ1157" s="169">
        <v>5.2</v>
      </c>
      <c r="AR1157" s="170">
        <v>51</v>
      </c>
      <c r="AS1157" s="20">
        <f t="shared" si="20"/>
        <v>24</v>
      </c>
      <c r="AT1157" s="165">
        <v>12</v>
      </c>
      <c r="AU1157" s="167">
        <v>9.4024604569420038</v>
      </c>
      <c r="AV1157" s="168">
        <v>-1.3</v>
      </c>
      <c r="AW1157" s="169">
        <v>2.4</v>
      </c>
      <c r="AX1157" s="170">
        <v>37</v>
      </c>
      <c r="BK1157" s="20">
        <f t="shared" si="19"/>
        <v>55</v>
      </c>
      <c r="BL1157" s="165">
        <v>5.5</v>
      </c>
      <c r="BM1157" s="167">
        <v>2.2084805653710249</v>
      </c>
      <c r="BN1157" s="168">
        <v>-2</v>
      </c>
      <c r="BO1157" s="169">
        <v>1</v>
      </c>
      <c r="BP1157" s="170">
        <v>30</v>
      </c>
      <c r="BX1157" s="165">
        <v>640</v>
      </c>
      <c r="BY1157" s="167">
        <v>0.44014084507042256</v>
      </c>
      <c r="BZ1157" s="168">
        <v>-2.6</v>
      </c>
      <c r="CA1157" s="169">
        <v>-0.2</v>
      </c>
      <c r="CB1157" s="170">
        <v>24</v>
      </c>
      <c r="CD1157" s="165">
        <v>36</v>
      </c>
      <c r="CE1157" s="167">
        <v>0.7908611599297013</v>
      </c>
      <c r="CF1157" s="168">
        <v>-2.4</v>
      </c>
      <c r="CG1157" s="169">
        <v>0.2</v>
      </c>
      <c r="CH1157" s="170">
        <v>26</v>
      </c>
      <c r="CJ1157" s="165">
        <v>39</v>
      </c>
      <c r="CK1157" s="167">
        <v>0.43936731107205629</v>
      </c>
      <c r="CL1157" s="168">
        <v>-2.6</v>
      </c>
      <c r="CM1157" s="169">
        <v>-0.2</v>
      </c>
      <c r="CN1157" s="170">
        <v>24</v>
      </c>
      <c r="CP1157" s="165">
        <v>454</v>
      </c>
      <c r="CQ1157" s="167">
        <v>0.26362038664323373</v>
      </c>
      <c r="CR1157" s="168">
        <v>-2.8</v>
      </c>
      <c r="CS1157" s="169">
        <v>-0.6</v>
      </c>
      <c r="CT1157" s="170">
        <v>22</v>
      </c>
      <c r="DB1157" s="165">
        <v>0.4</v>
      </c>
      <c r="DC1157" s="167">
        <v>0.8353221957040573</v>
      </c>
      <c r="DD1157" s="168">
        <v>-2.4</v>
      </c>
      <c r="DE1157" s="169">
        <v>0.2</v>
      </c>
      <c r="DF1157" s="170">
        <v>26</v>
      </c>
    </row>
    <row r="1158" spans="15:110" ht="13.8" hidden="1" thickBot="1" x14ac:dyDescent="0.3">
      <c r="S1158" s="178" t="e">
        <f>IF(F149&lt;0,0,IF(F149&gt;67,67,F149))</f>
        <v>#REF!</v>
      </c>
      <c r="T1158" s="178"/>
      <c r="U1158" s="180" t="s">
        <v>281</v>
      </c>
      <c r="AB1158" s="147"/>
      <c r="AC1158" s="148"/>
      <c r="AD1158" s="179" t="s">
        <v>170</v>
      </c>
      <c r="AE1158" s="148"/>
      <c r="AF1158" s="149"/>
      <c r="AG1158" s="20">
        <f t="shared" si="22"/>
        <v>19</v>
      </c>
      <c r="AH1158" s="165">
        <v>9.5</v>
      </c>
      <c r="AI1158" s="167">
        <v>50.265017667844525</v>
      </c>
      <c r="AJ1158" s="168">
        <v>0</v>
      </c>
      <c r="AK1158" s="169">
        <v>5</v>
      </c>
      <c r="AL1158" s="170">
        <v>50</v>
      </c>
      <c r="AM1158" s="20">
        <f t="shared" si="21"/>
        <v>26</v>
      </c>
      <c r="AN1158" s="165">
        <v>13</v>
      </c>
      <c r="AO1158" s="167">
        <v>61.00352112676056</v>
      </c>
      <c r="AP1158" s="168">
        <v>0.3</v>
      </c>
      <c r="AQ1158" s="169">
        <v>5.6</v>
      </c>
      <c r="AR1158" s="170">
        <v>53</v>
      </c>
      <c r="AS1158" s="20">
        <f t="shared" si="20"/>
        <v>25</v>
      </c>
      <c r="AT1158" s="165">
        <v>12.5</v>
      </c>
      <c r="AU1158" s="167">
        <v>12.302284710017574</v>
      </c>
      <c r="AV1158" s="168">
        <v>-1.2</v>
      </c>
      <c r="AW1158" s="169">
        <v>2.6</v>
      </c>
      <c r="AX1158" s="170">
        <v>38</v>
      </c>
      <c r="BK1158" s="20">
        <f t="shared" si="19"/>
        <v>54</v>
      </c>
      <c r="BL1158" s="165">
        <v>5.4</v>
      </c>
      <c r="BM1158" s="167">
        <v>3.3568904593639579</v>
      </c>
      <c r="BN1158" s="168">
        <v>-1.8</v>
      </c>
      <c r="BO1158" s="169">
        <v>1.4</v>
      </c>
      <c r="BP1158" s="170">
        <v>32</v>
      </c>
      <c r="BX1158" s="165">
        <v>639</v>
      </c>
      <c r="BY1158" s="167">
        <v>0.44014084507042256</v>
      </c>
      <c r="BZ1158" s="168">
        <v>-2.6</v>
      </c>
      <c r="CA1158" s="169">
        <v>-0.2</v>
      </c>
      <c r="CB1158" s="170">
        <v>24</v>
      </c>
      <c r="CD1158" s="165">
        <v>35</v>
      </c>
      <c r="CE1158" s="167">
        <v>1.2302284710017575</v>
      </c>
      <c r="CF1158" s="168">
        <v>-2.2000000000000002</v>
      </c>
      <c r="CG1158" s="169">
        <v>0.6</v>
      </c>
      <c r="CH1158" s="170">
        <v>28</v>
      </c>
      <c r="CJ1158" s="165">
        <v>38</v>
      </c>
      <c r="CK1158" s="167">
        <v>0.43936731107205629</v>
      </c>
      <c r="CL1158" s="168">
        <v>-2.6</v>
      </c>
      <c r="CM1158" s="169">
        <v>-0.2</v>
      </c>
      <c r="CN1158" s="170">
        <v>24</v>
      </c>
      <c r="CP1158" s="165">
        <v>453</v>
      </c>
      <c r="CQ1158" s="167">
        <v>0.26362038664323373</v>
      </c>
      <c r="CR1158" s="168">
        <v>-2.8</v>
      </c>
      <c r="CS1158" s="169">
        <v>-0.6</v>
      </c>
      <c r="CT1158" s="170">
        <v>22</v>
      </c>
      <c r="CV1158" s="138" t="s">
        <v>102</v>
      </c>
      <c r="CW1158" s="139"/>
      <c r="CX1158" s="139"/>
      <c r="CY1158" s="140" t="s">
        <v>215</v>
      </c>
      <c r="CZ1158" s="141">
        <v>568</v>
      </c>
      <c r="DB1158" s="165">
        <v>0.5</v>
      </c>
      <c r="DC1158" s="167">
        <v>1.431980906921241</v>
      </c>
      <c r="DD1158" s="168">
        <v>-2.2000000000000002</v>
      </c>
      <c r="DE1158" s="169">
        <v>0.6</v>
      </c>
      <c r="DF1158" s="170">
        <v>28</v>
      </c>
    </row>
    <row r="1159" spans="15:110" ht="13.15" hidden="1" thickBot="1" x14ac:dyDescent="0.25">
      <c r="S1159" s="178"/>
      <c r="T1159" s="178"/>
      <c r="U1159" s="180"/>
      <c r="AB1159" s="150" t="s">
        <v>164</v>
      </c>
      <c r="AC1159" s="151" t="s">
        <v>26</v>
      </c>
      <c r="AD1159" s="152"/>
      <c r="AE1159" s="152"/>
      <c r="AF1159" s="153"/>
      <c r="AG1159" s="20">
        <f t="shared" si="22"/>
        <v>20</v>
      </c>
      <c r="AH1159" s="165">
        <v>10</v>
      </c>
      <c r="AI1159" s="167">
        <v>54.858657243816253</v>
      </c>
      <c r="AJ1159" s="168">
        <v>0.1</v>
      </c>
      <c r="AK1159" s="169">
        <v>5.2</v>
      </c>
      <c r="AL1159" s="170">
        <v>51</v>
      </c>
      <c r="AM1159" s="20">
        <f t="shared" si="21"/>
        <v>27</v>
      </c>
      <c r="AN1159" s="165">
        <v>13.5</v>
      </c>
      <c r="AO1159" s="167">
        <v>67.517605633802816</v>
      </c>
      <c r="AP1159" s="168">
        <v>0.5</v>
      </c>
      <c r="AQ1159" s="169">
        <v>6</v>
      </c>
      <c r="AR1159" s="170">
        <v>55</v>
      </c>
      <c r="AS1159" s="20">
        <f t="shared" si="20"/>
        <v>26</v>
      </c>
      <c r="AT1159" s="165">
        <v>13</v>
      </c>
      <c r="AU1159" s="167">
        <v>14.938488576449913</v>
      </c>
      <c r="AV1159" s="168">
        <v>-1</v>
      </c>
      <c r="AW1159" s="169">
        <v>3</v>
      </c>
      <c r="AX1159" s="170">
        <v>40</v>
      </c>
      <c r="BK1159" s="20">
        <f t="shared" si="19"/>
        <v>53</v>
      </c>
      <c r="BL1159" s="165">
        <v>5.3</v>
      </c>
      <c r="BM1159" s="167">
        <v>3.3568904593639579</v>
      </c>
      <c r="BN1159" s="168">
        <v>-1.8</v>
      </c>
      <c r="BO1159" s="169">
        <v>1.4</v>
      </c>
      <c r="BP1159" s="170">
        <v>32</v>
      </c>
      <c r="BX1159" s="165">
        <v>638</v>
      </c>
      <c r="BY1159" s="167">
        <v>0.44014084507042256</v>
      </c>
      <c r="BZ1159" s="168">
        <v>-2.6</v>
      </c>
      <c r="CA1159" s="169">
        <v>-0.2</v>
      </c>
      <c r="CB1159" s="170">
        <v>24</v>
      </c>
      <c r="CD1159" s="165">
        <v>34</v>
      </c>
      <c r="CE1159" s="167">
        <v>1.2302284710017575</v>
      </c>
      <c r="CF1159" s="168">
        <v>-2.2000000000000002</v>
      </c>
      <c r="CG1159" s="169">
        <v>0.6</v>
      </c>
      <c r="CH1159" s="170">
        <v>28</v>
      </c>
      <c r="CJ1159" s="165">
        <v>37</v>
      </c>
      <c r="CK1159" s="167">
        <v>0.43936731107205629</v>
      </c>
      <c r="CL1159" s="168">
        <v>-2.6</v>
      </c>
      <c r="CM1159" s="169">
        <v>-0.2</v>
      </c>
      <c r="CN1159" s="170">
        <v>24</v>
      </c>
      <c r="CP1159" s="165">
        <v>452</v>
      </c>
      <c r="CQ1159" s="167">
        <v>0.26362038664323373</v>
      </c>
      <c r="CR1159" s="168">
        <v>-2.8</v>
      </c>
      <c r="CS1159" s="169">
        <v>-0.6</v>
      </c>
      <c r="CT1159" s="170">
        <v>22</v>
      </c>
      <c r="CV1159" s="144" t="s">
        <v>161</v>
      </c>
      <c r="CZ1159" s="145"/>
      <c r="DB1159" s="165">
        <v>0.6</v>
      </c>
      <c r="DC1159" s="167">
        <v>2.1479713603818613</v>
      </c>
      <c r="DD1159" s="168">
        <v>-2</v>
      </c>
      <c r="DE1159" s="169">
        <v>1</v>
      </c>
      <c r="DF1159" s="170">
        <v>30</v>
      </c>
    </row>
    <row r="1160" spans="15:110" ht="13.15" hidden="1" thickBot="1" x14ac:dyDescent="0.25">
      <c r="S1160" s="169" t="e">
        <f>IF(T1160&lt;7,7,IF(T1160&gt;62,62,T1160))</f>
        <v>#REF!</v>
      </c>
      <c r="T1160" s="178" t="e">
        <f>$F151-13.5*$R$1031-0.52*$R$1032</f>
        <v>#REF!</v>
      </c>
      <c r="U1160" s="180" t="s">
        <v>293</v>
      </c>
      <c r="AB1160" s="155" t="s">
        <v>10</v>
      </c>
      <c r="AC1160" s="156" t="s">
        <v>13</v>
      </c>
      <c r="AD1160" s="156" t="s">
        <v>14</v>
      </c>
      <c r="AE1160" s="156" t="s">
        <v>15</v>
      </c>
      <c r="AF1160" s="159" t="s">
        <v>16</v>
      </c>
      <c r="AG1160" s="20">
        <f t="shared" si="22"/>
        <v>21</v>
      </c>
      <c r="AH1160" s="165">
        <v>10.5</v>
      </c>
      <c r="AI1160" s="167">
        <v>59.805653710247356</v>
      </c>
      <c r="AJ1160" s="168">
        <v>0.2</v>
      </c>
      <c r="AK1160" s="169">
        <v>5.4</v>
      </c>
      <c r="AL1160" s="170">
        <v>52</v>
      </c>
      <c r="AM1160" s="20">
        <f t="shared" si="21"/>
        <v>28</v>
      </c>
      <c r="AN1160" s="165">
        <v>14</v>
      </c>
      <c r="AO1160" s="167">
        <v>75.968309859154928</v>
      </c>
      <c r="AP1160" s="168">
        <v>0.7</v>
      </c>
      <c r="AQ1160" s="169">
        <v>6.4</v>
      </c>
      <c r="AR1160" s="170">
        <v>57</v>
      </c>
      <c r="AS1160" s="20">
        <f t="shared" si="20"/>
        <v>27</v>
      </c>
      <c r="AT1160" s="165">
        <v>13.5</v>
      </c>
      <c r="AU1160" s="167">
        <v>16.432337434094904</v>
      </c>
      <c r="AV1160" s="168">
        <v>-1</v>
      </c>
      <c r="AW1160" s="169">
        <v>3</v>
      </c>
      <c r="AX1160" s="170">
        <v>40</v>
      </c>
      <c r="BK1160" s="20">
        <f t="shared" si="19"/>
        <v>52</v>
      </c>
      <c r="BL1160" s="165">
        <v>5.2</v>
      </c>
      <c r="BM1160" s="167">
        <v>3.3568904593639579</v>
      </c>
      <c r="BN1160" s="168">
        <v>-1.8</v>
      </c>
      <c r="BO1160" s="169">
        <v>1.4</v>
      </c>
      <c r="BP1160" s="170">
        <v>32</v>
      </c>
      <c r="BX1160" s="165">
        <v>637</v>
      </c>
      <c r="BY1160" s="167">
        <v>0.44014084507042256</v>
      </c>
      <c r="BZ1160" s="168">
        <v>-2.6</v>
      </c>
      <c r="CA1160" s="169">
        <v>-0.2</v>
      </c>
      <c r="CB1160" s="170">
        <v>24</v>
      </c>
      <c r="CD1160" s="165">
        <v>33</v>
      </c>
      <c r="CE1160" s="167">
        <v>1.2302284710017575</v>
      </c>
      <c r="CF1160" s="168">
        <v>-2.2000000000000002</v>
      </c>
      <c r="CG1160" s="169">
        <v>0.6</v>
      </c>
      <c r="CH1160" s="170">
        <v>28</v>
      </c>
      <c r="CJ1160" s="165">
        <v>36</v>
      </c>
      <c r="CK1160" s="167">
        <v>0.43936731107205629</v>
      </c>
      <c r="CL1160" s="168">
        <v>-2.6</v>
      </c>
      <c r="CM1160" s="169">
        <v>-0.2</v>
      </c>
      <c r="CN1160" s="170">
        <v>24</v>
      </c>
      <c r="CP1160" s="165">
        <v>451</v>
      </c>
      <c r="CQ1160" s="167">
        <v>0.26362038664323373</v>
      </c>
      <c r="CR1160" s="168">
        <v>-2.8</v>
      </c>
      <c r="CS1160" s="169">
        <v>-0.6</v>
      </c>
      <c r="CT1160" s="170">
        <v>22</v>
      </c>
      <c r="CV1160" s="147" t="s">
        <v>249</v>
      </c>
      <c r="CW1160" s="148"/>
      <c r="CX1160" s="148"/>
      <c r="CY1160" s="148"/>
      <c r="CZ1160" s="149"/>
      <c r="DB1160" s="165">
        <v>0.7</v>
      </c>
      <c r="DC1160" s="167">
        <v>2.1479713603818613</v>
      </c>
      <c r="DD1160" s="168">
        <v>-2</v>
      </c>
      <c r="DE1160" s="169">
        <v>1</v>
      </c>
      <c r="DF1160" s="170">
        <v>30</v>
      </c>
    </row>
    <row r="1161" spans="15:110" ht="13.15" hidden="1" thickBot="1" x14ac:dyDescent="0.25">
      <c r="S1161" s="169" t="e">
        <f>IF(T1161&lt;0,0,IF(T1161&gt;27,27,T1161))</f>
        <v>#REF!</v>
      </c>
      <c r="T1161" s="178" t="e">
        <f>$F152-0.02*R1029</f>
        <v>#REF!</v>
      </c>
      <c r="U1161" s="180" t="s">
        <v>390</v>
      </c>
      <c r="X1161" s="180"/>
      <c r="AB1161" s="165">
        <v>7</v>
      </c>
      <c r="AC1161" s="167">
        <v>8.8183421516754845E-2</v>
      </c>
      <c r="AD1161" s="168">
        <v>-3</v>
      </c>
      <c r="AE1161" s="169">
        <v>-1</v>
      </c>
      <c r="AF1161" s="170">
        <v>20</v>
      </c>
      <c r="AG1161" s="20">
        <f t="shared" si="22"/>
        <v>22</v>
      </c>
      <c r="AH1161" s="165">
        <v>11</v>
      </c>
      <c r="AI1161" s="167">
        <v>64.664310954063609</v>
      </c>
      <c r="AJ1161" s="168">
        <v>0.4</v>
      </c>
      <c r="AK1161" s="169">
        <v>5.8</v>
      </c>
      <c r="AL1161" s="170">
        <v>54</v>
      </c>
      <c r="AM1161" s="20">
        <f t="shared" si="21"/>
        <v>29</v>
      </c>
      <c r="AN1161" s="165">
        <v>14.5</v>
      </c>
      <c r="AO1161" s="167">
        <v>83.978873239436624</v>
      </c>
      <c r="AP1161" s="168">
        <v>1</v>
      </c>
      <c r="AQ1161" s="169">
        <v>7</v>
      </c>
      <c r="AR1161" s="170">
        <v>60</v>
      </c>
      <c r="AS1161" s="20">
        <f t="shared" si="20"/>
        <v>28</v>
      </c>
      <c r="AT1161" s="165">
        <v>14</v>
      </c>
      <c r="AU1161" s="167">
        <v>21.0896309314587</v>
      </c>
      <c r="AV1161" s="168">
        <v>-0.8</v>
      </c>
      <c r="AW1161" s="169">
        <v>3.4</v>
      </c>
      <c r="AX1161" s="170">
        <v>42</v>
      </c>
      <c r="BK1161" s="20">
        <f t="shared" si="19"/>
        <v>51</v>
      </c>
      <c r="BL1161" s="165">
        <v>5.0999999999999996</v>
      </c>
      <c r="BM1161" s="167">
        <v>3.3568904593639579</v>
      </c>
      <c r="BN1161" s="168">
        <v>-1.8</v>
      </c>
      <c r="BO1161" s="169">
        <v>1.4</v>
      </c>
      <c r="BP1161" s="170">
        <v>32</v>
      </c>
      <c r="BX1161" s="165">
        <v>636</v>
      </c>
      <c r="BY1161" s="167">
        <v>0.44014084507042256</v>
      </c>
      <c r="BZ1161" s="168">
        <v>-2.6</v>
      </c>
      <c r="CA1161" s="169">
        <v>-0.2</v>
      </c>
      <c r="CB1161" s="170">
        <v>24</v>
      </c>
      <c r="CD1161" s="165">
        <v>32</v>
      </c>
      <c r="CE1161" s="167">
        <v>1.6695957820738139</v>
      </c>
      <c r="CF1161" s="168">
        <v>-2.1</v>
      </c>
      <c r="CG1161" s="169">
        <v>0.8</v>
      </c>
      <c r="CH1161" s="170">
        <v>29</v>
      </c>
      <c r="CJ1161" s="165">
        <v>35</v>
      </c>
      <c r="CK1161" s="167">
        <v>0.43936731107205629</v>
      </c>
      <c r="CL1161" s="168">
        <v>-2.6</v>
      </c>
      <c r="CM1161" s="169">
        <v>-0.2</v>
      </c>
      <c r="CN1161" s="170">
        <v>24</v>
      </c>
      <c r="CP1161" s="165">
        <v>450</v>
      </c>
      <c r="CQ1161" s="167">
        <v>0.26362038664323373</v>
      </c>
      <c r="CR1161" s="168">
        <v>-2.8</v>
      </c>
      <c r="CS1161" s="169">
        <v>-0.6</v>
      </c>
      <c r="CT1161" s="170">
        <v>22</v>
      </c>
      <c r="CV1161" s="150" t="s">
        <v>164</v>
      </c>
      <c r="CW1161" s="151" t="s">
        <v>109</v>
      </c>
      <c r="CX1161" s="152"/>
      <c r="CY1161" s="152"/>
      <c r="CZ1161" s="153"/>
      <c r="DB1161" s="165">
        <v>0.8</v>
      </c>
      <c r="DC1161" s="167">
        <v>7.1599045346062056</v>
      </c>
      <c r="DD1161" s="168">
        <v>-1.5</v>
      </c>
      <c r="DE1161" s="169">
        <v>2</v>
      </c>
      <c r="DF1161" s="170">
        <v>35</v>
      </c>
    </row>
    <row r="1162" spans="15:110" ht="13.15" hidden="1" thickBot="1" x14ac:dyDescent="0.25">
      <c r="S1162" s="178" t="e">
        <f>IF(F153&lt;0,0,IF(F153&gt;15,15,F153))</f>
        <v>#REF!</v>
      </c>
      <c r="U1162" s="180" t="s">
        <v>281</v>
      </c>
      <c r="AB1162" s="165">
        <v>8</v>
      </c>
      <c r="AC1162" s="167">
        <v>0.61728395061728392</v>
      </c>
      <c r="AD1162" s="168">
        <v>-2.5</v>
      </c>
      <c r="AE1162" s="169">
        <v>0</v>
      </c>
      <c r="AF1162" s="170">
        <v>25</v>
      </c>
      <c r="AG1162" s="20">
        <f t="shared" si="22"/>
        <v>23</v>
      </c>
      <c r="AH1162" s="165">
        <v>11.5</v>
      </c>
      <c r="AI1162" s="167">
        <v>68.462897526501763</v>
      </c>
      <c r="AJ1162" s="168">
        <v>0.5</v>
      </c>
      <c r="AK1162" s="169">
        <v>6</v>
      </c>
      <c r="AL1162" s="170">
        <v>55</v>
      </c>
      <c r="AM1162" s="20">
        <f t="shared" si="21"/>
        <v>30</v>
      </c>
      <c r="AN1162" s="172">
        <v>15</v>
      </c>
      <c r="AO1162" s="173">
        <v>92.16549295774648</v>
      </c>
      <c r="AP1162" s="174">
        <v>1.4</v>
      </c>
      <c r="AQ1162" s="175">
        <v>7.8</v>
      </c>
      <c r="AR1162" s="176">
        <v>64</v>
      </c>
      <c r="AS1162" s="20">
        <f t="shared" si="20"/>
        <v>29</v>
      </c>
      <c r="AT1162" s="165">
        <v>14.5</v>
      </c>
      <c r="AU1162" s="167">
        <v>26.010544815465732</v>
      </c>
      <c r="AV1162" s="168">
        <v>-0.6</v>
      </c>
      <c r="AW1162" s="169">
        <v>3.8</v>
      </c>
      <c r="AX1162" s="170">
        <v>44</v>
      </c>
      <c r="BK1162" s="20">
        <f t="shared" si="19"/>
        <v>50</v>
      </c>
      <c r="BL1162" s="165">
        <v>5</v>
      </c>
      <c r="BM1162" s="167">
        <v>3.3568904593639579</v>
      </c>
      <c r="BN1162" s="168">
        <v>-1.8</v>
      </c>
      <c r="BO1162" s="169">
        <v>1.4</v>
      </c>
      <c r="BP1162" s="170">
        <v>32</v>
      </c>
      <c r="BX1162" s="165">
        <v>635</v>
      </c>
      <c r="BY1162" s="167">
        <v>0.44014084507042256</v>
      </c>
      <c r="BZ1162" s="168">
        <v>-2.6</v>
      </c>
      <c r="CA1162" s="169">
        <v>-0.2</v>
      </c>
      <c r="CB1162" s="170">
        <v>24</v>
      </c>
      <c r="CD1162" s="165">
        <v>31</v>
      </c>
      <c r="CE1162" s="167">
        <v>1.845342706502636</v>
      </c>
      <c r="CF1162" s="168">
        <v>-2.1</v>
      </c>
      <c r="CG1162" s="169">
        <v>0.8</v>
      </c>
      <c r="CH1162" s="170">
        <v>29</v>
      </c>
      <c r="CJ1162" s="165">
        <v>34</v>
      </c>
      <c r="CK1162" s="167">
        <v>0.43936731107205629</v>
      </c>
      <c r="CL1162" s="168">
        <v>-2.6</v>
      </c>
      <c r="CM1162" s="169">
        <v>-0.2</v>
      </c>
      <c r="CN1162" s="170">
        <v>24</v>
      </c>
      <c r="CP1162" s="165">
        <v>449</v>
      </c>
      <c r="CQ1162" s="167">
        <v>0.26362038664323373</v>
      </c>
      <c r="CR1162" s="168">
        <v>-2.8</v>
      </c>
      <c r="CS1162" s="169">
        <v>-0.6</v>
      </c>
      <c r="CT1162" s="170">
        <v>22</v>
      </c>
      <c r="CV1162" s="155" t="s">
        <v>10</v>
      </c>
      <c r="CW1162" s="156" t="s">
        <v>13</v>
      </c>
      <c r="CX1162" s="156" t="s">
        <v>14</v>
      </c>
      <c r="CY1162" s="156" t="s">
        <v>15</v>
      </c>
      <c r="CZ1162" s="157" t="s">
        <v>16</v>
      </c>
      <c r="DB1162" s="165">
        <v>0.9</v>
      </c>
      <c r="DC1162" s="167">
        <v>55.966587112171837</v>
      </c>
      <c r="DD1162" s="168">
        <v>0.2</v>
      </c>
      <c r="DE1162" s="169">
        <v>5.4</v>
      </c>
      <c r="DF1162" s="170">
        <v>52</v>
      </c>
    </row>
    <row r="1163" spans="15:110" ht="13.15" hidden="1" thickBot="1" x14ac:dyDescent="0.25">
      <c r="S1163" s="178" t="e">
        <f>IF(F154&lt;0,0,IF(F154&gt;42,42,F154))</f>
        <v>#REF!</v>
      </c>
      <c r="U1163" s="180" t="s">
        <v>281</v>
      </c>
      <c r="AB1163" s="165">
        <v>9</v>
      </c>
      <c r="AC1163" s="167">
        <v>0.61728395061728392</v>
      </c>
      <c r="AD1163" s="168">
        <v>-2.5</v>
      </c>
      <c r="AE1163" s="169">
        <v>0</v>
      </c>
      <c r="AF1163" s="170">
        <v>25</v>
      </c>
      <c r="AG1163" s="20">
        <f t="shared" si="22"/>
        <v>24</v>
      </c>
      <c r="AH1163" s="165">
        <v>12</v>
      </c>
      <c r="AI1163" s="167">
        <v>72.173144876325097</v>
      </c>
      <c r="AJ1163" s="168">
        <v>0.6</v>
      </c>
      <c r="AK1163" s="169">
        <v>6.2</v>
      </c>
      <c r="AL1163" s="170">
        <v>56</v>
      </c>
      <c r="AS1163" s="20">
        <f t="shared" si="20"/>
        <v>30</v>
      </c>
      <c r="AT1163" s="165">
        <v>15</v>
      </c>
      <c r="AU1163" s="167">
        <v>26.010544815465732</v>
      </c>
      <c r="AV1163" s="168">
        <v>-0.6</v>
      </c>
      <c r="AW1163" s="169">
        <v>3.8</v>
      </c>
      <c r="AX1163" s="170">
        <v>44</v>
      </c>
      <c r="BK1163" s="20">
        <f t="shared" si="19"/>
        <v>49</v>
      </c>
      <c r="BL1163" s="165">
        <v>4.9000000000000004</v>
      </c>
      <c r="BM1163" s="167">
        <v>4.5936395759717312</v>
      </c>
      <c r="BN1163" s="168">
        <v>-1.7</v>
      </c>
      <c r="BO1163" s="169">
        <v>1.6</v>
      </c>
      <c r="BP1163" s="170">
        <v>33</v>
      </c>
      <c r="BX1163" s="165">
        <v>634</v>
      </c>
      <c r="BY1163" s="167">
        <v>0.44014084507042256</v>
      </c>
      <c r="BZ1163" s="168">
        <v>-2.6</v>
      </c>
      <c r="CA1163" s="169">
        <v>-0.2</v>
      </c>
      <c r="CB1163" s="170">
        <v>24</v>
      </c>
      <c r="CD1163" s="165">
        <v>30</v>
      </c>
      <c r="CE1163" s="167">
        <v>1.845342706502636</v>
      </c>
      <c r="CF1163" s="168">
        <v>-2.1</v>
      </c>
      <c r="CG1163" s="169">
        <v>0.8</v>
      </c>
      <c r="CH1163" s="170">
        <v>29</v>
      </c>
      <c r="CJ1163" s="165">
        <v>33</v>
      </c>
      <c r="CK1163" s="167">
        <v>0.43936731107205629</v>
      </c>
      <c r="CL1163" s="168">
        <v>-2.6</v>
      </c>
      <c r="CM1163" s="169">
        <v>-0.2</v>
      </c>
      <c r="CN1163" s="170">
        <v>24</v>
      </c>
      <c r="CP1163" s="165">
        <v>448</v>
      </c>
      <c r="CQ1163" s="167">
        <v>0.26362038664323373</v>
      </c>
      <c r="CR1163" s="168">
        <v>-2.8</v>
      </c>
      <c r="CS1163" s="169">
        <v>-0.6</v>
      </c>
      <c r="CT1163" s="170">
        <v>22</v>
      </c>
      <c r="CV1163" s="160">
        <v>102</v>
      </c>
      <c r="CW1163" s="161">
        <v>8.8028169014084515E-2</v>
      </c>
      <c r="CX1163" s="162">
        <v>-3</v>
      </c>
      <c r="CY1163" s="163">
        <v>-1</v>
      </c>
      <c r="CZ1163" s="164">
        <v>20</v>
      </c>
      <c r="DB1163" s="172">
        <v>1</v>
      </c>
      <c r="DC1163" s="173">
        <v>55.966587112171837</v>
      </c>
      <c r="DD1163" s="174">
        <v>0.2</v>
      </c>
      <c r="DE1163" s="175">
        <v>5.4</v>
      </c>
      <c r="DF1163" s="176">
        <v>52</v>
      </c>
    </row>
    <row r="1164" spans="15:110" ht="13.15" hidden="1" thickBot="1" x14ac:dyDescent="0.25">
      <c r="AB1164" s="165">
        <v>10</v>
      </c>
      <c r="AC1164" s="167">
        <v>0.61728395061728392</v>
      </c>
      <c r="AD1164" s="168">
        <v>-2.5</v>
      </c>
      <c r="AE1164" s="169">
        <v>0</v>
      </c>
      <c r="AF1164" s="170">
        <v>25</v>
      </c>
      <c r="AG1164" s="20">
        <f t="shared" si="22"/>
        <v>25</v>
      </c>
      <c r="AH1164" s="165">
        <v>12.5</v>
      </c>
      <c r="AI1164" s="167">
        <v>75.971731448763251</v>
      </c>
      <c r="AJ1164" s="168">
        <v>0.7</v>
      </c>
      <c r="AK1164" s="169">
        <v>6.4</v>
      </c>
      <c r="AL1164" s="170">
        <v>57</v>
      </c>
      <c r="AS1164" s="20">
        <f t="shared" si="20"/>
        <v>31</v>
      </c>
      <c r="AT1164" s="165">
        <v>15.5</v>
      </c>
      <c r="AU1164" s="167">
        <v>63.356766256590511</v>
      </c>
      <c r="AV1164" s="168">
        <v>0.3</v>
      </c>
      <c r="AW1164" s="169">
        <v>5.6</v>
      </c>
      <c r="AX1164" s="170">
        <v>53</v>
      </c>
      <c r="BK1164" s="20">
        <f t="shared" si="19"/>
        <v>48</v>
      </c>
      <c r="BL1164" s="165">
        <v>4.8</v>
      </c>
      <c r="BM1164" s="167">
        <v>4.5936395759717312</v>
      </c>
      <c r="BN1164" s="168">
        <v>-1.7</v>
      </c>
      <c r="BO1164" s="169">
        <v>1.6</v>
      </c>
      <c r="BP1164" s="170">
        <v>33</v>
      </c>
      <c r="BX1164" s="165">
        <v>633</v>
      </c>
      <c r="BY1164" s="167">
        <v>0.44014084507042256</v>
      </c>
      <c r="BZ1164" s="168">
        <v>-2.6</v>
      </c>
      <c r="CA1164" s="169">
        <v>-0.2</v>
      </c>
      <c r="CB1164" s="170">
        <v>24</v>
      </c>
      <c r="CD1164" s="165">
        <v>29</v>
      </c>
      <c r="CE1164" s="167">
        <v>2.0210896309314585</v>
      </c>
      <c r="CF1164" s="168">
        <v>-2.1</v>
      </c>
      <c r="CG1164" s="169">
        <v>0.8</v>
      </c>
      <c r="CH1164" s="170">
        <v>29</v>
      </c>
      <c r="CJ1164" s="165">
        <v>32</v>
      </c>
      <c r="CK1164" s="167">
        <v>0.43936731107205629</v>
      </c>
      <c r="CL1164" s="168">
        <v>-2.6</v>
      </c>
      <c r="CM1164" s="169">
        <v>-0.2</v>
      </c>
      <c r="CN1164" s="170">
        <v>24</v>
      </c>
      <c r="CP1164" s="165">
        <v>447</v>
      </c>
      <c r="CQ1164" s="167">
        <v>0.26362038664323373</v>
      </c>
      <c r="CR1164" s="168">
        <v>-2.8</v>
      </c>
      <c r="CS1164" s="169">
        <v>-0.6</v>
      </c>
      <c r="CT1164" s="170">
        <v>22</v>
      </c>
      <c r="CV1164" s="165">
        <v>101</v>
      </c>
      <c r="CW1164" s="167">
        <v>0.2640845070422535</v>
      </c>
      <c r="CX1164" s="168">
        <v>-2.8</v>
      </c>
      <c r="CY1164" s="169">
        <v>-0.6</v>
      </c>
      <c r="CZ1164" s="170">
        <v>22</v>
      </c>
    </row>
    <row r="1165" spans="15:110" ht="13.8" hidden="1" thickBot="1" x14ac:dyDescent="0.3">
      <c r="AB1165" s="165">
        <v>11</v>
      </c>
      <c r="AC1165" s="167">
        <v>1.4991181657848323</v>
      </c>
      <c r="AD1165" s="168">
        <v>-2.2000000000000002</v>
      </c>
      <c r="AE1165" s="169">
        <v>0.6</v>
      </c>
      <c r="AF1165" s="170">
        <v>28</v>
      </c>
      <c r="AG1165" s="20">
        <f t="shared" si="22"/>
        <v>26</v>
      </c>
      <c r="AH1165" s="165">
        <v>13</v>
      </c>
      <c r="AI1165" s="167">
        <v>79.328621908127204</v>
      </c>
      <c r="AJ1165" s="168">
        <v>0.8</v>
      </c>
      <c r="AK1165" s="169">
        <v>6.6</v>
      </c>
      <c r="AL1165" s="170">
        <v>58</v>
      </c>
      <c r="AN1165" s="138" t="s">
        <v>186</v>
      </c>
      <c r="AO1165" s="139"/>
      <c r="AP1165" s="139"/>
      <c r="AQ1165" s="140" t="s">
        <v>180</v>
      </c>
      <c r="AR1165" s="141">
        <v>568</v>
      </c>
      <c r="AS1165" s="20">
        <f t="shared" si="20"/>
        <v>32</v>
      </c>
      <c r="AT1165" s="172">
        <v>16</v>
      </c>
      <c r="AU1165" s="173">
        <v>63.356766256590511</v>
      </c>
      <c r="AV1165" s="174">
        <v>0.3</v>
      </c>
      <c r="AW1165" s="175">
        <v>5.6</v>
      </c>
      <c r="AX1165" s="176">
        <v>53</v>
      </c>
      <c r="BK1165" s="20">
        <f t="shared" si="19"/>
        <v>47</v>
      </c>
      <c r="BL1165" s="165">
        <v>4.7</v>
      </c>
      <c r="BM1165" s="167">
        <v>4.5936395759717312</v>
      </c>
      <c r="BN1165" s="168">
        <v>-1.7</v>
      </c>
      <c r="BO1165" s="169">
        <v>1.6</v>
      </c>
      <c r="BP1165" s="170">
        <v>33</v>
      </c>
      <c r="BX1165" s="165">
        <v>632</v>
      </c>
      <c r="BY1165" s="167">
        <v>0.44014084507042256</v>
      </c>
      <c r="BZ1165" s="168">
        <v>-2.6</v>
      </c>
      <c r="CA1165" s="169">
        <v>-0.2</v>
      </c>
      <c r="CB1165" s="170">
        <v>24</v>
      </c>
      <c r="CD1165" s="165">
        <v>28</v>
      </c>
      <c r="CE1165" s="167">
        <v>2.1968365553602811</v>
      </c>
      <c r="CF1165" s="168">
        <v>-2</v>
      </c>
      <c r="CG1165" s="169">
        <v>1</v>
      </c>
      <c r="CH1165" s="170">
        <v>30</v>
      </c>
      <c r="CJ1165" s="165">
        <v>31</v>
      </c>
      <c r="CK1165" s="167">
        <v>0.61511423550087874</v>
      </c>
      <c r="CL1165" s="168">
        <v>-2.5</v>
      </c>
      <c r="CM1165" s="169">
        <v>0</v>
      </c>
      <c r="CN1165" s="170">
        <v>25</v>
      </c>
      <c r="CP1165" s="165">
        <v>446</v>
      </c>
      <c r="CQ1165" s="167">
        <v>0.26362038664323373</v>
      </c>
      <c r="CR1165" s="168">
        <v>-2.8</v>
      </c>
      <c r="CS1165" s="169">
        <v>-0.6</v>
      </c>
      <c r="CT1165" s="170">
        <v>22</v>
      </c>
      <c r="CV1165" s="165">
        <v>100</v>
      </c>
      <c r="CW1165" s="167">
        <v>0.2640845070422535</v>
      </c>
      <c r="CX1165" s="168">
        <v>-2.8</v>
      </c>
      <c r="CY1165" s="169">
        <v>-0.6</v>
      </c>
      <c r="CZ1165" s="170">
        <v>22</v>
      </c>
    </row>
    <row r="1166" spans="15:110" ht="13.15" hidden="1" x14ac:dyDescent="0.25">
      <c r="AB1166" s="165">
        <v>12</v>
      </c>
      <c r="AC1166" s="167">
        <v>2.9982363315696645</v>
      </c>
      <c r="AD1166" s="168">
        <v>-1.9</v>
      </c>
      <c r="AE1166" s="169">
        <v>1.2</v>
      </c>
      <c r="AF1166" s="170">
        <v>31</v>
      </c>
      <c r="AG1166" s="20">
        <f t="shared" si="22"/>
        <v>27</v>
      </c>
      <c r="AH1166" s="165">
        <v>13.5</v>
      </c>
      <c r="AI1166" s="167">
        <v>82.067137809187273</v>
      </c>
      <c r="AJ1166" s="168">
        <v>0.9</v>
      </c>
      <c r="AK1166" s="169">
        <v>6.8</v>
      </c>
      <c r="AL1166" s="170">
        <v>59</v>
      </c>
      <c r="AN1166" s="144" t="s">
        <v>161</v>
      </c>
      <c r="AP1166" s="20" t="s">
        <v>162</v>
      </c>
      <c r="AR1166" s="145"/>
      <c r="BK1166" s="20">
        <f t="shared" si="19"/>
        <v>46</v>
      </c>
      <c r="BL1166" s="165">
        <v>4.5999999999999996</v>
      </c>
      <c r="BM1166" s="167">
        <v>4.5936395759717312</v>
      </c>
      <c r="BN1166" s="168">
        <v>-1.7</v>
      </c>
      <c r="BO1166" s="169">
        <v>1.6</v>
      </c>
      <c r="BP1166" s="170">
        <v>33</v>
      </c>
      <c r="BX1166" s="165">
        <v>631</v>
      </c>
      <c r="BY1166" s="167">
        <v>0.44014084507042256</v>
      </c>
      <c r="BZ1166" s="168">
        <v>-2.6</v>
      </c>
      <c r="CA1166" s="169">
        <v>-0.2</v>
      </c>
      <c r="CB1166" s="170">
        <v>24</v>
      </c>
      <c r="CD1166" s="165">
        <v>27</v>
      </c>
      <c r="CE1166" s="167">
        <v>2.4604569420035149</v>
      </c>
      <c r="CF1166" s="168">
        <v>-2</v>
      </c>
      <c r="CG1166" s="169">
        <v>1</v>
      </c>
      <c r="CH1166" s="170">
        <v>30</v>
      </c>
      <c r="CJ1166" s="165">
        <v>30</v>
      </c>
      <c r="CK1166" s="167">
        <v>0.96660808435852363</v>
      </c>
      <c r="CL1166" s="168">
        <v>-2.2999999999999998</v>
      </c>
      <c r="CM1166" s="169">
        <v>0.4</v>
      </c>
      <c r="CN1166" s="170">
        <v>27</v>
      </c>
      <c r="CP1166" s="165">
        <v>445</v>
      </c>
      <c r="CQ1166" s="167">
        <v>0.26362038664323373</v>
      </c>
      <c r="CR1166" s="168">
        <v>-2.8</v>
      </c>
      <c r="CS1166" s="169">
        <v>-0.6</v>
      </c>
      <c r="CT1166" s="170">
        <v>22</v>
      </c>
      <c r="CV1166" s="165">
        <v>99</v>
      </c>
      <c r="CW1166" s="167">
        <v>0.2640845070422535</v>
      </c>
      <c r="CX1166" s="168">
        <v>-2.8</v>
      </c>
      <c r="CY1166" s="169">
        <v>-0.6</v>
      </c>
      <c r="CZ1166" s="170">
        <v>22</v>
      </c>
      <c r="DB1166" s="138" t="s">
        <v>114</v>
      </c>
      <c r="DC1166" s="139"/>
      <c r="DD1166" s="139"/>
      <c r="DE1166" s="140" t="s">
        <v>215</v>
      </c>
      <c r="DF1166" s="141">
        <v>419</v>
      </c>
    </row>
    <row r="1167" spans="15:110" ht="13.15" hidden="1" thickBot="1" x14ac:dyDescent="0.25">
      <c r="S1167" s="169" t="e">
        <f>IF(T1167&lt;0,0,IF(T1167&gt;6,6,T1167))</f>
        <v>#REF!</v>
      </c>
      <c r="T1167" s="178" t="e">
        <f>$F159-1.25*$R$1031-0.65*$R$1030</f>
        <v>#REF!</v>
      </c>
      <c r="U1167" s="180" t="s">
        <v>294</v>
      </c>
      <c r="AB1167" s="165">
        <v>13</v>
      </c>
      <c r="AC1167" s="167">
        <v>7.7601410934744264</v>
      </c>
      <c r="AD1167" s="168">
        <v>-1.4</v>
      </c>
      <c r="AE1167" s="169">
        <v>2.2000000000000002</v>
      </c>
      <c r="AF1167" s="170">
        <v>36</v>
      </c>
      <c r="AG1167" s="20">
        <f t="shared" si="22"/>
        <v>28</v>
      </c>
      <c r="AH1167" s="165">
        <v>14</v>
      </c>
      <c r="AI1167" s="167">
        <v>84.982332155477039</v>
      </c>
      <c r="AJ1167" s="168">
        <v>1</v>
      </c>
      <c r="AK1167" s="169">
        <v>7</v>
      </c>
      <c r="AL1167" s="170">
        <v>60</v>
      </c>
      <c r="AN1167" s="147" t="s">
        <v>190</v>
      </c>
      <c r="AO1167" s="148"/>
      <c r="AP1167" s="148"/>
      <c r="AQ1167" s="148"/>
      <c r="AR1167" s="149"/>
      <c r="BK1167" s="20">
        <f t="shared" si="19"/>
        <v>45</v>
      </c>
      <c r="BL1167" s="165">
        <v>4.5</v>
      </c>
      <c r="BM1167" s="167">
        <v>4.5936395759717312</v>
      </c>
      <c r="BN1167" s="168">
        <v>-1.7</v>
      </c>
      <c r="BO1167" s="169">
        <v>1.6</v>
      </c>
      <c r="BP1167" s="170">
        <v>33</v>
      </c>
      <c r="BX1167" s="165">
        <v>630</v>
      </c>
      <c r="BY1167" s="167">
        <v>0.44014084507042256</v>
      </c>
      <c r="BZ1167" s="168">
        <v>-2.6</v>
      </c>
      <c r="CA1167" s="169">
        <v>-0.2</v>
      </c>
      <c r="CB1167" s="170">
        <v>24</v>
      </c>
      <c r="CD1167" s="165">
        <v>26</v>
      </c>
      <c r="CE1167" s="167">
        <v>2.4604569420035149</v>
      </c>
      <c r="CF1167" s="168">
        <v>-2</v>
      </c>
      <c r="CG1167" s="169">
        <v>1</v>
      </c>
      <c r="CH1167" s="170">
        <v>30</v>
      </c>
      <c r="CJ1167" s="165">
        <v>29</v>
      </c>
      <c r="CK1167" s="167">
        <v>0.96660808435852363</v>
      </c>
      <c r="CL1167" s="168">
        <v>-2.2999999999999998</v>
      </c>
      <c r="CM1167" s="169">
        <v>0.4</v>
      </c>
      <c r="CN1167" s="170">
        <v>27</v>
      </c>
      <c r="CP1167" s="165">
        <v>444</v>
      </c>
      <c r="CQ1167" s="167">
        <v>0.26362038664323373</v>
      </c>
      <c r="CR1167" s="168">
        <v>-2.8</v>
      </c>
      <c r="CS1167" s="169">
        <v>-0.6</v>
      </c>
      <c r="CT1167" s="170">
        <v>22</v>
      </c>
      <c r="CV1167" s="165">
        <v>98</v>
      </c>
      <c r="CW1167" s="167">
        <v>0.2640845070422535</v>
      </c>
      <c r="CX1167" s="168">
        <v>-2.8</v>
      </c>
      <c r="CY1167" s="169">
        <v>-0.6</v>
      </c>
      <c r="CZ1167" s="170">
        <v>22</v>
      </c>
      <c r="DB1167" s="144" t="s">
        <v>161</v>
      </c>
      <c r="DD1167" s="20" t="s">
        <v>162</v>
      </c>
      <c r="DF1167" s="145"/>
    </row>
    <row r="1168" spans="15:110" ht="13.8" hidden="1" thickBot="1" x14ac:dyDescent="0.3">
      <c r="S1168" s="178" t="e">
        <f>IF(F160&lt;0,0,IF(F160&gt;5,5,F160))</f>
        <v>#REF!</v>
      </c>
      <c r="T1168" s="178"/>
      <c r="U1168" s="180" t="s">
        <v>281</v>
      </c>
      <c r="AB1168" s="165">
        <v>14</v>
      </c>
      <c r="AC1168" s="167">
        <v>21.693121693121693</v>
      </c>
      <c r="AD1168" s="168">
        <v>-0.8</v>
      </c>
      <c r="AE1168" s="169">
        <v>3.4</v>
      </c>
      <c r="AF1168" s="170">
        <v>42</v>
      </c>
      <c r="AG1168" s="20">
        <f t="shared" si="22"/>
        <v>29</v>
      </c>
      <c r="AH1168" s="165">
        <v>14.5</v>
      </c>
      <c r="AI1168" s="167">
        <v>87.897526501766791</v>
      </c>
      <c r="AJ1168" s="168">
        <v>1.2</v>
      </c>
      <c r="AK1168" s="169">
        <v>7.4</v>
      </c>
      <c r="AL1168" s="170">
        <v>62</v>
      </c>
      <c r="AN1168" s="150" t="s">
        <v>164</v>
      </c>
      <c r="AO1168" s="151" t="s">
        <v>25</v>
      </c>
      <c r="AP1168" s="152"/>
      <c r="AQ1168" s="152"/>
      <c r="AR1168" s="153"/>
      <c r="AT1168" s="138" t="s">
        <v>203</v>
      </c>
      <c r="AU1168" s="139"/>
      <c r="AV1168" s="139"/>
      <c r="AW1168" s="140"/>
      <c r="AX1168" s="141" t="s">
        <v>160</v>
      </c>
      <c r="BK1168" s="20">
        <f t="shared" si="19"/>
        <v>44</v>
      </c>
      <c r="BL1168" s="165">
        <v>4.4000000000000004</v>
      </c>
      <c r="BM1168" s="167">
        <v>6.3604240282685502</v>
      </c>
      <c r="BN1168" s="168">
        <v>-1.5</v>
      </c>
      <c r="BO1168" s="169">
        <v>2</v>
      </c>
      <c r="BP1168" s="170">
        <v>35</v>
      </c>
      <c r="BX1168" s="165">
        <v>629</v>
      </c>
      <c r="BY1168" s="167">
        <v>0.44014084507042256</v>
      </c>
      <c r="BZ1168" s="168">
        <v>-2.6</v>
      </c>
      <c r="CA1168" s="169">
        <v>-0.2</v>
      </c>
      <c r="CB1168" s="170">
        <v>24</v>
      </c>
      <c r="CD1168" s="165">
        <v>25</v>
      </c>
      <c r="CE1168" s="167">
        <v>2.7240773286467488</v>
      </c>
      <c r="CF1168" s="168">
        <v>-1.9</v>
      </c>
      <c r="CG1168" s="169">
        <v>1.2</v>
      </c>
      <c r="CH1168" s="170">
        <v>31</v>
      </c>
      <c r="CJ1168" s="165">
        <v>28</v>
      </c>
      <c r="CK1168" s="167">
        <v>1.3181019332161688</v>
      </c>
      <c r="CL1168" s="168">
        <v>-2.2000000000000002</v>
      </c>
      <c r="CM1168" s="169">
        <v>0.6</v>
      </c>
      <c r="CN1168" s="170">
        <v>28</v>
      </c>
      <c r="CP1168" s="165">
        <v>443</v>
      </c>
      <c r="CQ1168" s="167">
        <v>0.26362038664323373</v>
      </c>
      <c r="CR1168" s="168">
        <v>-2.8</v>
      </c>
      <c r="CS1168" s="169">
        <v>-0.6</v>
      </c>
      <c r="CT1168" s="170">
        <v>22</v>
      </c>
      <c r="CV1168" s="165">
        <v>97</v>
      </c>
      <c r="CW1168" s="167">
        <v>0.2640845070422535</v>
      </c>
      <c r="CX1168" s="168">
        <v>-2.8</v>
      </c>
      <c r="CY1168" s="169">
        <v>-0.6</v>
      </c>
      <c r="CZ1168" s="170">
        <v>22</v>
      </c>
      <c r="DB1168" s="181"/>
      <c r="DC1168" s="148"/>
      <c r="DD1168" s="179" t="s">
        <v>170</v>
      </c>
      <c r="DE1168" s="148"/>
      <c r="DF1168" s="149"/>
    </row>
    <row r="1169" spans="15:110" ht="13.15" hidden="1" thickBot="1" x14ac:dyDescent="0.25">
      <c r="S1169" s="178" t="e">
        <f>IF(F161&lt;0,0,IF(F161&gt;3,3,F161))</f>
        <v>#REF!</v>
      </c>
      <c r="T1169" s="178"/>
      <c r="U1169" s="180" t="s">
        <v>281</v>
      </c>
      <c r="AB1169" s="172">
        <v>15</v>
      </c>
      <c r="AC1169" s="173">
        <v>65.961199294532619</v>
      </c>
      <c r="AD1169" s="174">
        <v>0.4</v>
      </c>
      <c r="AE1169" s="175">
        <v>5.8</v>
      </c>
      <c r="AF1169" s="176">
        <v>54</v>
      </c>
      <c r="AG1169" s="20">
        <f t="shared" si="22"/>
        <v>30</v>
      </c>
      <c r="AH1169" s="165">
        <v>15</v>
      </c>
      <c r="AI1169" s="167">
        <v>90.10600706713781</v>
      </c>
      <c r="AJ1169" s="168">
        <v>1.3</v>
      </c>
      <c r="AK1169" s="169">
        <v>7.6</v>
      </c>
      <c r="AL1169" s="170">
        <v>63</v>
      </c>
      <c r="AN1169" s="155" t="s">
        <v>10</v>
      </c>
      <c r="AO1169" s="156" t="s">
        <v>13</v>
      </c>
      <c r="AP1169" s="156" t="s">
        <v>14</v>
      </c>
      <c r="AQ1169" s="156" t="s">
        <v>15</v>
      </c>
      <c r="AR1169" s="157" t="s">
        <v>16</v>
      </c>
      <c r="AT1169" s="144" t="s">
        <v>161</v>
      </c>
      <c r="AV1169" s="20" t="s">
        <v>162</v>
      </c>
      <c r="AX1169" s="145"/>
      <c r="BK1169" s="20">
        <f t="shared" si="19"/>
        <v>43</v>
      </c>
      <c r="BL1169" s="165">
        <v>4.3</v>
      </c>
      <c r="BM1169" s="167">
        <v>6.3604240282685502</v>
      </c>
      <c r="BN1169" s="168">
        <v>-1.5</v>
      </c>
      <c r="BO1169" s="169">
        <v>2</v>
      </c>
      <c r="BP1169" s="170">
        <v>35</v>
      </c>
      <c r="BX1169" s="165">
        <v>628</v>
      </c>
      <c r="BY1169" s="167">
        <v>0.44014084507042256</v>
      </c>
      <c r="BZ1169" s="168">
        <v>-2.6</v>
      </c>
      <c r="CA1169" s="169">
        <v>-0.2</v>
      </c>
      <c r="CB1169" s="170">
        <v>24</v>
      </c>
      <c r="CD1169" s="165">
        <v>24</v>
      </c>
      <c r="CE1169" s="167">
        <v>2.9876977152899822</v>
      </c>
      <c r="CF1169" s="168">
        <v>-1.9</v>
      </c>
      <c r="CG1169" s="169">
        <v>1.2</v>
      </c>
      <c r="CH1169" s="170">
        <v>31</v>
      </c>
      <c r="CJ1169" s="165">
        <v>27</v>
      </c>
      <c r="CK1169" s="167">
        <v>1.5817223198594026</v>
      </c>
      <c r="CL1169" s="168">
        <v>-2.2000000000000002</v>
      </c>
      <c r="CM1169" s="169">
        <v>0.6</v>
      </c>
      <c r="CN1169" s="170">
        <v>28</v>
      </c>
      <c r="CP1169" s="165">
        <v>442</v>
      </c>
      <c r="CQ1169" s="167">
        <v>0.26362038664323373</v>
      </c>
      <c r="CR1169" s="168">
        <v>-2.8</v>
      </c>
      <c r="CS1169" s="169">
        <v>-0.6</v>
      </c>
      <c r="CT1169" s="170">
        <v>22</v>
      </c>
      <c r="CV1169" s="165">
        <v>96</v>
      </c>
      <c r="CW1169" s="167">
        <v>0.2640845070422535</v>
      </c>
      <c r="CX1169" s="168">
        <v>-2.8</v>
      </c>
      <c r="CY1169" s="169">
        <v>-0.6</v>
      </c>
      <c r="CZ1169" s="170">
        <v>22</v>
      </c>
      <c r="DB1169" s="150" t="s">
        <v>164</v>
      </c>
      <c r="DC1169" s="151" t="s">
        <v>258</v>
      </c>
      <c r="DD1169" s="152"/>
      <c r="DE1169" s="152"/>
      <c r="DF1169" s="153"/>
    </row>
    <row r="1170" spans="15:110" ht="13.15" hidden="1" thickBot="1" x14ac:dyDescent="0.25">
      <c r="S1170" s="169" t="e">
        <f>IF(T1170&lt;0,0,IF(T1170&gt;540,540,T1170))</f>
        <v>#REF!</v>
      </c>
      <c r="T1170" s="178" t="e">
        <f>F162-1.12*$R$1029-10.1*$R$1030</f>
        <v>#REF!</v>
      </c>
      <c r="U1170" s="180" t="s">
        <v>302</v>
      </c>
      <c r="AG1170" s="20">
        <f t="shared" si="22"/>
        <v>31</v>
      </c>
      <c r="AH1170" s="165">
        <v>15.5</v>
      </c>
      <c r="AI1170" s="167">
        <v>92.491166077738512</v>
      </c>
      <c r="AJ1170" s="168">
        <v>1.4</v>
      </c>
      <c r="AK1170" s="169">
        <v>7.8</v>
      </c>
      <c r="AL1170" s="170">
        <v>64</v>
      </c>
      <c r="AM1170" s="20">
        <f t="shared" ref="AM1170:AM1197" si="24">AN1170*2</f>
        <v>3</v>
      </c>
      <c r="AN1170" s="165">
        <v>1.5</v>
      </c>
      <c r="AO1170" s="167">
        <v>8.8028169014084515E-2</v>
      </c>
      <c r="AP1170" s="168">
        <v>-3</v>
      </c>
      <c r="AQ1170" s="169">
        <v>-1</v>
      </c>
      <c r="AR1170" s="170">
        <v>20</v>
      </c>
      <c r="AT1170" s="147" t="s">
        <v>207</v>
      </c>
      <c r="AU1170" s="148"/>
      <c r="AV1170" s="148"/>
      <c r="AW1170" s="148"/>
      <c r="AX1170" s="149"/>
      <c r="BK1170" s="20">
        <f t="shared" si="19"/>
        <v>42</v>
      </c>
      <c r="BL1170" s="165">
        <v>4.2</v>
      </c>
      <c r="BM1170" s="167">
        <v>6.3604240282685502</v>
      </c>
      <c r="BN1170" s="168">
        <v>-1.5</v>
      </c>
      <c r="BO1170" s="169">
        <v>2</v>
      </c>
      <c r="BP1170" s="170">
        <v>35</v>
      </c>
      <c r="BX1170" s="165">
        <v>627</v>
      </c>
      <c r="BY1170" s="167">
        <v>0.44014084507042256</v>
      </c>
      <c r="BZ1170" s="168">
        <v>-2.6</v>
      </c>
      <c r="CA1170" s="169">
        <v>-0.2</v>
      </c>
      <c r="CB1170" s="170">
        <v>24</v>
      </c>
      <c r="CD1170" s="165">
        <v>23</v>
      </c>
      <c r="CE1170" s="167">
        <v>3.3391915641476277</v>
      </c>
      <c r="CF1170" s="168">
        <v>-1.8</v>
      </c>
      <c r="CG1170" s="169">
        <v>1.4</v>
      </c>
      <c r="CH1170" s="170">
        <v>32</v>
      </c>
      <c r="CJ1170" s="165">
        <v>26</v>
      </c>
      <c r="CK1170" s="167">
        <v>1.845342706502636</v>
      </c>
      <c r="CL1170" s="168">
        <v>-2.1</v>
      </c>
      <c r="CM1170" s="169">
        <v>0.8</v>
      </c>
      <c r="CN1170" s="170">
        <v>29</v>
      </c>
      <c r="CP1170" s="165">
        <v>441</v>
      </c>
      <c r="CQ1170" s="167">
        <v>0.26362038664323373</v>
      </c>
      <c r="CR1170" s="168">
        <v>-2.8</v>
      </c>
      <c r="CS1170" s="169">
        <v>-0.6</v>
      </c>
      <c r="CT1170" s="170">
        <v>22</v>
      </c>
      <c r="CV1170" s="165">
        <v>95</v>
      </c>
      <c r="CW1170" s="167">
        <v>0.2640845070422535</v>
      </c>
      <c r="CX1170" s="168">
        <v>-2.8</v>
      </c>
      <c r="CY1170" s="169">
        <v>-0.6</v>
      </c>
      <c r="CZ1170" s="170">
        <v>22</v>
      </c>
      <c r="DB1170" s="155" t="s">
        <v>10</v>
      </c>
      <c r="DC1170" s="156" t="s">
        <v>13</v>
      </c>
      <c r="DD1170" s="156" t="s">
        <v>14</v>
      </c>
      <c r="DE1170" s="156" t="s">
        <v>15</v>
      </c>
      <c r="DF1170" s="159" t="s">
        <v>16</v>
      </c>
    </row>
    <row r="1171" spans="15:110" ht="13.15" hidden="1" thickBot="1" x14ac:dyDescent="0.25">
      <c r="AG1171" s="20">
        <f t="shared" si="22"/>
        <v>32</v>
      </c>
      <c r="AH1171" s="165">
        <v>16</v>
      </c>
      <c r="AI1171" s="167">
        <v>94.169611307420496</v>
      </c>
      <c r="AJ1171" s="168">
        <v>1.6</v>
      </c>
      <c r="AK1171" s="169">
        <v>8.1999999999999993</v>
      </c>
      <c r="AL1171" s="170">
        <v>66</v>
      </c>
      <c r="AM1171" s="20">
        <f t="shared" si="24"/>
        <v>4</v>
      </c>
      <c r="AN1171" s="165">
        <v>2</v>
      </c>
      <c r="AO1171" s="167">
        <v>0.2640845070422535</v>
      </c>
      <c r="AP1171" s="168">
        <v>-2.8</v>
      </c>
      <c r="AQ1171" s="169">
        <v>-0.6</v>
      </c>
      <c r="AR1171" s="170">
        <v>22</v>
      </c>
      <c r="AT1171" s="150" t="s">
        <v>164</v>
      </c>
      <c r="AU1171" s="151" t="s">
        <v>25</v>
      </c>
      <c r="AV1171" s="152"/>
      <c r="AW1171" s="152"/>
      <c r="AX1171" s="153"/>
      <c r="BK1171" s="20">
        <f t="shared" si="19"/>
        <v>41</v>
      </c>
      <c r="BL1171" s="165">
        <v>4.0999999999999996</v>
      </c>
      <c r="BM1171" s="167">
        <v>6.3604240282685502</v>
      </c>
      <c r="BN1171" s="168">
        <v>-1.5</v>
      </c>
      <c r="BO1171" s="169">
        <v>2</v>
      </c>
      <c r="BP1171" s="170">
        <v>35</v>
      </c>
      <c r="BX1171" s="165">
        <v>626</v>
      </c>
      <c r="BY1171" s="167">
        <v>0.44014084507042256</v>
      </c>
      <c r="BZ1171" s="168">
        <v>-2.6</v>
      </c>
      <c r="CA1171" s="169">
        <v>-0.2</v>
      </c>
      <c r="CB1171" s="170">
        <v>24</v>
      </c>
      <c r="CD1171" s="165">
        <v>22</v>
      </c>
      <c r="CE1171" s="167">
        <v>3.6028119507908607</v>
      </c>
      <c r="CF1171" s="168">
        <v>-1.8</v>
      </c>
      <c r="CG1171" s="169">
        <v>1.4</v>
      </c>
      <c r="CH1171" s="170">
        <v>32</v>
      </c>
      <c r="CJ1171" s="165">
        <v>25</v>
      </c>
      <c r="CK1171" s="167">
        <v>2.0210896309314585</v>
      </c>
      <c r="CL1171" s="168">
        <v>-2.1</v>
      </c>
      <c r="CM1171" s="169">
        <v>0.8</v>
      </c>
      <c r="CN1171" s="170">
        <v>29</v>
      </c>
      <c r="CP1171" s="165">
        <v>440</v>
      </c>
      <c r="CQ1171" s="167">
        <v>0.26362038664323373</v>
      </c>
      <c r="CR1171" s="168">
        <v>-2.8</v>
      </c>
      <c r="CS1171" s="169">
        <v>-0.6</v>
      </c>
      <c r="CT1171" s="170">
        <v>22</v>
      </c>
      <c r="CV1171" s="165">
        <v>94</v>
      </c>
      <c r="CW1171" s="167">
        <v>0.2640845070422535</v>
      </c>
      <c r="CX1171" s="168">
        <v>-2.8</v>
      </c>
      <c r="CY1171" s="169">
        <v>-0.6</v>
      </c>
      <c r="CZ1171" s="170">
        <v>22</v>
      </c>
      <c r="DB1171" s="160">
        <v>0.2</v>
      </c>
      <c r="DC1171" s="161">
        <v>0.11933174224343676</v>
      </c>
      <c r="DD1171" s="162">
        <v>-3</v>
      </c>
      <c r="DE1171" s="163">
        <v>-1</v>
      </c>
      <c r="DF1171" s="164">
        <v>20</v>
      </c>
    </row>
    <row r="1172" spans="15:110" ht="13.8" hidden="1" thickBot="1" x14ac:dyDescent="0.3">
      <c r="AB1172" s="138" t="s">
        <v>159</v>
      </c>
      <c r="AC1172" s="139"/>
      <c r="AD1172" s="139"/>
      <c r="AE1172" s="140"/>
      <c r="AF1172" s="141" t="s">
        <v>169</v>
      </c>
      <c r="AG1172" s="20">
        <f t="shared" si="22"/>
        <v>33</v>
      </c>
      <c r="AH1172" s="165">
        <v>16.5</v>
      </c>
      <c r="AI1172" s="167">
        <v>95.494699646643113</v>
      </c>
      <c r="AJ1172" s="168">
        <v>1.7</v>
      </c>
      <c r="AK1172" s="169">
        <v>8.4</v>
      </c>
      <c r="AL1172" s="170">
        <v>67</v>
      </c>
      <c r="AM1172" s="20">
        <f t="shared" si="24"/>
        <v>5</v>
      </c>
      <c r="AN1172" s="165">
        <v>2.5</v>
      </c>
      <c r="AO1172" s="167">
        <v>0.528169014084507</v>
      </c>
      <c r="AP1172" s="168">
        <v>-2.6</v>
      </c>
      <c r="AQ1172" s="169">
        <v>-0.2</v>
      </c>
      <c r="AR1172" s="170">
        <v>24</v>
      </c>
      <c r="AT1172" s="155" t="s">
        <v>10</v>
      </c>
      <c r="AU1172" s="158" t="s">
        <v>13</v>
      </c>
      <c r="AV1172" s="156" t="s">
        <v>14</v>
      </c>
      <c r="AW1172" s="156" t="s">
        <v>15</v>
      </c>
      <c r="AX1172" s="159" t="s">
        <v>16</v>
      </c>
      <c r="BK1172" s="20">
        <f t="shared" si="19"/>
        <v>40</v>
      </c>
      <c r="BL1172" s="165">
        <v>4</v>
      </c>
      <c r="BM1172" s="167">
        <v>6.3604240282685502</v>
      </c>
      <c r="BN1172" s="168">
        <v>-1.5</v>
      </c>
      <c r="BO1172" s="169">
        <v>2</v>
      </c>
      <c r="BP1172" s="170">
        <v>35</v>
      </c>
      <c r="BX1172" s="165">
        <v>625</v>
      </c>
      <c r="BY1172" s="167">
        <v>0.44014084507042256</v>
      </c>
      <c r="BZ1172" s="168">
        <v>-2.6</v>
      </c>
      <c r="CA1172" s="169">
        <v>-0.2</v>
      </c>
      <c r="CB1172" s="170">
        <v>24</v>
      </c>
      <c r="CD1172" s="165">
        <v>21</v>
      </c>
      <c r="CE1172" s="167">
        <v>4.1300527240773288</v>
      </c>
      <c r="CF1172" s="168">
        <v>-1.7</v>
      </c>
      <c r="CG1172" s="169">
        <v>1.6</v>
      </c>
      <c r="CH1172" s="170">
        <v>33</v>
      </c>
      <c r="CJ1172" s="165">
        <v>24</v>
      </c>
      <c r="CK1172" s="167">
        <v>2.1968365553602811</v>
      </c>
      <c r="CL1172" s="168">
        <v>-2</v>
      </c>
      <c r="CM1172" s="169">
        <v>1</v>
      </c>
      <c r="CN1172" s="170">
        <v>30</v>
      </c>
      <c r="CP1172" s="165">
        <v>439</v>
      </c>
      <c r="CQ1172" s="167">
        <v>0.26362038664323373</v>
      </c>
      <c r="CR1172" s="168">
        <v>-2.8</v>
      </c>
      <c r="CS1172" s="169">
        <v>-0.6</v>
      </c>
      <c r="CT1172" s="170">
        <v>22</v>
      </c>
      <c r="CV1172" s="165">
        <v>93</v>
      </c>
      <c r="CW1172" s="167">
        <v>0.2640845070422535</v>
      </c>
      <c r="CX1172" s="168">
        <v>-2.8</v>
      </c>
      <c r="CY1172" s="169">
        <v>-0.6</v>
      </c>
      <c r="CZ1172" s="170">
        <v>22</v>
      </c>
      <c r="DB1172" s="165">
        <v>0.3</v>
      </c>
      <c r="DC1172" s="167">
        <v>0.35799522673031026</v>
      </c>
      <c r="DD1172" s="168">
        <v>-2.7</v>
      </c>
      <c r="DE1172" s="169">
        <v>-0.4</v>
      </c>
      <c r="DF1172" s="170">
        <v>23</v>
      </c>
    </row>
    <row r="1173" spans="15:110" hidden="1" x14ac:dyDescent="0.2">
      <c r="AB1173" s="144" t="s">
        <v>161</v>
      </c>
      <c r="AD1173" s="20" t="s">
        <v>162</v>
      </c>
      <c r="AF1173" s="145"/>
      <c r="AG1173" s="20">
        <f t="shared" si="22"/>
        <v>34</v>
      </c>
      <c r="AH1173" s="165">
        <v>17</v>
      </c>
      <c r="AI1173" s="167">
        <v>96.996466431095413</v>
      </c>
      <c r="AJ1173" s="168">
        <v>1.9</v>
      </c>
      <c r="AK1173" s="169">
        <v>8.8000000000000007</v>
      </c>
      <c r="AL1173" s="170">
        <v>69</v>
      </c>
      <c r="AM1173" s="20">
        <f t="shared" si="24"/>
        <v>6</v>
      </c>
      <c r="AN1173" s="165">
        <v>3</v>
      </c>
      <c r="AO1173" s="167">
        <v>0.528169014084507</v>
      </c>
      <c r="AP1173" s="168">
        <v>-2.6</v>
      </c>
      <c r="AQ1173" s="169">
        <v>-0.2</v>
      </c>
      <c r="AR1173" s="170">
        <v>24</v>
      </c>
      <c r="AS1173" s="20">
        <f t="shared" ref="AS1173:AS1200" si="25">AT1173*2</f>
        <v>5</v>
      </c>
      <c r="AT1173" s="165">
        <v>2.5</v>
      </c>
      <c r="AU1173" s="167">
        <v>8.7873462214411238E-2</v>
      </c>
      <c r="AV1173" s="168">
        <v>-3</v>
      </c>
      <c r="AW1173" s="169">
        <v>-1</v>
      </c>
      <c r="AX1173" s="170">
        <v>20</v>
      </c>
      <c r="BK1173" s="20">
        <f t="shared" si="19"/>
        <v>39</v>
      </c>
      <c r="BL1173" s="165">
        <v>3.9</v>
      </c>
      <c r="BM1173" s="167">
        <v>8.3038869257950516</v>
      </c>
      <c r="BN1173" s="168">
        <v>-1.4</v>
      </c>
      <c r="BO1173" s="169">
        <v>2.2000000000000002</v>
      </c>
      <c r="BP1173" s="170">
        <v>36</v>
      </c>
      <c r="BX1173" s="165">
        <v>624</v>
      </c>
      <c r="BY1173" s="167">
        <v>0.44014084507042256</v>
      </c>
      <c r="BZ1173" s="168">
        <v>-2.6</v>
      </c>
      <c r="CA1173" s="169">
        <v>-0.2</v>
      </c>
      <c r="CB1173" s="170">
        <v>24</v>
      </c>
      <c r="CD1173" s="165">
        <v>20</v>
      </c>
      <c r="CE1173" s="167">
        <v>4.9209138840070299</v>
      </c>
      <c r="CF1173" s="168">
        <v>-1.7</v>
      </c>
      <c r="CG1173" s="169">
        <v>1.6</v>
      </c>
      <c r="CH1173" s="170">
        <v>33</v>
      </c>
      <c r="CJ1173" s="165">
        <v>23</v>
      </c>
      <c r="CK1173" s="167">
        <v>2.5483304042179262</v>
      </c>
      <c r="CL1173" s="168">
        <v>-2</v>
      </c>
      <c r="CM1173" s="169">
        <v>1</v>
      </c>
      <c r="CN1173" s="170">
        <v>30</v>
      </c>
      <c r="CP1173" s="165">
        <v>438</v>
      </c>
      <c r="CQ1173" s="167">
        <v>0.26362038664323373</v>
      </c>
      <c r="CR1173" s="168">
        <v>-2.8</v>
      </c>
      <c r="CS1173" s="169">
        <v>-0.6</v>
      </c>
      <c r="CT1173" s="170">
        <v>22</v>
      </c>
      <c r="CV1173" s="165">
        <v>92</v>
      </c>
      <c r="CW1173" s="167">
        <v>0.44014084507042256</v>
      </c>
      <c r="CX1173" s="168">
        <v>-2.6</v>
      </c>
      <c r="CY1173" s="169">
        <v>-0.2</v>
      </c>
      <c r="CZ1173" s="170">
        <v>24</v>
      </c>
      <c r="DB1173" s="165">
        <v>0.4</v>
      </c>
      <c r="DC1173" s="167">
        <v>0.8353221957040573</v>
      </c>
      <c r="DD1173" s="168">
        <v>-2.4</v>
      </c>
      <c r="DE1173" s="169">
        <v>0.2</v>
      </c>
      <c r="DF1173" s="170">
        <v>26</v>
      </c>
    </row>
    <row r="1174" spans="15:110" ht="13.15" hidden="1" thickBot="1" x14ac:dyDescent="0.25">
      <c r="O1174" s="20" t="e">
        <f>$F167-10.13*$R$1031-1</f>
        <v>#REF!</v>
      </c>
      <c r="P1174" s="20" t="e">
        <f>$F167-10.13*$R$1031+1</f>
        <v>#REF!</v>
      </c>
      <c r="S1174" s="169">
        <f>IF(T1174&lt;9,9,IF(T1174&gt;41,41,T1174))</f>
        <v>41</v>
      </c>
      <c r="T1174" s="11" t="str">
        <f>IF($C$5="m",O1174,IF($C$5="w",P1174,""))</f>
        <v/>
      </c>
      <c r="U1174" s="180" t="s">
        <v>295</v>
      </c>
      <c r="AB1174" s="147" t="s">
        <v>171</v>
      </c>
      <c r="AC1174" s="148"/>
      <c r="AD1174" s="148"/>
      <c r="AE1174" s="148"/>
      <c r="AF1174" s="149"/>
      <c r="AG1174" s="20">
        <f t="shared" si="22"/>
        <v>35</v>
      </c>
      <c r="AH1174" s="165">
        <v>17.5</v>
      </c>
      <c r="AI1174" s="167">
        <v>97.96819787985865</v>
      </c>
      <c r="AJ1174" s="168">
        <v>2.1</v>
      </c>
      <c r="AK1174" s="169">
        <v>9.1999999999999993</v>
      </c>
      <c r="AL1174" s="170">
        <v>71</v>
      </c>
      <c r="AM1174" s="20">
        <f t="shared" si="24"/>
        <v>7</v>
      </c>
      <c r="AN1174" s="165">
        <v>3.5</v>
      </c>
      <c r="AO1174" s="167">
        <v>1.232394366197183</v>
      </c>
      <c r="AP1174" s="168">
        <v>-2.2000000000000002</v>
      </c>
      <c r="AQ1174" s="169">
        <v>0.6</v>
      </c>
      <c r="AR1174" s="170">
        <v>28</v>
      </c>
      <c r="AS1174" s="20">
        <f t="shared" si="25"/>
        <v>6</v>
      </c>
      <c r="AT1174" s="165">
        <v>3</v>
      </c>
      <c r="AU1174" s="167">
        <v>0.26362038664323373</v>
      </c>
      <c r="AV1174" s="168">
        <v>-2.8</v>
      </c>
      <c r="AW1174" s="169">
        <v>-0.6</v>
      </c>
      <c r="AX1174" s="170">
        <v>22</v>
      </c>
      <c r="BK1174" s="20">
        <f t="shared" si="19"/>
        <v>38</v>
      </c>
      <c r="BL1174" s="165">
        <v>3.8</v>
      </c>
      <c r="BM1174" s="167">
        <v>8.3038869257950516</v>
      </c>
      <c r="BN1174" s="168">
        <v>-1.4</v>
      </c>
      <c r="BO1174" s="169">
        <v>2.2000000000000002</v>
      </c>
      <c r="BP1174" s="170">
        <v>36</v>
      </c>
      <c r="BX1174" s="165">
        <v>623</v>
      </c>
      <c r="BY1174" s="167">
        <v>0.44014084507042256</v>
      </c>
      <c r="BZ1174" s="168">
        <v>-2.6</v>
      </c>
      <c r="CA1174" s="169">
        <v>-0.2</v>
      </c>
      <c r="CB1174" s="170">
        <v>24</v>
      </c>
      <c r="CD1174" s="165">
        <v>19</v>
      </c>
      <c r="CE1174" s="167">
        <v>6.0632688927943761</v>
      </c>
      <c r="CF1174" s="168">
        <v>-1.6</v>
      </c>
      <c r="CG1174" s="169">
        <v>1.8</v>
      </c>
      <c r="CH1174" s="170">
        <v>34</v>
      </c>
      <c r="CJ1174" s="165">
        <v>22</v>
      </c>
      <c r="CK1174" s="167">
        <v>2.8998242530755709</v>
      </c>
      <c r="CL1174" s="168">
        <v>-1.9</v>
      </c>
      <c r="CM1174" s="169">
        <v>1.2</v>
      </c>
      <c r="CN1174" s="170">
        <v>31</v>
      </c>
      <c r="CP1174" s="165">
        <v>437</v>
      </c>
      <c r="CQ1174" s="167">
        <v>0.26362038664323373</v>
      </c>
      <c r="CR1174" s="168">
        <v>-2.8</v>
      </c>
      <c r="CS1174" s="169">
        <v>-0.6</v>
      </c>
      <c r="CT1174" s="170">
        <v>22</v>
      </c>
      <c r="CV1174" s="165">
        <v>91</v>
      </c>
      <c r="CW1174" s="167">
        <v>0.61619718309859151</v>
      </c>
      <c r="CX1174" s="168">
        <v>-2.5</v>
      </c>
      <c r="CY1174" s="169">
        <v>0</v>
      </c>
      <c r="CZ1174" s="170">
        <v>25</v>
      </c>
      <c r="DB1174" s="165">
        <v>0.5</v>
      </c>
      <c r="DC1174" s="167">
        <v>1.3126491646778042</v>
      </c>
      <c r="DD1174" s="168">
        <v>-2.2000000000000002</v>
      </c>
      <c r="DE1174" s="169">
        <v>0.6</v>
      </c>
      <c r="DF1174" s="170">
        <v>28</v>
      </c>
    </row>
    <row r="1175" spans="15:110" ht="13.15" hidden="1" thickBot="1" x14ac:dyDescent="0.25">
      <c r="S1175" s="178" t="e">
        <f>IF(F168&lt;0,0,IF(F168&gt;3,3,F168))</f>
        <v>#REF!</v>
      </c>
      <c r="U1175" s="180" t="s">
        <v>281</v>
      </c>
      <c r="AB1175" s="150" t="s">
        <v>164</v>
      </c>
      <c r="AC1175" s="151" t="s">
        <v>27</v>
      </c>
      <c r="AD1175" s="152"/>
      <c r="AE1175" s="152"/>
      <c r="AF1175" s="153"/>
      <c r="AG1175" s="20">
        <f t="shared" si="22"/>
        <v>36</v>
      </c>
      <c r="AH1175" s="165">
        <v>18</v>
      </c>
      <c r="AI1175" s="167">
        <v>98.674911660777383</v>
      </c>
      <c r="AJ1175" s="168">
        <v>2.2000000000000002</v>
      </c>
      <c r="AK1175" s="169">
        <v>9.4</v>
      </c>
      <c r="AL1175" s="170">
        <v>72</v>
      </c>
      <c r="AM1175" s="20">
        <f t="shared" si="24"/>
        <v>8</v>
      </c>
      <c r="AN1175" s="165">
        <v>4</v>
      </c>
      <c r="AO1175" s="167">
        <v>1.232394366197183</v>
      </c>
      <c r="AP1175" s="168">
        <v>-2.2000000000000002</v>
      </c>
      <c r="AQ1175" s="169">
        <v>0.6</v>
      </c>
      <c r="AR1175" s="170">
        <v>28</v>
      </c>
      <c r="AS1175" s="20">
        <f t="shared" si="25"/>
        <v>7</v>
      </c>
      <c r="AT1175" s="165">
        <v>3.5</v>
      </c>
      <c r="AU1175" s="167">
        <v>0.26362038664323373</v>
      </c>
      <c r="AV1175" s="168">
        <v>-2.8</v>
      </c>
      <c r="AW1175" s="169">
        <v>-0.6</v>
      </c>
      <c r="AX1175" s="170">
        <v>22</v>
      </c>
      <c r="BK1175" s="20">
        <f t="shared" si="19"/>
        <v>37</v>
      </c>
      <c r="BL1175" s="165">
        <v>3.7</v>
      </c>
      <c r="BM1175" s="167">
        <v>8.3038869257950516</v>
      </c>
      <c r="BN1175" s="168">
        <v>-1.4</v>
      </c>
      <c r="BO1175" s="169">
        <v>2.2000000000000002</v>
      </c>
      <c r="BP1175" s="170">
        <v>36</v>
      </c>
      <c r="BX1175" s="165">
        <v>622</v>
      </c>
      <c r="BY1175" s="167">
        <v>0.44014084507042256</v>
      </c>
      <c r="BZ1175" s="168">
        <v>-2.6</v>
      </c>
      <c r="CA1175" s="169">
        <v>-0.2</v>
      </c>
      <c r="CB1175" s="170">
        <v>24</v>
      </c>
      <c r="CD1175" s="165">
        <v>18</v>
      </c>
      <c r="CE1175" s="167">
        <v>7.381370826010544</v>
      </c>
      <c r="CF1175" s="168">
        <v>-1.4</v>
      </c>
      <c r="CG1175" s="169">
        <v>2.2000000000000002</v>
      </c>
      <c r="CH1175" s="170">
        <v>36</v>
      </c>
      <c r="CJ1175" s="165">
        <v>21</v>
      </c>
      <c r="CK1175" s="167">
        <v>3.0755711775043935</v>
      </c>
      <c r="CL1175" s="168">
        <v>-1.9</v>
      </c>
      <c r="CM1175" s="169">
        <v>1.2</v>
      </c>
      <c r="CN1175" s="170">
        <v>31</v>
      </c>
      <c r="CP1175" s="165">
        <v>436</v>
      </c>
      <c r="CQ1175" s="167">
        <v>0.26362038664323373</v>
      </c>
      <c r="CR1175" s="168">
        <v>-2.8</v>
      </c>
      <c r="CS1175" s="169">
        <v>-0.6</v>
      </c>
      <c r="CT1175" s="170">
        <v>22</v>
      </c>
      <c r="CV1175" s="165">
        <v>90</v>
      </c>
      <c r="CW1175" s="167">
        <v>0.61619718309859151</v>
      </c>
      <c r="CX1175" s="168">
        <v>-2.5</v>
      </c>
      <c r="CY1175" s="169">
        <v>0</v>
      </c>
      <c r="CZ1175" s="170">
        <v>25</v>
      </c>
      <c r="DB1175" s="165">
        <v>0.6</v>
      </c>
      <c r="DC1175" s="167">
        <v>2.028639618138425</v>
      </c>
      <c r="DD1175" s="168">
        <v>-2.1</v>
      </c>
      <c r="DE1175" s="169">
        <v>0.8</v>
      </c>
      <c r="DF1175" s="170">
        <v>29</v>
      </c>
    </row>
    <row r="1176" spans="15:110" ht="13.15" hidden="1" thickBot="1" x14ac:dyDescent="0.25">
      <c r="O1176" s="20" t="e">
        <f>$F169-14.43*$R$1031-1</f>
        <v>#REF!</v>
      </c>
      <c r="P1176" s="20" t="e">
        <f>$F169-14.43*$R$1031+1</f>
        <v>#REF!</v>
      </c>
      <c r="S1176" s="169">
        <f>IF(T1176&lt;12,12,IF(T1176&gt;60,60,T1176))</f>
        <v>60</v>
      </c>
      <c r="T1176" s="11" t="str">
        <f>IF($C$5="m",O1176,IF($C$5="w",P1176,""))</f>
        <v/>
      </c>
      <c r="U1176" s="180" t="s">
        <v>296</v>
      </c>
      <c r="AB1176" s="155" t="s">
        <v>10</v>
      </c>
      <c r="AC1176" s="158" t="s">
        <v>13</v>
      </c>
      <c r="AD1176" s="156" t="s">
        <v>14</v>
      </c>
      <c r="AE1176" s="156" t="s">
        <v>15</v>
      </c>
      <c r="AF1176" s="159" t="s">
        <v>16</v>
      </c>
      <c r="AG1176" s="20">
        <f t="shared" si="22"/>
        <v>37</v>
      </c>
      <c r="AH1176" s="165">
        <v>18.5</v>
      </c>
      <c r="AI1176" s="167">
        <v>99.204946996466433</v>
      </c>
      <c r="AJ1176" s="168">
        <v>2.4</v>
      </c>
      <c r="AK1176" s="169">
        <v>9.8000000000000007</v>
      </c>
      <c r="AL1176" s="170">
        <v>74</v>
      </c>
      <c r="AM1176" s="20">
        <f t="shared" si="24"/>
        <v>9</v>
      </c>
      <c r="AN1176" s="165">
        <v>4.5</v>
      </c>
      <c r="AO1176" s="167">
        <v>2.024647887323944</v>
      </c>
      <c r="AP1176" s="168">
        <v>-2.1</v>
      </c>
      <c r="AQ1176" s="169">
        <v>0.8</v>
      </c>
      <c r="AR1176" s="170">
        <v>29</v>
      </c>
      <c r="AS1176" s="20">
        <f t="shared" si="25"/>
        <v>8</v>
      </c>
      <c r="AT1176" s="165">
        <v>4</v>
      </c>
      <c r="AU1176" s="167">
        <v>0.26362038664323373</v>
      </c>
      <c r="AV1176" s="168">
        <v>-2.8</v>
      </c>
      <c r="AW1176" s="169">
        <v>-0.6</v>
      </c>
      <c r="AX1176" s="170">
        <v>22</v>
      </c>
      <c r="BK1176" s="20">
        <f t="shared" si="19"/>
        <v>36</v>
      </c>
      <c r="BL1176" s="165">
        <v>3.6</v>
      </c>
      <c r="BM1176" s="167">
        <v>8.3038869257950516</v>
      </c>
      <c r="BN1176" s="168">
        <v>-1.4</v>
      </c>
      <c r="BO1176" s="169">
        <v>2.2000000000000002</v>
      </c>
      <c r="BP1176" s="170">
        <v>36</v>
      </c>
      <c r="BX1176" s="165">
        <v>621</v>
      </c>
      <c r="BY1176" s="167">
        <v>0.44014084507042256</v>
      </c>
      <c r="BZ1176" s="168">
        <v>-2.6</v>
      </c>
      <c r="CA1176" s="169">
        <v>-0.2</v>
      </c>
      <c r="CB1176" s="170">
        <v>24</v>
      </c>
      <c r="CD1176" s="165">
        <v>17</v>
      </c>
      <c r="CE1176" s="167">
        <v>8.6115992970123028</v>
      </c>
      <c r="CF1176" s="168">
        <v>-1.4</v>
      </c>
      <c r="CG1176" s="169">
        <v>2.2000000000000002</v>
      </c>
      <c r="CH1176" s="170">
        <v>36</v>
      </c>
      <c r="CJ1176" s="165">
        <v>20</v>
      </c>
      <c r="CK1176" s="167">
        <v>3.0755711775043935</v>
      </c>
      <c r="CL1176" s="168">
        <v>-1.9</v>
      </c>
      <c r="CM1176" s="169">
        <v>1.2</v>
      </c>
      <c r="CN1176" s="170">
        <v>31</v>
      </c>
      <c r="CP1176" s="165">
        <v>435</v>
      </c>
      <c r="CQ1176" s="167">
        <v>0.26362038664323373</v>
      </c>
      <c r="CR1176" s="168">
        <v>-2.8</v>
      </c>
      <c r="CS1176" s="169">
        <v>-0.6</v>
      </c>
      <c r="CT1176" s="170">
        <v>22</v>
      </c>
      <c r="CV1176" s="165">
        <v>89</v>
      </c>
      <c r="CW1176" s="167">
        <v>0.61619718309859151</v>
      </c>
      <c r="CX1176" s="168">
        <v>-2.5</v>
      </c>
      <c r="CY1176" s="169">
        <v>0</v>
      </c>
      <c r="CZ1176" s="170">
        <v>25</v>
      </c>
      <c r="DB1176" s="165">
        <v>0.7</v>
      </c>
      <c r="DC1176" s="167">
        <v>2.7446300715990453</v>
      </c>
      <c r="DD1176" s="168">
        <v>-1.9</v>
      </c>
      <c r="DE1176" s="169">
        <v>1.2</v>
      </c>
      <c r="DF1176" s="170">
        <v>31</v>
      </c>
    </row>
    <row r="1177" spans="15:110" hidden="1" x14ac:dyDescent="0.2">
      <c r="S1177" s="178" t="e">
        <f>IF(F170&lt;0,0,IF(F170&gt;3,3,F170))</f>
        <v>#REF!</v>
      </c>
      <c r="U1177" s="180" t="s">
        <v>281</v>
      </c>
      <c r="AB1177" s="165">
        <v>1</v>
      </c>
      <c r="AC1177" s="167">
        <v>8.8183421516754845E-2</v>
      </c>
      <c r="AD1177" s="168">
        <v>-3</v>
      </c>
      <c r="AE1177" s="169">
        <v>-1</v>
      </c>
      <c r="AF1177" s="170">
        <v>20</v>
      </c>
      <c r="AG1177" s="20">
        <f t="shared" si="22"/>
        <v>38</v>
      </c>
      <c r="AH1177" s="165">
        <v>19</v>
      </c>
      <c r="AI1177" s="167">
        <v>99.46996466431095</v>
      </c>
      <c r="AJ1177" s="168">
        <v>2.6</v>
      </c>
      <c r="AK1177" s="169">
        <v>10.199999999999999</v>
      </c>
      <c r="AL1177" s="170">
        <v>76</v>
      </c>
      <c r="AM1177" s="20">
        <f t="shared" si="24"/>
        <v>10</v>
      </c>
      <c r="AN1177" s="165">
        <v>5</v>
      </c>
      <c r="AO1177" s="167">
        <v>2.640845070422535</v>
      </c>
      <c r="AP1177" s="168">
        <v>-1.9</v>
      </c>
      <c r="AQ1177" s="169">
        <v>1.2</v>
      </c>
      <c r="AR1177" s="170">
        <v>31</v>
      </c>
      <c r="AS1177" s="20">
        <f t="shared" si="25"/>
        <v>9</v>
      </c>
      <c r="AT1177" s="165">
        <v>4.5</v>
      </c>
      <c r="AU1177" s="167">
        <v>0.26362038664323373</v>
      </c>
      <c r="AV1177" s="168">
        <v>-2.8</v>
      </c>
      <c r="AW1177" s="169">
        <v>-0.6</v>
      </c>
      <c r="AX1177" s="170">
        <v>22</v>
      </c>
      <c r="BK1177" s="20">
        <f t="shared" si="19"/>
        <v>35</v>
      </c>
      <c r="BL1177" s="165">
        <v>3.5</v>
      </c>
      <c r="BM1177" s="167">
        <v>8.3038869257950516</v>
      </c>
      <c r="BN1177" s="168">
        <v>-1.4</v>
      </c>
      <c r="BO1177" s="169">
        <v>2.2000000000000002</v>
      </c>
      <c r="BP1177" s="170">
        <v>36</v>
      </c>
      <c r="BX1177" s="165">
        <v>620</v>
      </c>
      <c r="BY1177" s="167">
        <v>0.44014084507042256</v>
      </c>
      <c r="BZ1177" s="168">
        <v>-2.6</v>
      </c>
      <c r="CA1177" s="169">
        <v>-0.2</v>
      </c>
      <c r="CB1177" s="170">
        <v>24</v>
      </c>
      <c r="CD1177" s="165">
        <v>16</v>
      </c>
      <c r="CE1177" s="167">
        <v>9.8418277680140598</v>
      </c>
      <c r="CF1177" s="168">
        <v>-1.3</v>
      </c>
      <c r="CG1177" s="169">
        <v>2.4</v>
      </c>
      <c r="CH1177" s="170">
        <v>37</v>
      </c>
      <c r="CJ1177" s="165">
        <v>19</v>
      </c>
      <c r="CK1177" s="167">
        <v>3.5149384885764503</v>
      </c>
      <c r="CL1177" s="168">
        <v>-1.8</v>
      </c>
      <c r="CM1177" s="169">
        <v>1.4</v>
      </c>
      <c r="CN1177" s="170">
        <v>32</v>
      </c>
      <c r="CP1177" s="165">
        <v>434</v>
      </c>
      <c r="CQ1177" s="167">
        <v>0.26362038664323373</v>
      </c>
      <c r="CR1177" s="168">
        <v>-2.8</v>
      </c>
      <c r="CS1177" s="169">
        <v>-0.6</v>
      </c>
      <c r="CT1177" s="170">
        <v>22</v>
      </c>
      <c r="CV1177" s="165">
        <v>88</v>
      </c>
      <c r="CW1177" s="167">
        <v>0.61619718309859151</v>
      </c>
      <c r="CX1177" s="168">
        <v>-2.5</v>
      </c>
      <c r="CY1177" s="169">
        <v>0</v>
      </c>
      <c r="CZ1177" s="170">
        <v>25</v>
      </c>
      <c r="DB1177" s="165">
        <v>0.8</v>
      </c>
      <c r="DC1177" s="167">
        <v>4.5346062052505962</v>
      </c>
      <c r="DD1177" s="168">
        <v>-1.7</v>
      </c>
      <c r="DE1177" s="169">
        <v>1.6</v>
      </c>
      <c r="DF1177" s="170">
        <v>33</v>
      </c>
    </row>
    <row r="1178" spans="15:110" hidden="1" x14ac:dyDescent="0.2">
      <c r="S1178" s="178" t="e">
        <f>IF(F171&lt;0,0,IF(F171&gt;4,4,F171))</f>
        <v>#REF!</v>
      </c>
      <c r="U1178" s="180" t="s">
        <v>281</v>
      </c>
      <c r="AB1178" s="165">
        <v>2</v>
      </c>
      <c r="AC1178" s="167">
        <v>0.26455026455026454</v>
      </c>
      <c r="AD1178" s="168">
        <v>-2.8</v>
      </c>
      <c r="AE1178" s="169">
        <v>-0.6</v>
      </c>
      <c r="AF1178" s="170">
        <v>22</v>
      </c>
      <c r="AG1178" s="20">
        <f t="shared" si="22"/>
        <v>39</v>
      </c>
      <c r="AH1178" s="165">
        <v>19.5</v>
      </c>
      <c r="AI1178" s="167">
        <v>99.823321554770317</v>
      </c>
      <c r="AJ1178" s="168">
        <v>2.9</v>
      </c>
      <c r="AK1178" s="169">
        <v>10.8</v>
      </c>
      <c r="AL1178" s="170">
        <v>79</v>
      </c>
      <c r="AM1178" s="20">
        <f t="shared" si="24"/>
        <v>11</v>
      </c>
      <c r="AN1178" s="165">
        <v>5.5</v>
      </c>
      <c r="AO1178" s="167">
        <v>3.345070422535211</v>
      </c>
      <c r="AP1178" s="168">
        <v>-1.8</v>
      </c>
      <c r="AQ1178" s="169">
        <v>1.4</v>
      </c>
      <c r="AR1178" s="170">
        <v>32</v>
      </c>
      <c r="AS1178" s="20">
        <f t="shared" si="25"/>
        <v>10</v>
      </c>
      <c r="AT1178" s="165">
        <v>5</v>
      </c>
      <c r="AU1178" s="167">
        <v>0.26362038664323373</v>
      </c>
      <c r="AV1178" s="168">
        <v>-2.8</v>
      </c>
      <c r="AW1178" s="169">
        <v>-0.6</v>
      </c>
      <c r="AX1178" s="170">
        <v>22</v>
      </c>
      <c r="BK1178" s="20">
        <f t="shared" si="19"/>
        <v>34</v>
      </c>
      <c r="BL1178" s="165">
        <v>3.4</v>
      </c>
      <c r="BM1178" s="167">
        <v>11.57243816254417</v>
      </c>
      <c r="BN1178" s="168">
        <v>-1.2</v>
      </c>
      <c r="BO1178" s="169">
        <v>2.6</v>
      </c>
      <c r="BP1178" s="170">
        <v>38</v>
      </c>
      <c r="BX1178" s="165">
        <v>619</v>
      </c>
      <c r="BY1178" s="167">
        <v>0.44014084507042256</v>
      </c>
      <c r="BZ1178" s="168">
        <v>-2.6</v>
      </c>
      <c r="CA1178" s="169">
        <v>-0.2</v>
      </c>
      <c r="CB1178" s="170">
        <v>24</v>
      </c>
      <c r="CD1178" s="165">
        <v>15</v>
      </c>
      <c r="CE1178" s="167">
        <v>10.808435852372583</v>
      </c>
      <c r="CF1178" s="168">
        <v>-1.2</v>
      </c>
      <c r="CG1178" s="169">
        <v>2.6</v>
      </c>
      <c r="CH1178" s="170">
        <v>38</v>
      </c>
      <c r="CJ1178" s="165">
        <v>18</v>
      </c>
      <c r="CK1178" s="167">
        <v>4.0421792618629171</v>
      </c>
      <c r="CL1178" s="168">
        <v>-1.7</v>
      </c>
      <c r="CM1178" s="169">
        <v>1.6</v>
      </c>
      <c r="CN1178" s="170">
        <v>33</v>
      </c>
      <c r="CP1178" s="165">
        <v>433</v>
      </c>
      <c r="CQ1178" s="167">
        <v>0.26362038664323373</v>
      </c>
      <c r="CR1178" s="168">
        <v>-2.8</v>
      </c>
      <c r="CS1178" s="169">
        <v>-0.6</v>
      </c>
      <c r="CT1178" s="170">
        <v>22</v>
      </c>
      <c r="CV1178" s="165">
        <v>87</v>
      </c>
      <c r="CW1178" s="167">
        <v>0.61619718309859151</v>
      </c>
      <c r="CX1178" s="168">
        <v>-2.5</v>
      </c>
      <c r="CY1178" s="169">
        <v>0</v>
      </c>
      <c r="CZ1178" s="170">
        <v>25</v>
      </c>
      <c r="DB1178" s="165">
        <v>0.9</v>
      </c>
      <c r="DC1178" s="167">
        <v>52.983293556085918</v>
      </c>
      <c r="DD1178" s="168">
        <v>0.1</v>
      </c>
      <c r="DE1178" s="169">
        <v>5.2</v>
      </c>
      <c r="DF1178" s="170">
        <v>51</v>
      </c>
    </row>
    <row r="1179" spans="15:110" ht="13.15" hidden="1" thickBot="1" x14ac:dyDescent="0.25">
      <c r="S1179" s="169" t="e">
        <f>IF(T1179&lt;17,17,IF(T1179&gt;102,102,T1179))</f>
        <v>#REF!</v>
      </c>
      <c r="T1179" s="178" t="e">
        <f>F172-0.36*$R$1029-6.37*$R$1030</f>
        <v>#REF!</v>
      </c>
      <c r="U1179" s="180" t="s">
        <v>297</v>
      </c>
      <c r="AB1179" s="165">
        <v>3</v>
      </c>
      <c r="AC1179" s="167">
        <v>0.26455026455026454</v>
      </c>
      <c r="AD1179" s="168">
        <v>-2.8</v>
      </c>
      <c r="AE1179" s="169">
        <v>-0.6</v>
      </c>
      <c r="AF1179" s="170">
        <v>22</v>
      </c>
      <c r="AG1179" s="20">
        <f t="shared" si="22"/>
        <v>40</v>
      </c>
      <c r="AH1179" s="165">
        <v>20</v>
      </c>
      <c r="AI1179" s="167">
        <v>99.823321554770317</v>
      </c>
      <c r="AJ1179" s="168">
        <v>2.9</v>
      </c>
      <c r="AK1179" s="169">
        <v>10.8</v>
      </c>
      <c r="AL1179" s="170">
        <v>79</v>
      </c>
      <c r="AM1179" s="20">
        <f t="shared" si="24"/>
        <v>12</v>
      </c>
      <c r="AN1179" s="165">
        <v>6</v>
      </c>
      <c r="AO1179" s="167">
        <v>4.665492957746479</v>
      </c>
      <c r="AP1179" s="168">
        <v>-1.7</v>
      </c>
      <c r="AQ1179" s="169">
        <v>1.6</v>
      </c>
      <c r="AR1179" s="170">
        <v>33</v>
      </c>
      <c r="AS1179" s="20">
        <f t="shared" si="25"/>
        <v>11</v>
      </c>
      <c r="AT1179" s="165">
        <v>5.5</v>
      </c>
      <c r="AU1179" s="167">
        <v>0.26362038664323373</v>
      </c>
      <c r="AV1179" s="168">
        <v>-2.8</v>
      </c>
      <c r="AW1179" s="169">
        <v>-0.6</v>
      </c>
      <c r="AX1179" s="170">
        <v>22</v>
      </c>
      <c r="BK1179" s="20">
        <f t="shared" si="19"/>
        <v>33</v>
      </c>
      <c r="BL1179" s="165">
        <v>3.3</v>
      </c>
      <c r="BM1179" s="167">
        <v>11.57243816254417</v>
      </c>
      <c r="BN1179" s="168">
        <v>-1.2</v>
      </c>
      <c r="BO1179" s="169">
        <v>2.6</v>
      </c>
      <c r="BP1179" s="170">
        <v>38</v>
      </c>
      <c r="BX1179" s="165">
        <v>618</v>
      </c>
      <c r="BY1179" s="167">
        <v>0.44014084507042256</v>
      </c>
      <c r="BZ1179" s="168">
        <v>-2.6</v>
      </c>
      <c r="CA1179" s="169">
        <v>-0.2</v>
      </c>
      <c r="CB1179" s="170">
        <v>24</v>
      </c>
      <c r="CD1179" s="165">
        <v>14</v>
      </c>
      <c r="CE1179" s="167">
        <v>11.950790861159929</v>
      </c>
      <c r="CF1179" s="168">
        <v>-1.2</v>
      </c>
      <c r="CG1179" s="169">
        <v>2.6</v>
      </c>
      <c r="CH1179" s="170">
        <v>38</v>
      </c>
      <c r="CJ1179" s="165">
        <v>17</v>
      </c>
      <c r="CK1179" s="167">
        <v>4.3936731107205622</v>
      </c>
      <c r="CL1179" s="168">
        <v>-1.7</v>
      </c>
      <c r="CM1179" s="169">
        <v>1.6</v>
      </c>
      <c r="CN1179" s="170">
        <v>33</v>
      </c>
      <c r="CP1179" s="165">
        <v>432</v>
      </c>
      <c r="CQ1179" s="167">
        <v>0.26362038664323373</v>
      </c>
      <c r="CR1179" s="168">
        <v>-2.8</v>
      </c>
      <c r="CS1179" s="169">
        <v>-0.6</v>
      </c>
      <c r="CT1179" s="170">
        <v>22</v>
      </c>
      <c r="CV1179" s="165">
        <v>86</v>
      </c>
      <c r="CW1179" s="167">
        <v>0.61619718309859151</v>
      </c>
      <c r="CX1179" s="168">
        <v>-2.5</v>
      </c>
      <c r="CY1179" s="169">
        <v>0</v>
      </c>
      <c r="CZ1179" s="170">
        <v>25</v>
      </c>
      <c r="DB1179" s="172">
        <v>1</v>
      </c>
      <c r="DC1179" s="173">
        <v>52.983293556085918</v>
      </c>
      <c r="DD1179" s="174">
        <v>0.1</v>
      </c>
      <c r="DE1179" s="175">
        <v>5.2</v>
      </c>
      <c r="DF1179" s="176">
        <v>51</v>
      </c>
    </row>
    <row r="1180" spans="15:110" hidden="1" x14ac:dyDescent="0.2">
      <c r="S1180" s="169" t="e">
        <f>IF(T1180&lt;0,0,IF(T1180&gt;13,13,T1180))</f>
        <v>#REF!</v>
      </c>
      <c r="T1180" s="178" t="e">
        <f>$F173-1.41*$R$1031+0.1*$R$1032</f>
        <v>#REF!</v>
      </c>
      <c r="U1180" s="180" t="s">
        <v>298</v>
      </c>
      <c r="AB1180" s="165">
        <v>4</v>
      </c>
      <c r="AC1180" s="167">
        <v>0.44091710758377423</v>
      </c>
      <c r="AD1180" s="168">
        <v>-2.6</v>
      </c>
      <c r="AE1180" s="169">
        <v>-0.2</v>
      </c>
      <c r="AF1180" s="170">
        <v>24</v>
      </c>
      <c r="AG1180" s="20">
        <f t="shared" si="22"/>
        <v>41</v>
      </c>
      <c r="AH1180" s="165">
        <v>20.5</v>
      </c>
      <c r="AI1180" s="167">
        <v>99.823321554770317</v>
      </c>
      <c r="AJ1180" s="168">
        <v>2.9</v>
      </c>
      <c r="AK1180" s="169">
        <v>10.8</v>
      </c>
      <c r="AL1180" s="170">
        <v>79</v>
      </c>
      <c r="AM1180" s="20">
        <f t="shared" si="24"/>
        <v>13</v>
      </c>
      <c r="AN1180" s="165">
        <v>6.5</v>
      </c>
      <c r="AO1180" s="167">
        <v>6.1619718309859159</v>
      </c>
      <c r="AP1180" s="168">
        <v>-1.5</v>
      </c>
      <c r="AQ1180" s="169">
        <v>2</v>
      </c>
      <c r="AR1180" s="170">
        <v>35</v>
      </c>
      <c r="AS1180" s="20">
        <f t="shared" si="25"/>
        <v>12</v>
      </c>
      <c r="AT1180" s="165">
        <v>6</v>
      </c>
      <c r="AU1180" s="167">
        <v>0.43936731107205629</v>
      </c>
      <c r="AV1180" s="168">
        <v>-2.6</v>
      </c>
      <c r="AW1180" s="169">
        <v>-0.2</v>
      </c>
      <c r="AX1180" s="170">
        <v>24</v>
      </c>
      <c r="BK1180" s="20">
        <f t="shared" si="19"/>
        <v>32</v>
      </c>
      <c r="BL1180" s="165">
        <v>3.2</v>
      </c>
      <c r="BM1180" s="167">
        <v>11.57243816254417</v>
      </c>
      <c r="BN1180" s="168">
        <v>-1.2</v>
      </c>
      <c r="BO1180" s="169">
        <v>2.6</v>
      </c>
      <c r="BP1180" s="170">
        <v>38</v>
      </c>
      <c r="BX1180" s="165">
        <v>617</v>
      </c>
      <c r="BY1180" s="167">
        <v>0.44014084507042256</v>
      </c>
      <c r="BZ1180" s="168">
        <v>-2.6</v>
      </c>
      <c r="CA1180" s="169">
        <v>-0.2</v>
      </c>
      <c r="CB1180" s="170">
        <v>24</v>
      </c>
      <c r="CD1180" s="165">
        <v>13</v>
      </c>
      <c r="CE1180" s="167">
        <v>13.971880492091387</v>
      </c>
      <c r="CF1180" s="168">
        <v>-1.1000000000000001</v>
      </c>
      <c r="CG1180" s="169">
        <v>2.8</v>
      </c>
      <c r="CH1180" s="170">
        <v>39</v>
      </c>
      <c r="CJ1180" s="165">
        <v>16</v>
      </c>
      <c r="CK1180" s="167">
        <v>4.6572934973637956</v>
      </c>
      <c r="CL1180" s="168">
        <v>-1.7</v>
      </c>
      <c r="CM1180" s="169">
        <v>1.6</v>
      </c>
      <c r="CN1180" s="170">
        <v>33</v>
      </c>
      <c r="CP1180" s="165">
        <v>431</v>
      </c>
      <c r="CQ1180" s="167">
        <v>0.26362038664323373</v>
      </c>
      <c r="CR1180" s="168">
        <v>-2.8</v>
      </c>
      <c r="CS1180" s="169">
        <v>-0.6</v>
      </c>
      <c r="CT1180" s="170">
        <v>22</v>
      </c>
      <c r="CV1180" s="165">
        <v>85</v>
      </c>
      <c r="CW1180" s="167">
        <v>0.61619718309859151</v>
      </c>
      <c r="CX1180" s="168">
        <v>-2.5</v>
      </c>
      <c r="CY1180" s="169">
        <v>0</v>
      </c>
      <c r="CZ1180" s="170">
        <v>25</v>
      </c>
    </row>
    <row r="1181" spans="15:110" ht="13.15" hidden="1" thickBot="1" x14ac:dyDescent="0.25">
      <c r="S1181" s="178" t="e">
        <f>IF(F174&lt;0,0,IF(F174&gt;3,3,F174))</f>
        <v>#REF!</v>
      </c>
      <c r="T1181" s="178"/>
      <c r="U1181" s="180" t="s">
        <v>281</v>
      </c>
      <c r="AB1181" s="165">
        <v>5</v>
      </c>
      <c r="AC1181" s="167">
        <v>0.70546737213403876</v>
      </c>
      <c r="AD1181" s="168">
        <v>-2.5</v>
      </c>
      <c r="AE1181" s="169">
        <v>0</v>
      </c>
      <c r="AF1181" s="170">
        <v>25</v>
      </c>
      <c r="AG1181" s="20">
        <f t="shared" si="22"/>
        <v>42</v>
      </c>
      <c r="AH1181" s="172">
        <v>21</v>
      </c>
      <c r="AI1181" s="173">
        <v>99.823321554770317</v>
      </c>
      <c r="AJ1181" s="174">
        <v>2.9</v>
      </c>
      <c r="AK1181" s="175">
        <v>10.8</v>
      </c>
      <c r="AL1181" s="176">
        <v>79</v>
      </c>
      <c r="AM1181" s="20">
        <f t="shared" si="24"/>
        <v>14</v>
      </c>
      <c r="AN1181" s="165">
        <v>7</v>
      </c>
      <c r="AO1181" s="167">
        <v>8.1866197183098599</v>
      </c>
      <c r="AP1181" s="168">
        <v>-1.4</v>
      </c>
      <c r="AQ1181" s="169">
        <v>2.2000000000000002</v>
      </c>
      <c r="AR1181" s="170">
        <v>36</v>
      </c>
      <c r="AS1181" s="20">
        <f t="shared" si="25"/>
        <v>13</v>
      </c>
      <c r="AT1181" s="165">
        <v>6.5</v>
      </c>
      <c r="AU1181" s="167">
        <v>0.70298769771528991</v>
      </c>
      <c r="AV1181" s="168">
        <v>-2.5</v>
      </c>
      <c r="AW1181" s="169">
        <v>0</v>
      </c>
      <c r="AX1181" s="170">
        <v>25</v>
      </c>
      <c r="BK1181" s="20">
        <f t="shared" si="19"/>
        <v>31</v>
      </c>
      <c r="BL1181" s="165">
        <v>3.1</v>
      </c>
      <c r="BM1181" s="167">
        <v>11.57243816254417</v>
      </c>
      <c r="BN1181" s="168">
        <v>-1.2</v>
      </c>
      <c r="BO1181" s="169">
        <v>2.6</v>
      </c>
      <c r="BP1181" s="170">
        <v>38</v>
      </c>
      <c r="BX1181" s="165">
        <v>616</v>
      </c>
      <c r="BY1181" s="167">
        <v>0.44014084507042256</v>
      </c>
      <c r="BZ1181" s="168">
        <v>-2.6</v>
      </c>
      <c r="CA1181" s="169">
        <v>-0.2</v>
      </c>
      <c r="CB1181" s="170">
        <v>24</v>
      </c>
      <c r="CD1181" s="165">
        <v>12</v>
      </c>
      <c r="CE1181" s="167">
        <v>16.34446397188049</v>
      </c>
      <c r="CF1181" s="168">
        <v>-1</v>
      </c>
      <c r="CG1181" s="169">
        <v>3</v>
      </c>
      <c r="CH1181" s="170">
        <v>40</v>
      </c>
      <c r="CJ1181" s="165">
        <v>15</v>
      </c>
      <c r="CK1181" s="167">
        <v>5.6239015817223192</v>
      </c>
      <c r="CL1181" s="168">
        <v>-1.6</v>
      </c>
      <c r="CM1181" s="169">
        <v>1.8</v>
      </c>
      <c r="CN1181" s="170">
        <v>34</v>
      </c>
      <c r="CP1181" s="165">
        <v>430</v>
      </c>
      <c r="CQ1181" s="167">
        <v>0.26362038664323373</v>
      </c>
      <c r="CR1181" s="168">
        <v>-2.8</v>
      </c>
      <c r="CS1181" s="169">
        <v>-0.6</v>
      </c>
      <c r="CT1181" s="170">
        <v>22</v>
      </c>
      <c r="CV1181" s="165">
        <v>84</v>
      </c>
      <c r="CW1181" s="167">
        <v>0.61619718309859151</v>
      </c>
      <c r="CX1181" s="168">
        <v>-2.5</v>
      </c>
      <c r="CY1181" s="169">
        <v>0</v>
      </c>
      <c r="CZ1181" s="170">
        <v>25</v>
      </c>
    </row>
    <row r="1182" spans="15:110" ht="13.15" hidden="1" x14ac:dyDescent="0.25">
      <c r="S1182" s="169" t="e">
        <f>IF(T1182&lt;-5,-5,IF(T1182&gt;76,76,T1182))</f>
        <v>#REF!</v>
      </c>
      <c r="T1182" s="178" t="e">
        <f>F175-1.06*$R$1029-13.45*$R$1030</f>
        <v>#REF!</v>
      </c>
      <c r="U1182" s="180" t="s">
        <v>301</v>
      </c>
      <c r="AB1182" s="165">
        <v>6</v>
      </c>
      <c r="AC1182" s="167">
        <v>1.0582010582010581</v>
      </c>
      <c r="AD1182" s="168">
        <v>-2.2999999999999998</v>
      </c>
      <c r="AE1182" s="169">
        <v>0.4</v>
      </c>
      <c r="AF1182" s="170">
        <v>27</v>
      </c>
      <c r="AM1182" s="20">
        <f t="shared" si="24"/>
        <v>15</v>
      </c>
      <c r="AN1182" s="165">
        <v>7.5</v>
      </c>
      <c r="AO1182" s="167">
        <v>10.211267605633804</v>
      </c>
      <c r="AP1182" s="168">
        <v>-1.3</v>
      </c>
      <c r="AQ1182" s="169">
        <v>2.4</v>
      </c>
      <c r="AR1182" s="170">
        <v>37</v>
      </c>
      <c r="AS1182" s="20">
        <f t="shared" si="25"/>
        <v>14</v>
      </c>
      <c r="AT1182" s="165">
        <v>7</v>
      </c>
      <c r="AU1182" s="167">
        <v>1.1423550087873462</v>
      </c>
      <c r="AV1182" s="168">
        <v>-2.2999999999999998</v>
      </c>
      <c r="AW1182" s="169">
        <v>0.4</v>
      </c>
      <c r="AX1182" s="170">
        <v>27</v>
      </c>
      <c r="BK1182" s="20">
        <f t="shared" si="19"/>
        <v>30</v>
      </c>
      <c r="BL1182" s="165">
        <v>3</v>
      </c>
      <c r="BM1182" s="167">
        <v>11.57243816254417</v>
      </c>
      <c r="BN1182" s="168">
        <v>-1.2</v>
      </c>
      <c r="BO1182" s="169">
        <v>2.6</v>
      </c>
      <c r="BP1182" s="170">
        <v>38</v>
      </c>
      <c r="BX1182" s="165">
        <v>615</v>
      </c>
      <c r="BY1182" s="167">
        <v>0.44014084507042256</v>
      </c>
      <c r="BZ1182" s="168">
        <v>-2.6</v>
      </c>
      <c r="CA1182" s="169">
        <v>-0.2</v>
      </c>
      <c r="CB1182" s="170">
        <v>24</v>
      </c>
      <c r="CD1182" s="165">
        <v>11</v>
      </c>
      <c r="CE1182" s="167">
        <v>18.453427065026361</v>
      </c>
      <c r="CF1182" s="168">
        <v>-0.9</v>
      </c>
      <c r="CG1182" s="169">
        <v>3.2</v>
      </c>
      <c r="CH1182" s="170">
        <v>41</v>
      </c>
      <c r="CJ1182" s="165">
        <v>14</v>
      </c>
      <c r="CK1182" s="167">
        <v>6.854130052724078</v>
      </c>
      <c r="CL1182" s="168">
        <v>-1.5</v>
      </c>
      <c r="CM1182" s="169">
        <v>2</v>
      </c>
      <c r="CN1182" s="170">
        <v>35</v>
      </c>
      <c r="CP1182" s="165">
        <v>429</v>
      </c>
      <c r="CQ1182" s="167">
        <v>0.26362038664323373</v>
      </c>
      <c r="CR1182" s="168">
        <v>-2.8</v>
      </c>
      <c r="CS1182" s="169">
        <v>-0.6</v>
      </c>
      <c r="CT1182" s="170">
        <v>22</v>
      </c>
      <c r="CV1182" s="165">
        <v>83</v>
      </c>
      <c r="CW1182" s="167">
        <v>0.61619718309859151</v>
      </c>
      <c r="CX1182" s="168">
        <v>-2.5</v>
      </c>
      <c r="CY1182" s="169">
        <v>0</v>
      </c>
      <c r="CZ1182" s="170">
        <v>25</v>
      </c>
      <c r="DB1182" s="138" t="s">
        <v>114</v>
      </c>
      <c r="DC1182" s="139"/>
      <c r="DD1182" s="139"/>
      <c r="DE1182" s="140" t="s">
        <v>215</v>
      </c>
      <c r="DF1182" s="141">
        <v>419</v>
      </c>
    </row>
    <row r="1183" spans="15:110" ht="13.15" hidden="1" thickBot="1" x14ac:dyDescent="0.25">
      <c r="AB1183" s="165">
        <v>7</v>
      </c>
      <c r="AC1183" s="167">
        <v>1.5873015873015872</v>
      </c>
      <c r="AD1183" s="168">
        <v>-2.2000000000000002</v>
      </c>
      <c r="AE1183" s="169">
        <v>0.6</v>
      </c>
      <c r="AF1183" s="170">
        <v>28</v>
      </c>
      <c r="AM1183" s="20">
        <f t="shared" si="24"/>
        <v>16</v>
      </c>
      <c r="AN1183" s="165">
        <v>8</v>
      </c>
      <c r="AO1183" s="167">
        <v>13.29225352112676</v>
      </c>
      <c r="AP1183" s="168">
        <v>-1.1000000000000001</v>
      </c>
      <c r="AQ1183" s="169">
        <v>2.8</v>
      </c>
      <c r="AR1183" s="170">
        <v>39</v>
      </c>
      <c r="AS1183" s="20">
        <f t="shared" si="25"/>
        <v>15</v>
      </c>
      <c r="AT1183" s="165">
        <v>7.5</v>
      </c>
      <c r="AU1183" s="167">
        <v>1.4938488576449911</v>
      </c>
      <c r="AV1183" s="168">
        <v>-2.2000000000000002</v>
      </c>
      <c r="AW1183" s="169">
        <v>0.6</v>
      </c>
      <c r="AX1183" s="170">
        <v>28</v>
      </c>
      <c r="BK1183" s="20">
        <f t="shared" si="19"/>
        <v>29</v>
      </c>
      <c r="BL1183" s="165">
        <v>2.9</v>
      </c>
      <c r="BM1183" s="167">
        <v>16.607773851590103</v>
      </c>
      <c r="BN1183" s="168">
        <v>-1</v>
      </c>
      <c r="BO1183" s="169">
        <v>3</v>
      </c>
      <c r="BP1183" s="170">
        <v>40</v>
      </c>
      <c r="BX1183" s="165">
        <v>614</v>
      </c>
      <c r="BY1183" s="167">
        <v>0.44014084507042256</v>
      </c>
      <c r="BZ1183" s="168">
        <v>-2.6</v>
      </c>
      <c r="CA1183" s="169">
        <v>-0.2</v>
      </c>
      <c r="CB1183" s="170">
        <v>24</v>
      </c>
      <c r="CD1183" s="165">
        <v>10</v>
      </c>
      <c r="CE1183" s="167">
        <v>20.650263620386646</v>
      </c>
      <c r="CF1183" s="168">
        <v>-0.8</v>
      </c>
      <c r="CG1183" s="169">
        <v>3.4</v>
      </c>
      <c r="CH1183" s="170">
        <v>42</v>
      </c>
      <c r="CJ1183" s="165">
        <v>13</v>
      </c>
      <c r="CK1183" s="167">
        <v>8.172231985940245</v>
      </c>
      <c r="CL1183" s="168">
        <v>-1.4</v>
      </c>
      <c r="CM1183" s="169">
        <v>2.2000000000000002</v>
      </c>
      <c r="CN1183" s="170">
        <v>36</v>
      </c>
      <c r="CP1183" s="165">
        <v>428</v>
      </c>
      <c r="CQ1183" s="167">
        <v>0.26362038664323373</v>
      </c>
      <c r="CR1183" s="168">
        <v>-2.8</v>
      </c>
      <c r="CS1183" s="169">
        <v>-0.6</v>
      </c>
      <c r="CT1183" s="170">
        <v>22</v>
      </c>
      <c r="CV1183" s="165">
        <v>82</v>
      </c>
      <c r="CW1183" s="167">
        <v>0.61619718309859151</v>
      </c>
      <c r="CX1183" s="168">
        <v>-2.5</v>
      </c>
      <c r="CY1183" s="169">
        <v>0</v>
      </c>
      <c r="CZ1183" s="170">
        <v>25</v>
      </c>
      <c r="DB1183" s="144" t="s">
        <v>161</v>
      </c>
      <c r="DD1183" s="20" t="s">
        <v>162</v>
      </c>
      <c r="DF1183" s="145"/>
    </row>
    <row r="1184" spans="15:110" ht="13.8" hidden="1" thickBot="1" x14ac:dyDescent="0.3">
      <c r="AB1184" s="165">
        <v>8</v>
      </c>
      <c r="AC1184" s="167">
        <v>2.0282186948853616</v>
      </c>
      <c r="AD1184" s="168">
        <v>-2.1</v>
      </c>
      <c r="AE1184" s="169">
        <v>0.8</v>
      </c>
      <c r="AF1184" s="170">
        <v>29</v>
      </c>
      <c r="AH1184" s="138" t="s">
        <v>37</v>
      </c>
      <c r="AI1184" s="139"/>
      <c r="AJ1184" s="139"/>
      <c r="AK1184" s="140" t="s">
        <v>180</v>
      </c>
      <c r="AL1184" s="141">
        <v>566</v>
      </c>
      <c r="AM1184" s="20">
        <f t="shared" si="24"/>
        <v>17</v>
      </c>
      <c r="AN1184" s="165">
        <v>8.5</v>
      </c>
      <c r="AO1184" s="167">
        <v>16.637323943661972</v>
      </c>
      <c r="AP1184" s="168">
        <v>-1</v>
      </c>
      <c r="AQ1184" s="169">
        <v>3</v>
      </c>
      <c r="AR1184" s="170">
        <v>40</v>
      </c>
      <c r="AS1184" s="20">
        <f t="shared" si="25"/>
        <v>16</v>
      </c>
      <c r="AT1184" s="165">
        <v>8</v>
      </c>
      <c r="AU1184" s="167">
        <v>1.845342706502636</v>
      </c>
      <c r="AV1184" s="168">
        <v>-2.1</v>
      </c>
      <c r="AW1184" s="169">
        <v>0.8</v>
      </c>
      <c r="AX1184" s="170">
        <v>29</v>
      </c>
      <c r="BK1184" s="20">
        <f t="shared" si="19"/>
        <v>28</v>
      </c>
      <c r="BL1184" s="165">
        <v>2.8</v>
      </c>
      <c r="BM1184" s="167">
        <v>16.607773851590103</v>
      </c>
      <c r="BN1184" s="168">
        <v>-1</v>
      </c>
      <c r="BO1184" s="169">
        <v>3</v>
      </c>
      <c r="BP1184" s="170">
        <v>40</v>
      </c>
      <c r="BX1184" s="165">
        <v>613</v>
      </c>
      <c r="BY1184" s="167">
        <v>0.44014084507042256</v>
      </c>
      <c r="BZ1184" s="168">
        <v>-2.6</v>
      </c>
      <c r="CA1184" s="169">
        <v>-0.2</v>
      </c>
      <c r="CB1184" s="170">
        <v>24</v>
      </c>
      <c r="CD1184" s="165">
        <v>9</v>
      </c>
      <c r="CE1184" s="167">
        <v>24.077328646748683</v>
      </c>
      <c r="CF1184" s="168">
        <v>-0.7</v>
      </c>
      <c r="CG1184" s="169">
        <v>3.6</v>
      </c>
      <c r="CH1184" s="170">
        <v>43</v>
      </c>
      <c r="CJ1184" s="165">
        <v>12</v>
      </c>
      <c r="CK1184" s="167">
        <v>9.3145869947275912</v>
      </c>
      <c r="CL1184" s="168">
        <v>-1.3</v>
      </c>
      <c r="CM1184" s="169">
        <v>2.4</v>
      </c>
      <c r="CN1184" s="170">
        <v>37</v>
      </c>
      <c r="CP1184" s="165">
        <v>427</v>
      </c>
      <c r="CQ1184" s="167">
        <v>0.26362038664323373</v>
      </c>
      <c r="CR1184" s="168">
        <v>-2.8</v>
      </c>
      <c r="CS1184" s="169">
        <v>-0.6</v>
      </c>
      <c r="CT1184" s="170">
        <v>22</v>
      </c>
      <c r="CV1184" s="165">
        <v>81</v>
      </c>
      <c r="CW1184" s="167">
        <v>0.61619718309859151</v>
      </c>
      <c r="CX1184" s="168">
        <v>-2.5</v>
      </c>
      <c r="CY1184" s="169">
        <v>0</v>
      </c>
      <c r="CZ1184" s="170">
        <v>25</v>
      </c>
      <c r="DB1184" s="181"/>
      <c r="DC1184" s="148"/>
      <c r="DD1184" s="179" t="s">
        <v>170</v>
      </c>
      <c r="DE1184" s="148"/>
      <c r="DF1184" s="149"/>
    </row>
    <row r="1185" spans="15:110" ht="13.15" hidden="1" thickBot="1" x14ac:dyDescent="0.25">
      <c r="O1185" s="182"/>
      <c r="AB1185" s="165">
        <v>9</v>
      </c>
      <c r="AC1185" s="167">
        <v>3.1746031746031744</v>
      </c>
      <c r="AD1185" s="168">
        <v>-1.9</v>
      </c>
      <c r="AE1185" s="169">
        <v>1.2</v>
      </c>
      <c r="AF1185" s="170">
        <v>31</v>
      </c>
      <c r="AH1185" s="144" t="s">
        <v>161</v>
      </c>
      <c r="AJ1185" s="20" t="s">
        <v>162</v>
      </c>
      <c r="AL1185" s="145"/>
      <c r="AM1185" s="20">
        <f t="shared" si="24"/>
        <v>18</v>
      </c>
      <c r="AN1185" s="165">
        <v>9</v>
      </c>
      <c r="AO1185" s="167">
        <v>20.33450704225352</v>
      </c>
      <c r="AP1185" s="168">
        <v>-0.8</v>
      </c>
      <c r="AQ1185" s="169">
        <v>3.4</v>
      </c>
      <c r="AR1185" s="170">
        <v>42</v>
      </c>
      <c r="AS1185" s="20">
        <f t="shared" si="25"/>
        <v>17</v>
      </c>
      <c r="AT1185" s="165">
        <v>8.5</v>
      </c>
      <c r="AU1185" s="167">
        <v>2.3725834797891037</v>
      </c>
      <c r="AV1185" s="168">
        <v>-2</v>
      </c>
      <c r="AW1185" s="169">
        <v>1</v>
      </c>
      <c r="AX1185" s="170">
        <v>30</v>
      </c>
      <c r="BK1185" s="20">
        <f t="shared" si="19"/>
        <v>27</v>
      </c>
      <c r="BL1185" s="165">
        <v>2.7</v>
      </c>
      <c r="BM1185" s="167">
        <v>16.607773851590103</v>
      </c>
      <c r="BN1185" s="168">
        <v>-1</v>
      </c>
      <c r="BO1185" s="169">
        <v>3</v>
      </c>
      <c r="BP1185" s="170">
        <v>40</v>
      </c>
      <c r="BX1185" s="165">
        <v>612</v>
      </c>
      <c r="BY1185" s="167">
        <v>0.44014084507042256</v>
      </c>
      <c r="BZ1185" s="168">
        <v>-2.6</v>
      </c>
      <c r="CA1185" s="169">
        <v>-0.2</v>
      </c>
      <c r="CB1185" s="170">
        <v>24</v>
      </c>
      <c r="CD1185" s="165">
        <v>8</v>
      </c>
      <c r="CE1185" s="167">
        <v>28.998242530755714</v>
      </c>
      <c r="CF1185" s="168">
        <v>-0.6</v>
      </c>
      <c r="CG1185" s="169">
        <v>3.8</v>
      </c>
      <c r="CH1185" s="170">
        <v>44</v>
      </c>
      <c r="CJ1185" s="165">
        <v>11</v>
      </c>
      <c r="CK1185" s="167">
        <v>10.281195079086116</v>
      </c>
      <c r="CL1185" s="168">
        <v>-1.3</v>
      </c>
      <c r="CM1185" s="169">
        <v>2.4</v>
      </c>
      <c r="CN1185" s="170">
        <v>37</v>
      </c>
      <c r="CP1185" s="165">
        <v>426</v>
      </c>
      <c r="CQ1185" s="167">
        <v>0.26362038664323373</v>
      </c>
      <c r="CR1185" s="168">
        <v>-2.8</v>
      </c>
      <c r="CS1185" s="169">
        <v>-0.6</v>
      </c>
      <c r="CT1185" s="170">
        <v>22</v>
      </c>
      <c r="CV1185" s="165">
        <v>80</v>
      </c>
      <c r="CW1185" s="167">
        <v>0.61619718309859151</v>
      </c>
      <c r="CX1185" s="168">
        <v>-2.5</v>
      </c>
      <c r="CY1185" s="169">
        <v>0</v>
      </c>
      <c r="CZ1185" s="170">
        <v>25</v>
      </c>
      <c r="DB1185" s="150" t="s">
        <v>164</v>
      </c>
      <c r="DC1185" s="151" t="s">
        <v>259</v>
      </c>
      <c r="DD1185" s="152"/>
      <c r="DE1185" s="152"/>
      <c r="DF1185" s="153"/>
    </row>
    <row r="1186" spans="15:110" ht="13.15" hidden="1" thickBot="1" x14ac:dyDescent="0.25">
      <c r="O1186" s="20" t="e">
        <f>$F180+18.24*$R$1031+1.11*$R$1030-1</f>
        <v>#REF!</v>
      </c>
      <c r="P1186" s="20" t="e">
        <f>$F180+18.24*$R$1031+1.11*$R$1030+1</f>
        <v>#REF!</v>
      </c>
      <c r="S1186" s="169">
        <f>IF(T1186&lt;33,33,IF(T1186&gt;62,62,T1186))</f>
        <v>62</v>
      </c>
      <c r="T1186" s="11" t="str">
        <f>IF($C$5="m",O1186,IF($C$5="w",P1186,""))</f>
        <v/>
      </c>
      <c r="U1186" s="180" t="s">
        <v>388</v>
      </c>
      <c r="AB1186" s="165">
        <v>10</v>
      </c>
      <c r="AC1186" s="167">
        <v>5.6437389770723101</v>
      </c>
      <c r="AD1186" s="168">
        <v>-1.6</v>
      </c>
      <c r="AE1186" s="169">
        <v>1.8</v>
      </c>
      <c r="AF1186" s="170">
        <v>34</v>
      </c>
      <c r="AH1186" s="147" t="s">
        <v>185</v>
      </c>
      <c r="AI1186" s="148"/>
      <c r="AJ1186" s="148"/>
      <c r="AK1186" s="148"/>
      <c r="AL1186" s="149"/>
      <c r="AM1186" s="20">
        <f t="shared" si="24"/>
        <v>19</v>
      </c>
      <c r="AN1186" s="165">
        <v>9.5</v>
      </c>
      <c r="AO1186" s="167">
        <v>23.943661971830984</v>
      </c>
      <c r="AP1186" s="168">
        <v>-0.7</v>
      </c>
      <c r="AQ1186" s="169">
        <v>3.6</v>
      </c>
      <c r="AR1186" s="170">
        <v>43</v>
      </c>
      <c r="AS1186" s="20">
        <f t="shared" si="25"/>
        <v>18</v>
      </c>
      <c r="AT1186" s="165">
        <v>9</v>
      </c>
      <c r="AU1186" s="167">
        <v>2.8998242530755709</v>
      </c>
      <c r="AV1186" s="168">
        <v>-1.9</v>
      </c>
      <c r="AW1186" s="169">
        <v>1.2</v>
      </c>
      <c r="AX1186" s="170">
        <v>31</v>
      </c>
      <c r="BK1186" s="20">
        <f t="shared" si="19"/>
        <v>26</v>
      </c>
      <c r="BL1186" s="165">
        <v>2.6</v>
      </c>
      <c r="BM1186" s="167">
        <v>16.607773851590103</v>
      </c>
      <c r="BN1186" s="168">
        <v>-1</v>
      </c>
      <c r="BO1186" s="169">
        <v>3</v>
      </c>
      <c r="BP1186" s="170">
        <v>40</v>
      </c>
      <c r="BX1186" s="165">
        <v>611</v>
      </c>
      <c r="BY1186" s="167">
        <v>0.44014084507042256</v>
      </c>
      <c r="BZ1186" s="168">
        <v>-2.6</v>
      </c>
      <c r="CA1186" s="169">
        <v>-0.2</v>
      </c>
      <c r="CB1186" s="170">
        <v>24</v>
      </c>
      <c r="CD1186" s="165">
        <v>7</v>
      </c>
      <c r="CE1186" s="167">
        <v>34.00702987697715</v>
      </c>
      <c r="CF1186" s="168">
        <v>-0.4</v>
      </c>
      <c r="CG1186" s="169">
        <v>4.2</v>
      </c>
      <c r="CH1186" s="170">
        <v>46</v>
      </c>
      <c r="CJ1186" s="165">
        <v>10</v>
      </c>
      <c r="CK1186" s="167">
        <v>12.126537785588752</v>
      </c>
      <c r="CL1186" s="168">
        <v>-1.2</v>
      </c>
      <c r="CM1186" s="169">
        <v>2.6</v>
      </c>
      <c r="CN1186" s="170">
        <v>38</v>
      </c>
      <c r="CP1186" s="165">
        <v>425</v>
      </c>
      <c r="CQ1186" s="167">
        <v>0.26362038664323373</v>
      </c>
      <c r="CR1186" s="168">
        <v>-2.8</v>
      </c>
      <c r="CS1186" s="169">
        <v>-0.6</v>
      </c>
      <c r="CT1186" s="170">
        <v>22</v>
      </c>
      <c r="CV1186" s="165">
        <v>79</v>
      </c>
      <c r="CW1186" s="167">
        <v>0.79225352112676051</v>
      </c>
      <c r="CX1186" s="168">
        <v>-2.4</v>
      </c>
      <c r="CY1186" s="169">
        <v>0.2</v>
      </c>
      <c r="CZ1186" s="170">
        <v>26</v>
      </c>
      <c r="DB1186" s="155" t="s">
        <v>10</v>
      </c>
      <c r="DC1186" s="156" t="s">
        <v>13</v>
      </c>
      <c r="DD1186" s="156" t="s">
        <v>14</v>
      </c>
      <c r="DE1186" s="156" t="s">
        <v>15</v>
      </c>
      <c r="DF1186" s="159" t="s">
        <v>16</v>
      </c>
    </row>
    <row r="1187" spans="15:110" ht="13.15" hidden="1" thickBot="1" x14ac:dyDescent="0.25">
      <c r="S1187" s="169" t="e">
        <f>IF(T1187&lt;1,1,IF(T1187&gt;6,6,T1187))</f>
        <v>#REF!</v>
      </c>
      <c r="T1187" s="178" t="e">
        <f>$F181-1.89*$R$1031-0.31*$R$1030</f>
        <v>#REF!</v>
      </c>
      <c r="U1187" s="180" t="s">
        <v>299</v>
      </c>
      <c r="AB1187" s="165">
        <v>11</v>
      </c>
      <c r="AC1187" s="167">
        <v>8.9947089947089935</v>
      </c>
      <c r="AD1187" s="168">
        <v>-1.3</v>
      </c>
      <c r="AE1187" s="169">
        <v>2.4</v>
      </c>
      <c r="AF1187" s="170">
        <v>37</v>
      </c>
      <c r="AH1187" s="150" t="s">
        <v>164</v>
      </c>
      <c r="AI1187" s="151" t="s">
        <v>39</v>
      </c>
      <c r="AJ1187" s="152"/>
      <c r="AK1187" s="152"/>
      <c r="AL1187" s="153"/>
      <c r="AM1187" s="20">
        <f t="shared" si="24"/>
        <v>20</v>
      </c>
      <c r="AN1187" s="165">
        <v>10</v>
      </c>
      <c r="AO1187" s="167">
        <v>27.552816901408448</v>
      </c>
      <c r="AP1187" s="168">
        <v>-0.6</v>
      </c>
      <c r="AQ1187" s="169">
        <v>3.8</v>
      </c>
      <c r="AR1187" s="170">
        <v>44</v>
      </c>
      <c r="AS1187" s="20">
        <f t="shared" si="25"/>
        <v>19</v>
      </c>
      <c r="AT1187" s="165">
        <v>9.5</v>
      </c>
      <c r="AU1187" s="167">
        <v>3.427065026362039</v>
      </c>
      <c r="AV1187" s="168">
        <v>-1.8</v>
      </c>
      <c r="AW1187" s="169">
        <v>1.4</v>
      </c>
      <c r="AX1187" s="170">
        <v>32</v>
      </c>
      <c r="BK1187" s="20">
        <f t="shared" si="19"/>
        <v>25</v>
      </c>
      <c r="BL1187" s="165">
        <v>2.5</v>
      </c>
      <c r="BM1187" s="167">
        <v>16.607773851590103</v>
      </c>
      <c r="BN1187" s="168">
        <v>-1</v>
      </c>
      <c r="BO1187" s="169">
        <v>3</v>
      </c>
      <c r="BP1187" s="170">
        <v>40</v>
      </c>
      <c r="BX1187" s="165">
        <v>610</v>
      </c>
      <c r="BY1187" s="167">
        <v>0.44014084507042256</v>
      </c>
      <c r="BZ1187" s="168">
        <v>-2.6</v>
      </c>
      <c r="CA1187" s="169">
        <v>-0.2</v>
      </c>
      <c r="CB1187" s="170">
        <v>24</v>
      </c>
      <c r="CD1187" s="165">
        <v>6</v>
      </c>
      <c r="CE1187" s="167">
        <v>40.246045694200347</v>
      </c>
      <c r="CF1187" s="168">
        <v>-0.2</v>
      </c>
      <c r="CG1187" s="169">
        <v>4.5999999999999996</v>
      </c>
      <c r="CH1187" s="170">
        <v>48</v>
      </c>
      <c r="CJ1187" s="165">
        <v>9</v>
      </c>
      <c r="CK1187" s="167">
        <v>14.147627416520212</v>
      </c>
      <c r="CL1187" s="168">
        <v>-1.1000000000000001</v>
      </c>
      <c r="CM1187" s="169">
        <v>2.8</v>
      </c>
      <c r="CN1187" s="170">
        <v>39</v>
      </c>
      <c r="CP1187" s="165">
        <v>424</v>
      </c>
      <c r="CQ1187" s="167">
        <v>0.26362038664323373</v>
      </c>
      <c r="CR1187" s="168">
        <v>-2.8</v>
      </c>
      <c r="CS1187" s="169">
        <v>-0.6</v>
      </c>
      <c r="CT1187" s="170">
        <v>22</v>
      </c>
      <c r="CV1187" s="165">
        <v>78</v>
      </c>
      <c r="CW1187" s="167">
        <v>0.96830985915492951</v>
      </c>
      <c r="CX1187" s="168">
        <v>-2.2999999999999998</v>
      </c>
      <c r="CY1187" s="169">
        <v>0.4</v>
      </c>
      <c r="CZ1187" s="170">
        <v>27</v>
      </c>
      <c r="DB1187" s="160">
        <v>0.3</v>
      </c>
      <c r="DC1187" s="161">
        <v>0.11933174224343676</v>
      </c>
      <c r="DD1187" s="162">
        <v>-3</v>
      </c>
      <c r="DE1187" s="163">
        <v>-1</v>
      </c>
      <c r="DF1187" s="164">
        <v>20</v>
      </c>
    </row>
    <row r="1188" spans="15:110" ht="13.15" hidden="1" thickBot="1" x14ac:dyDescent="0.25">
      <c r="S1188" s="178" t="e">
        <f>IF(T1188&lt;0.53,0.53,IF(T1188&gt;1,1,T1188))</f>
        <v>#REF!</v>
      </c>
      <c r="T1188" s="178" t="e">
        <f>$F182-0.41*$R$1031-0.05*$R$1030</f>
        <v>#REF!</v>
      </c>
      <c r="U1188" s="180" t="s">
        <v>300</v>
      </c>
      <c r="AB1188" s="165">
        <v>12</v>
      </c>
      <c r="AC1188" s="167">
        <v>12.874779541446207</v>
      </c>
      <c r="AD1188" s="168">
        <v>-1.1000000000000001</v>
      </c>
      <c r="AE1188" s="169">
        <v>2.8</v>
      </c>
      <c r="AF1188" s="170">
        <v>39</v>
      </c>
      <c r="AH1188" s="155" t="s">
        <v>10</v>
      </c>
      <c r="AI1188" s="156" t="s">
        <v>13</v>
      </c>
      <c r="AJ1188" s="156" t="s">
        <v>14</v>
      </c>
      <c r="AK1188" s="156" t="s">
        <v>15</v>
      </c>
      <c r="AL1188" s="157" t="s">
        <v>16</v>
      </c>
      <c r="AM1188" s="20">
        <f t="shared" si="24"/>
        <v>21</v>
      </c>
      <c r="AN1188" s="165">
        <v>10.5</v>
      </c>
      <c r="AO1188" s="167">
        <v>30.985915492957744</v>
      </c>
      <c r="AP1188" s="168">
        <v>-0.5</v>
      </c>
      <c r="AQ1188" s="169">
        <v>4</v>
      </c>
      <c r="AR1188" s="170">
        <v>45</v>
      </c>
      <c r="AS1188" s="20">
        <f t="shared" si="25"/>
        <v>20</v>
      </c>
      <c r="AT1188" s="165">
        <v>10</v>
      </c>
      <c r="AU1188" s="167">
        <v>4.3057996485061514</v>
      </c>
      <c r="AV1188" s="168">
        <v>-1.7</v>
      </c>
      <c r="AW1188" s="169">
        <v>1.6</v>
      </c>
      <c r="AX1188" s="170">
        <v>33</v>
      </c>
      <c r="BK1188" s="20">
        <f t="shared" si="19"/>
        <v>24</v>
      </c>
      <c r="BL1188" s="165">
        <v>2.4</v>
      </c>
      <c r="BM1188" s="167">
        <v>18.109540636042404</v>
      </c>
      <c r="BN1188" s="168">
        <v>-0.9</v>
      </c>
      <c r="BO1188" s="169">
        <v>3.2</v>
      </c>
      <c r="BP1188" s="170">
        <v>41</v>
      </c>
      <c r="BX1188" s="165">
        <v>609</v>
      </c>
      <c r="BY1188" s="167">
        <v>0.44014084507042256</v>
      </c>
      <c r="BZ1188" s="168">
        <v>-2.6</v>
      </c>
      <c r="CA1188" s="169">
        <v>-0.2</v>
      </c>
      <c r="CB1188" s="170">
        <v>24</v>
      </c>
      <c r="CD1188" s="165">
        <v>5</v>
      </c>
      <c r="CE1188" s="167">
        <v>46.836555360281196</v>
      </c>
      <c r="CF1188" s="168">
        <v>-0.1</v>
      </c>
      <c r="CG1188" s="169">
        <v>4.8</v>
      </c>
      <c r="CH1188" s="170">
        <v>49</v>
      </c>
      <c r="CJ1188" s="165">
        <v>8</v>
      </c>
      <c r="CK1188" s="167">
        <v>16.608084358523726</v>
      </c>
      <c r="CL1188" s="168">
        <v>-1</v>
      </c>
      <c r="CM1188" s="169">
        <v>3</v>
      </c>
      <c r="CN1188" s="170">
        <v>40</v>
      </c>
      <c r="CP1188" s="165">
        <v>423</v>
      </c>
      <c r="CQ1188" s="167">
        <v>0.26362038664323373</v>
      </c>
      <c r="CR1188" s="168">
        <v>-2.8</v>
      </c>
      <c r="CS1188" s="169">
        <v>-0.6</v>
      </c>
      <c r="CT1188" s="170">
        <v>22</v>
      </c>
      <c r="CV1188" s="165">
        <v>77</v>
      </c>
      <c r="CW1188" s="167">
        <v>0.96830985915492951</v>
      </c>
      <c r="CX1188" s="168">
        <v>-2.2999999999999998</v>
      </c>
      <c r="CY1188" s="169">
        <v>0.4</v>
      </c>
      <c r="CZ1188" s="170">
        <v>27</v>
      </c>
      <c r="DB1188" s="165">
        <v>0.4</v>
      </c>
      <c r="DC1188" s="167">
        <v>0.35799522673031026</v>
      </c>
      <c r="DD1188" s="168">
        <v>-2.7</v>
      </c>
      <c r="DE1188" s="169">
        <v>-0.4</v>
      </c>
      <c r="DF1188" s="170">
        <v>23</v>
      </c>
    </row>
    <row r="1189" spans="15:110" hidden="1" x14ac:dyDescent="0.2">
      <c r="S1189" s="178" t="e">
        <f>IF(F183&lt;0.2,0.2,IF(F183&gt;1,1,F183))</f>
        <v>#REF!</v>
      </c>
      <c r="T1189" s="178"/>
      <c r="U1189" s="183" t="s">
        <v>281</v>
      </c>
      <c r="AB1189" s="165">
        <v>13</v>
      </c>
      <c r="AC1189" s="167">
        <v>20.105820105820104</v>
      </c>
      <c r="AD1189" s="168">
        <v>-0.8</v>
      </c>
      <c r="AE1189" s="169">
        <v>3.4</v>
      </c>
      <c r="AF1189" s="170">
        <v>42</v>
      </c>
      <c r="AG1189" s="20">
        <f t="shared" ref="AG1189:AG1235" si="26">AH1189*2</f>
        <v>0</v>
      </c>
      <c r="AH1189" s="160">
        <v>0</v>
      </c>
      <c r="AI1189" s="161">
        <v>0.17667844522968199</v>
      </c>
      <c r="AJ1189" s="162">
        <v>-2.9</v>
      </c>
      <c r="AK1189" s="163">
        <v>-0.8</v>
      </c>
      <c r="AL1189" s="164">
        <v>21</v>
      </c>
      <c r="AM1189" s="20">
        <f t="shared" si="24"/>
        <v>22</v>
      </c>
      <c r="AN1189" s="165">
        <v>11</v>
      </c>
      <c r="AO1189" s="167">
        <v>35.475352112676056</v>
      </c>
      <c r="AP1189" s="168">
        <v>-0.4</v>
      </c>
      <c r="AQ1189" s="169">
        <v>4.2</v>
      </c>
      <c r="AR1189" s="170">
        <v>46</v>
      </c>
      <c r="AS1189" s="20">
        <f t="shared" si="25"/>
        <v>21</v>
      </c>
      <c r="AT1189" s="165">
        <v>10.5</v>
      </c>
      <c r="AU1189" s="167">
        <v>5.4481546572934976</v>
      </c>
      <c r="AV1189" s="168">
        <v>-1.6</v>
      </c>
      <c r="AW1189" s="169">
        <v>1.8</v>
      </c>
      <c r="AX1189" s="170">
        <v>34</v>
      </c>
      <c r="BK1189" s="20">
        <f t="shared" si="19"/>
        <v>23</v>
      </c>
      <c r="BL1189" s="165">
        <v>2.2999999999999998</v>
      </c>
      <c r="BM1189" s="167">
        <v>20.229681978798585</v>
      </c>
      <c r="BN1189" s="168">
        <v>-0.8</v>
      </c>
      <c r="BO1189" s="169">
        <v>3.4</v>
      </c>
      <c r="BP1189" s="170">
        <v>42</v>
      </c>
      <c r="BX1189" s="165">
        <v>608</v>
      </c>
      <c r="BY1189" s="167">
        <v>0.44014084507042256</v>
      </c>
      <c r="BZ1189" s="168">
        <v>-2.6</v>
      </c>
      <c r="CA1189" s="169">
        <v>-0.2</v>
      </c>
      <c r="CB1189" s="170">
        <v>24</v>
      </c>
      <c r="CD1189" s="165">
        <v>4</v>
      </c>
      <c r="CE1189" s="167">
        <v>52.899824253075565</v>
      </c>
      <c r="CF1189" s="168">
        <v>0.1</v>
      </c>
      <c r="CG1189" s="169">
        <v>5.2</v>
      </c>
      <c r="CH1189" s="170">
        <v>51</v>
      </c>
      <c r="CJ1189" s="165">
        <v>7</v>
      </c>
      <c r="CK1189" s="167">
        <v>19.68365553602812</v>
      </c>
      <c r="CL1189" s="168">
        <v>-0.9</v>
      </c>
      <c r="CM1189" s="169">
        <v>3.2</v>
      </c>
      <c r="CN1189" s="170">
        <v>41</v>
      </c>
      <c r="CP1189" s="165">
        <v>422</v>
      </c>
      <c r="CQ1189" s="167">
        <v>0.26362038664323373</v>
      </c>
      <c r="CR1189" s="168">
        <v>-2.8</v>
      </c>
      <c r="CS1189" s="169">
        <v>-0.6</v>
      </c>
      <c r="CT1189" s="170">
        <v>22</v>
      </c>
      <c r="CV1189" s="165">
        <v>76</v>
      </c>
      <c r="CW1189" s="167">
        <v>0.96830985915492951</v>
      </c>
      <c r="CX1189" s="168">
        <v>-2.2999999999999998</v>
      </c>
      <c r="CY1189" s="169">
        <v>0.4</v>
      </c>
      <c r="CZ1189" s="170">
        <v>27</v>
      </c>
      <c r="DB1189" s="165">
        <v>0.5</v>
      </c>
      <c r="DC1189" s="167">
        <v>1.3126491646778042</v>
      </c>
      <c r="DD1189" s="168">
        <v>-2.2000000000000002</v>
      </c>
      <c r="DE1189" s="169">
        <v>0.6</v>
      </c>
      <c r="DF1189" s="170">
        <v>28</v>
      </c>
    </row>
    <row r="1190" spans="15:110" hidden="1" x14ac:dyDescent="0.2">
      <c r="S1190" s="178" t="e">
        <f>IF(F184&lt;0.4,0.4,IF(F184&gt;1,1,F184))</f>
        <v>#REF!</v>
      </c>
      <c r="T1190" s="178"/>
      <c r="U1190" s="183" t="s">
        <v>281</v>
      </c>
      <c r="AB1190" s="165">
        <v>14</v>
      </c>
      <c r="AC1190" s="167">
        <v>35.361552028218696</v>
      </c>
      <c r="AD1190" s="168">
        <v>-0.4</v>
      </c>
      <c r="AE1190" s="169">
        <v>4.2</v>
      </c>
      <c r="AF1190" s="170">
        <v>46</v>
      </c>
      <c r="AG1190" s="20">
        <f t="shared" si="26"/>
        <v>1</v>
      </c>
      <c r="AH1190" s="165">
        <v>0.5</v>
      </c>
      <c r="AI1190" s="167">
        <v>0.53003533568904593</v>
      </c>
      <c r="AJ1190" s="168">
        <v>-2.6</v>
      </c>
      <c r="AK1190" s="169">
        <v>-0.2</v>
      </c>
      <c r="AL1190" s="170">
        <v>24</v>
      </c>
      <c r="AM1190" s="20">
        <f t="shared" si="24"/>
        <v>23</v>
      </c>
      <c r="AN1190" s="165">
        <v>11.5</v>
      </c>
      <c r="AO1190" s="167">
        <v>40.316901408450704</v>
      </c>
      <c r="AP1190" s="168">
        <v>-0.2</v>
      </c>
      <c r="AQ1190" s="169">
        <v>4.5999999999999996</v>
      </c>
      <c r="AR1190" s="170">
        <v>48</v>
      </c>
      <c r="AS1190" s="20">
        <f t="shared" si="25"/>
        <v>22</v>
      </c>
      <c r="AT1190" s="165">
        <v>11</v>
      </c>
      <c r="AU1190" s="167">
        <v>6.5026362038664329</v>
      </c>
      <c r="AV1190" s="168">
        <v>-1.5</v>
      </c>
      <c r="AW1190" s="169">
        <v>2</v>
      </c>
      <c r="AX1190" s="170">
        <v>35</v>
      </c>
      <c r="BK1190" s="20">
        <f t="shared" si="19"/>
        <v>22</v>
      </c>
      <c r="BL1190" s="165">
        <v>2.2000000000000002</v>
      </c>
      <c r="BM1190" s="167">
        <v>23.056537102473499</v>
      </c>
      <c r="BN1190" s="168">
        <v>-0.7</v>
      </c>
      <c r="BO1190" s="169">
        <v>3.6</v>
      </c>
      <c r="BP1190" s="170">
        <v>43</v>
      </c>
      <c r="BX1190" s="165">
        <v>607</v>
      </c>
      <c r="BY1190" s="167">
        <v>0.44014084507042256</v>
      </c>
      <c r="BZ1190" s="168">
        <v>-2.6</v>
      </c>
      <c r="CA1190" s="169">
        <v>-0.2</v>
      </c>
      <c r="CB1190" s="170">
        <v>24</v>
      </c>
      <c r="CD1190" s="165">
        <v>3</v>
      </c>
      <c r="CE1190" s="167">
        <v>63.181019332161689</v>
      </c>
      <c r="CF1190" s="168">
        <v>0.3</v>
      </c>
      <c r="CG1190" s="169">
        <v>5.6</v>
      </c>
      <c r="CH1190" s="170">
        <v>53</v>
      </c>
      <c r="CJ1190" s="165">
        <v>6</v>
      </c>
      <c r="CK1190" s="167">
        <v>23.462214411247803</v>
      </c>
      <c r="CL1190" s="168">
        <v>-0.7</v>
      </c>
      <c r="CM1190" s="169">
        <v>3.6</v>
      </c>
      <c r="CN1190" s="170">
        <v>43</v>
      </c>
      <c r="CP1190" s="165">
        <v>421</v>
      </c>
      <c r="CQ1190" s="167">
        <v>0.26362038664323373</v>
      </c>
      <c r="CR1190" s="168">
        <v>-2.8</v>
      </c>
      <c r="CS1190" s="169">
        <v>-0.6</v>
      </c>
      <c r="CT1190" s="170">
        <v>22</v>
      </c>
      <c r="CV1190" s="165">
        <v>75</v>
      </c>
      <c r="CW1190" s="167">
        <v>0.96830985915492951</v>
      </c>
      <c r="CX1190" s="168">
        <v>-2.2999999999999998</v>
      </c>
      <c r="CY1190" s="169">
        <v>0.4</v>
      </c>
      <c r="CZ1190" s="170">
        <v>27</v>
      </c>
      <c r="DB1190" s="165">
        <v>0.6</v>
      </c>
      <c r="DC1190" s="167">
        <v>2.6252983293556085</v>
      </c>
      <c r="DD1190" s="168">
        <v>-1.9</v>
      </c>
      <c r="DE1190" s="169">
        <v>1.2</v>
      </c>
      <c r="DF1190" s="170">
        <v>31</v>
      </c>
    </row>
    <row r="1191" spans="15:110" ht="13.15" hidden="1" thickBot="1" x14ac:dyDescent="0.25">
      <c r="S1191" s="178" t="e">
        <f>IF(F185&lt;0,0,IF(F185&gt;6,6,F185))</f>
        <v>#REF!</v>
      </c>
      <c r="T1191" s="178"/>
      <c r="U1191" s="183" t="s">
        <v>281</v>
      </c>
      <c r="AB1191" s="172">
        <v>15</v>
      </c>
      <c r="AC1191" s="173">
        <v>72.663139329805986</v>
      </c>
      <c r="AD1191" s="174">
        <v>0.6</v>
      </c>
      <c r="AE1191" s="175">
        <v>6.2</v>
      </c>
      <c r="AF1191" s="176">
        <v>56</v>
      </c>
      <c r="AG1191" s="20">
        <f t="shared" si="26"/>
        <v>2</v>
      </c>
      <c r="AH1191" s="165">
        <v>1</v>
      </c>
      <c r="AI1191" s="167">
        <v>0.53003533568904593</v>
      </c>
      <c r="AJ1191" s="168">
        <v>-2.6</v>
      </c>
      <c r="AK1191" s="169">
        <v>-0.2</v>
      </c>
      <c r="AL1191" s="170">
        <v>24</v>
      </c>
      <c r="AM1191" s="20">
        <f t="shared" si="24"/>
        <v>24</v>
      </c>
      <c r="AN1191" s="165">
        <v>12</v>
      </c>
      <c r="AO1191" s="167">
        <v>45.686619718309856</v>
      </c>
      <c r="AP1191" s="168">
        <v>-0.1</v>
      </c>
      <c r="AQ1191" s="169">
        <v>4.8</v>
      </c>
      <c r="AR1191" s="170">
        <v>49</v>
      </c>
      <c r="AS1191" s="20">
        <f t="shared" si="25"/>
        <v>23</v>
      </c>
      <c r="AT1191" s="165">
        <v>11.5</v>
      </c>
      <c r="AU1191" s="167">
        <v>7.7328646748681891</v>
      </c>
      <c r="AV1191" s="168">
        <v>-1.4</v>
      </c>
      <c r="AW1191" s="169">
        <v>2.2000000000000002</v>
      </c>
      <c r="AX1191" s="170">
        <v>36</v>
      </c>
      <c r="BK1191" s="20">
        <f t="shared" ref="BK1191:BK1212" si="27">BL1191*10</f>
        <v>21</v>
      </c>
      <c r="BL1191" s="165">
        <v>2.1</v>
      </c>
      <c r="BM1191" s="167">
        <v>25.706713780918726</v>
      </c>
      <c r="BN1191" s="168">
        <v>-0.7</v>
      </c>
      <c r="BO1191" s="169">
        <v>3.6</v>
      </c>
      <c r="BP1191" s="170">
        <v>43</v>
      </c>
      <c r="BX1191" s="165">
        <v>606</v>
      </c>
      <c r="BY1191" s="167">
        <v>0.44014084507042256</v>
      </c>
      <c r="BZ1191" s="168">
        <v>-2.6</v>
      </c>
      <c r="CA1191" s="169">
        <v>-0.2</v>
      </c>
      <c r="CB1191" s="170">
        <v>24</v>
      </c>
      <c r="CD1191" s="165">
        <v>2</v>
      </c>
      <c r="CE1191" s="167">
        <v>71.792618629173987</v>
      </c>
      <c r="CF1191" s="168">
        <v>0.6</v>
      </c>
      <c r="CG1191" s="169">
        <v>6.2</v>
      </c>
      <c r="CH1191" s="170">
        <v>56</v>
      </c>
      <c r="CJ1191" s="165">
        <v>5</v>
      </c>
      <c r="CK1191" s="167">
        <v>27.240773286467483</v>
      </c>
      <c r="CL1191" s="168">
        <v>-0.6</v>
      </c>
      <c r="CM1191" s="169">
        <v>3.8</v>
      </c>
      <c r="CN1191" s="170">
        <v>44</v>
      </c>
      <c r="CP1191" s="165">
        <v>420</v>
      </c>
      <c r="CQ1191" s="167">
        <v>0.26362038664323373</v>
      </c>
      <c r="CR1191" s="168">
        <v>-2.8</v>
      </c>
      <c r="CS1191" s="169">
        <v>-0.6</v>
      </c>
      <c r="CT1191" s="170">
        <v>22</v>
      </c>
      <c r="CV1191" s="165">
        <v>74</v>
      </c>
      <c r="CW1191" s="167">
        <v>0.96830985915492951</v>
      </c>
      <c r="CX1191" s="168">
        <v>-2.2999999999999998</v>
      </c>
      <c r="CY1191" s="169">
        <v>0.4</v>
      </c>
      <c r="CZ1191" s="170">
        <v>27</v>
      </c>
      <c r="DB1191" s="165">
        <v>0.7</v>
      </c>
      <c r="DC1191" s="167">
        <v>5.0119331742243434</v>
      </c>
      <c r="DD1191" s="168">
        <v>-1.6</v>
      </c>
      <c r="DE1191" s="169">
        <v>1.8</v>
      </c>
      <c r="DF1191" s="170">
        <v>34</v>
      </c>
    </row>
    <row r="1192" spans="15:110" hidden="1" x14ac:dyDescent="0.2">
      <c r="S1192" s="169" t="e">
        <f>IF(T1192&lt;15,15,IF(T1192&gt;94,94,T1192))</f>
        <v>#REF!</v>
      </c>
      <c r="T1192" s="178" t="e">
        <f>$F186-30.05*$R$1031-2.43*$R$1030</f>
        <v>#REF!</v>
      </c>
      <c r="U1192" s="183" t="s">
        <v>260</v>
      </c>
      <c r="AG1192" s="20">
        <f t="shared" si="26"/>
        <v>3</v>
      </c>
      <c r="AH1192" s="165">
        <v>1.5</v>
      </c>
      <c r="AI1192" s="167">
        <v>0.9717314487632509</v>
      </c>
      <c r="AJ1192" s="168">
        <v>-2.2999999999999998</v>
      </c>
      <c r="AK1192" s="169">
        <v>0.4</v>
      </c>
      <c r="AL1192" s="170">
        <v>27</v>
      </c>
      <c r="AM1192" s="20">
        <f t="shared" si="24"/>
        <v>25</v>
      </c>
      <c r="AN1192" s="165">
        <v>12.5</v>
      </c>
      <c r="AO1192" s="167">
        <v>51.056338028169016</v>
      </c>
      <c r="AP1192" s="168">
        <v>0</v>
      </c>
      <c r="AQ1192" s="169">
        <v>5</v>
      </c>
      <c r="AR1192" s="170">
        <v>50</v>
      </c>
      <c r="AS1192" s="20">
        <f t="shared" si="25"/>
        <v>24</v>
      </c>
      <c r="AT1192" s="165">
        <v>12</v>
      </c>
      <c r="AU1192" s="167">
        <v>9.7539543057996489</v>
      </c>
      <c r="AV1192" s="168">
        <v>-1.3</v>
      </c>
      <c r="AW1192" s="169">
        <v>2.4</v>
      </c>
      <c r="AX1192" s="170">
        <v>37</v>
      </c>
      <c r="BK1192" s="20">
        <f t="shared" si="27"/>
        <v>20</v>
      </c>
      <c r="BL1192" s="165">
        <v>2</v>
      </c>
      <c r="BM1192" s="167">
        <v>27.650176678445231</v>
      </c>
      <c r="BN1192" s="168">
        <v>-0.6</v>
      </c>
      <c r="BO1192" s="169">
        <v>3.8</v>
      </c>
      <c r="BP1192" s="170">
        <v>44</v>
      </c>
      <c r="BX1192" s="165">
        <v>605</v>
      </c>
      <c r="BY1192" s="167">
        <v>0.44014084507042256</v>
      </c>
      <c r="BZ1192" s="168">
        <v>-2.6</v>
      </c>
      <c r="CA1192" s="169">
        <v>-0.2</v>
      </c>
      <c r="CB1192" s="170">
        <v>24</v>
      </c>
      <c r="CD1192" s="165">
        <v>1</v>
      </c>
      <c r="CE1192" s="167">
        <v>86.7311072056239</v>
      </c>
      <c r="CF1192" s="168">
        <v>1.1000000000000001</v>
      </c>
      <c r="CG1192" s="169">
        <v>7.2</v>
      </c>
      <c r="CH1192" s="170">
        <v>61</v>
      </c>
      <c r="CJ1192" s="165">
        <v>4</v>
      </c>
      <c r="CK1192" s="167">
        <v>31.63444639718805</v>
      </c>
      <c r="CL1192" s="168">
        <v>-0.5</v>
      </c>
      <c r="CM1192" s="169">
        <v>4</v>
      </c>
      <c r="CN1192" s="170">
        <v>45</v>
      </c>
      <c r="CP1192" s="165">
        <v>419</v>
      </c>
      <c r="CQ1192" s="167">
        <v>0.26362038664323373</v>
      </c>
      <c r="CR1192" s="168">
        <v>-2.8</v>
      </c>
      <c r="CS1192" s="169">
        <v>-0.6</v>
      </c>
      <c r="CT1192" s="170">
        <v>22</v>
      </c>
      <c r="CV1192" s="165">
        <v>73</v>
      </c>
      <c r="CW1192" s="167">
        <v>0.96830985915492951</v>
      </c>
      <c r="CX1192" s="168">
        <v>-2.2999999999999998</v>
      </c>
      <c r="CY1192" s="169">
        <v>0.4</v>
      </c>
      <c r="CZ1192" s="170">
        <v>27</v>
      </c>
      <c r="DB1192" s="165">
        <v>0.8</v>
      </c>
      <c r="DC1192" s="167">
        <v>5.0119331742243434</v>
      </c>
      <c r="DD1192" s="168">
        <v>-1.6</v>
      </c>
      <c r="DE1192" s="169">
        <v>1.8</v>
      </c>
      <c r="DF1192" s="170">
        <v>34</v>
      </c>
    </row>
    <row r="1193" spans="15:110" ht="13.15" hidden="1" thickBot="1" x14ac:dyDescent="0.25">
      <c r="S1193" s="169" t="e">
        <f>IF(T1193&lt;11,11,IF(T1193&gt;86,86,T1193))</f>
        <v>#REF!</v>
      </c>
      <c r="T1193" s="178" t="e">
        <f>$F187-19.44*$R$1031-5.25*$R$1030</f>
        <v>#REF!</v>
      </c>
      <c r="U1193" s="183" t="s">
        <v>262</v>
      </c>
      <c r="AG1193" s="20">
        <f t="shared" si="26"/>
        <v>4</v>
      </c>
      <c r="AH1193" s="165">
        <v>2</v>
      </c>
      <c r="AI1193" s="167">
        <v>0.9717314487632509</v>
      </c>
      <c r="AJ1193" s="168">
        <v>-2.2999999999999998</v>
      </c>
      <c r="AK1193" s="169">
        <v>0.4</v>
      </c>
      <c r="AL1193" s="170">
        <v>27</v>
      </c>
      <c r="AM1193" s="20">
        <f t="shared" si="24"/>
        <v>26</v>
      </c>
      <c r="AN1193" s="165">
        <v>13</v>
      </c>
      <c r="AO1193" s="167">
        <v>57.834507042253527</v>
      </c>
      <c r="AP1193" s="168">
        <v>0.2</v>
      </c>
      <c r="AQ1193" s="169">
        <v>5.4</v>
      </c>
      <c r="AR1193" s="170">
        <v>52</v>
      </c>
      <c r="AS1193" s="20">
        <f t="shared" si="25"/>
        <v>25</v>
      </c>
      <c r="AT1193" s="165">
        <v>12.5</v>
      </c>
      <c r="AU1193" s="167">
        <v>12.302284710017574</v>
      </c>
      <c r="AV1193" s="168">
        <v>-1.2</v>
      </c>
      <c r="AW1193" s="169">
        <v>2.6</v>
      </c>
      <c r="AX1193" s="170">
        <v>38</v>
      </c>
      <c r="BK1193" s="20">
        <f t="shared" si="27"/>
        <v>19</v>
      </c>
      <c r="BL1193" s="165">
        <v>1.9</v>
      </c>
      <c r="BM1193" s="167">
        <v>28.710247349823319</v>
      </c>
      <c r="BN1193" s="168">
        <v>-0.6</v>
      </c>
      <c r="BO1193" s="169">
        <v>3.8</v>
      </c>
      <c r="BP1193" s="170">
        <v>44</v>
      </c>
      <c r="BX1193" s="165">
        <v>604</v>
      </c>
      <c r="BY1193" s="167">
        <v>0.44014084507042256</v>
      </c>
      <c r="BZ1193" s="168">
        <v>-2.6</v>
      </c>
      <c r="CA1193" s="169">
        <v>-0.2</v>
      </c>
      <c r="CB1193" s="170">
        <v>24</v>
      </c>
      <c r="CD1193" s="172">
        <v>0</v>
      </c>
      <c r="CE1193" s="173">
        <v>86.7311072056239</v>
      </c>
      <c r="CF1193" s="174">
        <v>1.1000000000000001</v>
      </c>
      <c r="CG1193" s="175">
        <v>7.2</v>
      </c>
      <c r="CH1193" s="176">
        <v>61</v>
      </c>
      <c r="CJ1193" s="165">
        <v>3</v>
      </c>
      <c r="CK1193" s="167">
        <v>40.070298769771526</v>
      </c>
      <c r="CL1193" s="168">
        <v>-0.3</v>
      </c>
      <c r="CM1193" s="169">
        <v>4.4000000000000004</v>
      </c>
      <c r="CN1193" s="170">
        <v>47</v>
      </c>
      <c r="CP1193" s="165">
        <v>418</v>
      </c>
      <c r="CQ1193" s="167">
        <v>0.26362038664323373</v>
      </c>
      <c r="CR1193" s="168">
        <v>-2.8</v>
      </c>
      <c r="CS1193" s="169">
        <v>-0.6</v>
      </c>
      <c r="CT1193" s="170">
        <v>22</v>
      </c>
      <c r="CV1193" s="165">
        <v>72</v>
      </c>
      <c r="CW1193" s="167">
        <v>0.96830985915492951</v>
      </c>
      <c r="CX1193" s="168">
        <v>-2.2999999999999998</v>
      </c>
      <c r="CY1193" s="169">
        <v>0.4</v>
      </c>
      <c r="CZ1193" s="170">
        <v>27</v>
      </c>
      <c r="DB1193" s="165">
        <v>0.9</v>
      </c>
      <c r="DC1193" s="167">
        <v>7.1599045346062056</v>
      </c>
      <c r="DD1193" s="168">
        <v>-1.5</v>
      </c>
      <c r="DE1193" s="169">
        <v>2</v>
      </c>
      <c r="DF1193" s="170">
        <v>35</v>
      </c>
    </row>
    <row r="1194" spans="15:110" ht="13.8" hidden="1" thickBot="1" x14ac:dyDescent="0.3">
      <c r="S1194" s="169" t="e">
        <f>IF(T1194&lt;4,4,IF(T1194&gt;91,91,T1194))</f>
        <v>#REF!</v>
      </c>
      <c r="T1194" s="178" t="e">
        <f>$F188-17.59*$R$1031-5.89*$R$1030</f>
        <v>#REF!</v>
      </c>
      <c r="U1194" s="183" t="s">
        <v>264</v>
      </c>
      <c r="AB1194" s="138" t="s">
        <v>159</v>
      </c>
      <c r="AC1194" s="139"/>
      <c r="AD1194" s="139"/>
      <c r="AE1194" s="140"/>
      <c r="AF1194" s="141" t="s">
        <v>160</v>
      </c>
      <c r="AG1194" s="20">
        <f t="shared" si="26"/>
        <v>5</v>
      </c>
      <c r="AH1194" s="165">
        <v>2.5</v>
      </c>
      <c r="AI1194" s="167">
        <v>0.9717314487632509</v>
      </c>
      <c r="AJ1194" s="168">
        <v>-2.2999999999999998</v>
      </c>
      <c r="AK1194" s="169">
        <v>0.4</v>
      </c>
      <c r="AL1194" s="170">
        <v>27</v>
      </c>
      <c r="AM1194" s="20">
        <f t="shared" si="24"/>
        <v>27</v>
      </c>
      <c r="AN1194" s="165">
        <v>13.5</v>
      </c>
      <c r="AO1194" s="167">
        <v>64.436619718309856</v>
      </c>
      <c r="AP1194" s="168">
        <v>0.4</v>
      </c>
      <c r="AQ1194" s="169">
        <v>5.8</v>
      </c>
      <c r="AR1194" s="170">
        <v>54</v>
      </c>
      <c r="AS1194" s="20">
        <f t="shared" si="25"/>
        <v>26</v>
      </c>
      <c r="AT1194" s="165">
        <v>13</v>
      </c>
      <c r="AU1194" s="167">
        <v>14.586994727592268</v>
      </c>
      <c r="AV1194" s="168">
        <v>-1.1000000000000001</v>
      </c>
      <c r="AW1194" s="169">
        <v>2.8</v>
      </c>
      <c r="AX1194" s="170">
        <v>39</v>
      </c>
      <c r="BK1194" s="20">
        <f t="shared" si="27"/>
        <v>18</v>
      </c>
      <c r="BL1194" s="165">
        <v>1.8</v>
      </c>
      <c r="BM1194" s="167">
        <v>30.212014134275616</v>
      </c>
      <c r="BN1194" s="168">
        <v>-0.5</v>
      </c>
      <c r="BO1194" s="169">
        <v>4</v>
      </c>
      <c r="BP1194" s="170">
        <v>45</v>
      </c>
      <c r="BX1194" s="165">
        <v>603</v>
      </c>
      <c r="BY1194" s="167">
        <v>0.44014084507042256</v>
      </c>
      <c r="BZ1194" s="168">
        <v>-2.6</v>
      </c>
      <c r="CA1194" s="169">
        <v>-0.2</v>
      </c>
      <c r="CB1194" s="170">
        <v>24</v>
      </c>
      <c r="CJ1194" s="165">
        <v>2</v>
      </c>
      <c r="CK1194" s="167">
        <v>47.451669595782079</v>
      </c>
      <c r="CL1194" s="168">
        <v>-0.1</v>
      </c>
      <c r="CM1194" s="169">
        <v>4.8</v>
      </c>
      <c r="CN1194" s="170">
        <v>49</v>
      </c>
      <c r="CP1194" s="165">
        <v>417</v>
      </c>
      <c r="CQ1194" s="167">
        <v>0.26362038664323373</v>
      </c>
      <c r="CR1194" s="168">
        <v>-2.8</v>
      </c>
      <c r="CS1194" s="169">
        <v>-0.6</v>
      </c>
      <c r="CT1194" s="170">
        <v>22</v>
      </c>
      <c r="CV1194" s="165">
        <v>71</v>
      </c>
      <c r="CW1194" s="167">
        <v>0.96830985915492951</v>
      </c>
      <c r="CX1194" s="168">
        <v>-2.2999999999999998</v>
      </c>
      <c r="CY1194" s="169">
        <v>0.4</v>
      </c>
      <c r="CZ1194" s="170">
        <v>27</v>
      </c>
      <c r="DB1194" s="172">
        <v>1</v>
      </c>
      <c r="DC1194" s="173">
        <v>53.937947494033409</v>
      </c>
      <c r="DD1194" s="174">
        <v>0.1</v>
      </c>
      <c r="DE1194" s="175">
        <v>5.2</v>
      </c>
      <c r="DF1194" s="176">
        <v>51</v>
      </c>
    </row>
    <row r="1195" spans="15:110" hidden="1" x14ac:dyDescent="0.2">
      <c r="S1195" s="169" t="e">
        <f>IF(T1195&lt;6,6,IF(T1195&gt;86,86,T1195))</f>
        <v>#REF!</v>
      </c>
      <c r="T1195" s="178" t="e">
        <f>$F189-20.9*$R$1031</f>
        <v>#REF!</v>
      </c>
      <c r="U1195" s="183" t="s">
        <v>266</v>
      </c>
      <c r="AB1195" s="144" t="s">
        <v>161</v>
      </c>
      <c r="AD1195" s="20" t="s">
        <v>162</v>
      </c>
      <c r="AF1195" s="145"/>
      <c r="AG1195" s="20">
        <f t="shared" si="26"/>
        <v>6</v>
      </c>
      <c r="AH1195" s="165">
        <v>3</v>
      </c>
      <c r="AI1195" s="167">
        <v>0.9717314487632509</v>
      </c>
      <c r="AJ1195" s="168">
        <v>-2.2999999999999998</v>
      </c>
      <c r="AK1195" s="169">
        <v>0.4</v>
      </c>
      <c r="AL1195" s="170">
        <v>27</v>
      </c>
      <c r="AM1195" s="20">
        <f t="shared" si="24"/>
        <v>28</v>
      </c>
      <c r="AN1195" s="165">
        <v>14</v>
      </c>
      <c r="AO1195" s="167">
        <v>73.151408450704224</v>
      </c>
      <c r="AP1195" s="168">
        <v>0.6</v>
      </c>
      <c r="AQ1195" s="169">
        <v>6.2</v>
      </c>
      <c r="AR1195" s="170">
        <v>56</v>
      </c>
      <c r="AS1195" s="20">
        <f t="shared" si="25"/>
        <v>27</v>
      </c>
      <c r="AT1195" s="165">
        <v>13.5</v>
      </c>
      <c r="AU1195" s="167">
        <v>16.608084358523726</v>
      </c>
      <c r="AV1195" s="168">
        <v>-1</v>
      </c>
      <c r="AW1195" s="169">
        <v>3</v>
      </c>
      <c r="AX1195" s="170">
        <v>40</v>
      </c>
      <c r="BK1195" s="20">
        <f t="shared" si="27"/>
        <v>17</v>
      </c>
      <c r="BL1195" s="165">
        <v>1.7</v>
      </c>
      <c r="BM1195" s="167">
        <v>33.03886925795053</v>
      </c>
      <c r="BN1195" s="168">
        <v>-0.4</v>
      </c>
      <c r="BO1195" s="169">
        <v>4.2</v>
      </c>
      <c r="BP1195" s="170">
        <v>46</v>
      </c>
      <c r="BX1195" s="165">
        <v>602</v>
      </c>
      <c r="BY1195" s="167">
        <v>0.44014084507042256</v>
      </c>
      <c r="BZ1195" s="168">
        <v>-2.6</v>
      </c>
      <c r="CA1195" s="169">
        <v>-0.2</v>
      </c>
      <c r="CB1195" s="170">
        <v>24</v>
      </c>
      <c r="CJ1195" s="165">
        <v>1</v>
      </c>
      <c r="CK1195" s="167">
        <v>74.604569420035148</v>
      </c>
      <c r="CL1195" s="168">
        <v>0.7</v>
      </c>
      <c r="CM1195" s="169">
        <v>6.4</v>
      </c>
      <c r="CN1195" s="170">
        <v>57</v>
      </c>
      <c r="CP1195" s="165">
        <v>416</v>
      </c>
      <c r="CQ1195" s="167">
        <v>0.26362038664323373</v>
      </c>
      <c r="CR1195" s="168">
        <v>-2.8</v>
      </c>
      <c r="CS1195" s="169">
        <v>-0.6</v>
      </c>
      <c r="CT1195" s="170">
        <v>22</v>
      </c>
      <c r="CV1195" s="165">
        <v>70</v>
      </c>
      <c r="CW1195" s="167">
        <v>0.96830985915492951</v>
      </c>
      <c r="CX1195" s="168">
        <v>-2.2999999999999998</v>
      </c>
      <c r="CY1195" s="169">
        <v>0.4</v>
      </c>
      <c r="CZ1195" s="170">
        <v>27</v>
      </c>
    </row>
    <row r="1196" spans="15:110" ht="13.15" hidden="1" thickBot="1" x14ac:dyDescent="0.25">
      <c r="S1196" s="169" t="e">
        <f>IF(T1196&lt;2,2,IF(T1196&gt;95,95,T1196))</f>
        <v>#REF!</v>
      </c>
      <c r="T1196" s="178" t="e">
        <f>F190+0.2*$R$1029-13.01*$R$1030</f>
        <v>#REF!</v>
      </c>
      <c r="U1196" s="183" t="s">
        <v>268</v>
      </c>
      <c r="AB1196" s="147" t="s">
        <v>172</v>
      </c>
      <c r="AC1196" s="148"/>
      <c r="AD1196" s="148"/>
      <c r="AE1196" s="148"/>
      <c r="AF1196" s="149"/>
      <c r="AG1196" s="20">
        <f t="shared" si="26"/>
        <v>7</v>
      </c>
      <c r="AH1196" s="165">
        <v>3.5</v>
      </c>
      <c r="AI1196" s="167">
        <v>1.5017667844522968</v>
      </c>
      <c r="AJ1196" s="168">
        <v>-2.2000000000000002</v>
      </c>
      <c r="AK1196" s="169">
        <v>0.6</v>
      </c>
      <c r="AL1196" s="170">
        <v>28</v>
      </c>
      <c r="AM1196" s="20">
        <f t="shared" si="24"/>
        <v>29</v>
      </c>
      <c r="AN1196" s="165">
        <v>14.5</v>
      </c>
      <c r="AO1196" s="167">
        <v>81.690140845070431</v>
      </c>
      <c r="AP1196" s="168">
        <v>0.9</v>
      </c>
      <c r="AQ1196" s="169">
        <v>6.8</v>
      </c>
      <c r="AR1196" s="170">
        <v>59</v>
      </c>
      <c r="AS1196" s="20">
        <f t="shared" si="25"/>
        <v>28</v>
      </c>
      <c r="AT1196" s="165">
        <v>14</v>
      </c>
      <c r="AU1196" s="167">
        <v>21.0896309314587</v>
      </c>
      <c r="AV1196" s="168">
        <v>-0.8</v>
      </c>
      <c r="AW1196" s="169">
        <v>3.4</v>
      </c>
      <c r="AX1196" s="170">
        <v>42</v>
      </c>
      <c r="BK1196" s="20">
        <f t="shared" si="27"/>
        <v>16</v>
      </c>
      <c r="BL1196" s="165">
        <v>1.6</v>
      </c>
      <c r="BM1196" s="167">
        <v>36.130742049469966</v>
      </c>
      <c r="BN1196" s="168">
        <v>-0.4</v>
      </c>
      <c r="BO1196" s="169">
        <v>4.2</v>
      </c>
      <c r="BP1196" s="170">
        <v>46</v>
      </c>
      <c r="BX1196" s="165">
        <v>601</v>
      </c>
      <c r="BY1196" s="167">
        <v>0.44014084507042256</v>
      </c>
      <c r="BZ1196" s="168">
        <v>-2.6</v>
      </c>
      <c r="CA1196" s="169">
        <v>-0.2</v>
      </c>
      <c r="CB1196" s="170">
        <v>24</v>
      </c>
      <c r="CJ1196" s="172">
        <v>0</v>
      </c>
      <c r="CK1196" s="173">
        <v>74.604569420035148</v>
      </c>
      <c r="CL1196" s="174">
        <v>0.7</v>
      </c>
      <c r="CM1196" s="175">
        <v>6.4</v>
      </c>
      <c r="CN1196" s="176">
        <v>57</v>
      </c>
      <c r="CP1196" s="165">
        <v>415</v>
      </c>
      <c r="CQ1196" s="167">
        <v>0.26362038664323373</v>
      </c>
      <c r="CR1196" s="168">
        <v>-2.8</v>
      </c>
      <c r="CS1196" s="169">
        <v>-0.6</v>
      </c>
      <c r="CT1196" s="170">
        <v>22</v>
      </c>
      <c r="CV1196" s="165">
        <v>69</v>
      </c>
      <c r="CW1196" s="167">
        <v>0.96830985915492951</v>
      </c>
      <c r="CX1196" s="168">
        <v>-2.2999999999999998</v>
      </c>
      <c r="CY1196" s="169">
        <v>0.4</v>
      </c>
      <c r="CZ1196" s="170">
        <v>27</v>
      </c>
    </row>
    <row r="1197" spans="15:110" ht="13.8" hidden="1" thickBot="1" x14ac:dyDescent="0.3">
      <c r="S1197" s="169" t="e">
        <f>IF(T1197&lt;8,8,IF(T1197&gt;93,93,T1197))</f>
        <v>#REF!</v>
      </c>
      <c r="T1197" s="178" t="e">
        <f>$F191-15.58*$R$1031-5.37*$R$1030</f>
        <v>#REF!</v>
      </c>
      <c r="U1197" s="180" t="s">
        <v>270</v>
      </c>
      <c r="AB1197" s="150" t="s">
        <v>164</v>
      </c>
      <c r="AC1197" s="151" t="s">
        <v>28</v>
      </c>
      <c r="AD1197" s="152"/>
      <c r="AE1197" s="152"/>
      <c r="AF1197" s="153"/>
      <c r="AG1197" s="20">
        <f t="shared" si="26"/>
        <v>8</v>
      </c>
      <c r="AH1197" s="165">
        <v>4</v>
      </c>
      <c r="AI1197" s="167">
        <v>2.2084805653710249</v>
      </c>
      <c r="AJ1197" s="168">
        <v>-2</v>
      </c>
      <c r="AK1197" s="169">
        <v>1</v>
      </c>
      <c r="AL1197" s="170">
        <v>30</v>
      </c>
      <c r="AM1197" s="20">
        <f t="shared" si="24"/>
        <v>30</v>
      </c>
      <c r="AN1197" s="172">
        <v>15</v>
      </c>
      <c r="AO1197" s="173">
        <v>91.109154929577457</v>
      </c>
      <c r="AP1197" s="174">
        <v>1.3</v>
      </c>
      <c r="AQ1197" s="175">
        <v>7.6</v>
      </c>
      <c r="AR1197" s="176">
        <v>63</v>
      </c>
      <c r="AS1197" s="20">
        <f t="shared" si="25"/>
        <v>29</v>
      </c>
      <c r="AT1197" s="165">
        <v>14.5</v>
      </c>
      <c r="AU1197" s="167">
        <v>25.307557117750441</v>
      </c>
      <c r="AV1197" s="168">
        <v>-0.7</v>
      </c>
      <c r="AW1197" s="169">
        <v>3.6</v>
      </c>
      <c r="AX1197" s="170">
        <v>43</v>
      </c>
      <c r="BK1197" s="20">
        <f t="shared" si="27"/>
        <v>15</v>
      </c>
      <c r="BL1197" s="165">
        <v>1.5</v>
      </c>
      <c r="BM1197" s="167">
        <v>38.869257950530034</v>
      </c>
      <c r="BN1197" s="168">
        <v>-0.3</v>
      </c>
      <c r="BO1197" s="169">
        <v>4.4000000000000004</v>
      </c>
      <c r="BP1197" s="170">
        <v>47</v>
      </c>
      <c r="BX1197" s="165">
        <v>600</v>
      </c>
      <c r="BY1197" s="167">
        <v>0.44014084507042256</v>
      </c>
      <c r="BZ1197" s="168">
        <v>-2.6</v>
      </c>
      <c r="CA1197" s="169">
        <v>-0.2</v>
      </c>
      <c r="CB1197" s="170">
        <v>24</v>
      </c>
      <c r="CP1197" s="165">
        <v>414</v>
      </c>
      <c r="CQ1197" s="167">
        <v>0.26362038664323373</v>
      </c>
      <c r="CR1197" s="168">
        <v>-2.8</v>
      </c>
      <c r="CS1197" s="169">
        <v>-0.6</v>
      </c>
      <c r="CT1197" s="170">
        <v>22</v>
      </c>
      <c r="CV1197" s="165">
        <v>68</v>
      </c>
      <c r="CW1197" s="167">
        <v>0.96830985915492951</v>
      </c>
      <c r="CX1197" s="168">
        <v>-2.2999999999999998</v>
      </c>
      <c r="CY1197" s="169">
        <v>0.4</v>
      </c>
      <c r="CZ1197" s="170">
        <v>27</v>
      </c>
      <c r="DB1197" s="138" t="s">
        <v>114</v>
      </c>
      <c r="DC1197" s="139"/>
      <c r="DD1197" s="139"/>
      <c r="DE1197" s="140" t="s">
        <v>215</v>
      </c>
      <c r="DF1197" s="141">
        <v>419</v>
      </c>
    </row>
    <row r="1198" spans="15:110" ht="13.15" hidden="1" thickBot="1" x14ac:dyDescent="0.25">
      <c r="AB1198" s="155" t="s">
        <v>10</v>
      </c>
      <c r="AC1198" s="158" t="s">
        <v>13</v>
      </c>
      <c r="AD1198" s="156" t="s">
        <v>14</v>
      </c>
      <c r="AE1198" s="158" t="s">
        <v>15</v>
      </c>
      <c r="AF1198" s="159" t="s">
        <v>16</v>
      </c>
      <c r="AG1198" s="20">
        <f t="shared" si="26"/>
        <v>9</v>
      </c>
      <c r="AH1198" s="165">
        <v>4.5</v>
      </c>
      <c r="AI1198" s="167">
        <v>3.0035335689045937</v>
      </c>
      <c r="AJ1198" s="168">
        <v>-1.9</v>
      </c>
      <c r="AK1198" s="169">
        <v>1.2</v>
      </c>
      <c r="AL1198" s="170">
        <v>31</v>
      </c>
      <c r="AS1198" s="20">
        <f t="shared" si="25"/>
        <v>30</v>
      </c>
      <c r="AT1198" s="165">
        <v>15</v>
      </c>
      <c r="AU1198" s="167">
        <v>25.307557117750441</v>
      </c>
      <c r="AV1198" s="168">
        <v>-0.7</v>
      </c>
      <c r="AW1198" s="169">
        <v>3.6</v>
      </c>
      <c r="AX1198" s="170">
        <v>43</v>
      </c>
      <c r="BK1198" s="20">
        <f t="shared" si="27"/>
        <v>14</v>
      </c>
      <c r="BL1198" s="165">
        <v>1.4</v>
      </c>
      <c r="BM1198" s="167">
        <v>41.60777385159011</v>
      </c>
      <c r="BN1198" s="168">
        <v>-0.2</v>
      </c>
      <c r="BO1198" s="169">
        <v>4.5999999999999996</v>
      </c>
      <c r="BP1198" s="170">
        <v>48</v>
      </c>
      <c r="BX1198" s="165">
        <v>599</v>
      </c>
      <c r="BY1198" s="167">
        <v>0.44014084507042256</v>
      </c>
      <c r="BZ1198" s="168">
        <v>-2.6</v>
      </c>
      <c r="CA1198" s="169">
        <v>-0.2</v>
      </c>
      <c r="CB1198" s="170">
        <v>24</v>
      </c>
      <c r="CP1198" s="165">
        <v>413</v>
      </c>
      <c r="CQ1198" s="167">
        <v>0.26362038664323373</v>
      </c>
      <c r="CR1198" s="168">
        <v>-2.8</v>
      </c>
      <c r="CS1198" s="169">
        <v>-0.6</v>
      </c>
      <c r="CT1198" s="170">
        <v>22</v>
      </c>
      <c r="CV1198" s="165">
        <v>67</v>
      </c>
      <c r="CW1198" s="167">
        <v>0.96830985915492951</v>
      </c>
      <c r="CX1198" s="168">
        <v>-2.2999999999999998</v>
      </c>
      <c r="CY1198" s="169">
        <v>0.4</v>
      </c>
      <c r="CZ1198" s="170">
        <v>27</v>
      </c>
      <c r="DB1198" s="144" t="s">
        <v>161</v>
      </c>
      <c r="DD1198" s="20" t="s">
        <v>162</v>
      </c>
      <c r="DF1198" s="145"/>
    </row>
    <row r="1199" spans="15:110" ht="13.15" hidden="1" thickBot="1" x14ac:dyDescent="0.25">
      <c r="AB1199" s="165">
        <v>2</v>
      </c>
      <c r="AC1199" s="167">
        <v>8.7873462214411238E-2</v>
      </c>
      <c r="AD1199" s="168">
        <v>-3</v>
      </c>
      <c r="AE1199" s="169">
        <v>-1</v>
      </c>
      <c r="AF1199" s="170">
        <v>20</v>
      </c>
      <c r="AG1199" s="20">
        <f t="shared" si="26"/>
        <v>10</v>
      </c>
      <c r="AH1199" s="165">
        <v>5</v>
      </c>
      <c r="AI1199" s="167">
        <v>4.0636042402826851</v>
      </c>
      <c r="AJ1199" s="168">
        <v>-1.7</v>
      </c>
      <c r="AK1199" s="169">
        <v>1.6</v>
      </c>
      <c r="AL1199" s="170">
        <v>33</v>
      </c>
      <c r="AS1199" s="20">
        <f t="shared" si="25"/>
        <v>31</v>
      </c>
      <c r="AT1199" s="165">
        <v>15.5</v>
      </c>
      <c r="AU1199" s="167">
        <v>63.005272407732861</v>
      </c>
      <c r="AV1199" s="168">
        <v>0.3</v>
      </c>
      <c r="AW1199" s="169">
        <v>5.6</v>
      </c>
      <c r="AX1199" s="170">
        <v>53</v>
      </c>
      <c r="BK1199" s="20">
        <f t="shared" si="27"/>
        <v>13</v>
      </c>
      <c r="BL1199" s="165">
        <v>1.3</v>
      </c>
      <c r="BM1199" s="167">
        <v>45.229681978798588</v>
      </c>
      <c r="BN1199" s="168">
        <v>-0.1</v>
      </c>
      <c r="BO1199" s="169">
        <v>4.8</v>
      </c>
      <c r="BP1199" s="170">
        <v>49</v>
      </c>
      <c r="BX1199" s="165">
        <v>598</v>
      </c>
      <c r="BY1199" s="167">
        <v>0.44014084507042256</v>
      </c>
      <c r="BZ1199" s="168">
        <v>-2.6</v>
      </c>
      <c r="CA1199" s="169">
        <v>-0.2</v>
      </c>
      <c r="CB1199" s="170">
        <v>24</v>
      </c>
      <c r="CP1199" s="165">
        <v>412</v>
      </c>
      <c r="CQ1199" s="167">
        <v>0.26362038664323373</v>
      </c>
      <c r="CR1199" s="168">
        <v>-2.8</v>
      </c>
      <c r="CS1199" s="169">
        <v>-0.6</v>
      </c>
      <c r="CT1199" s="170">
        <v>22</v>
      </c>
      <c r="CV1199" s="165">
        <v>66</v>
      </c>
      <c r="CW1199" s="167">
        <v>1.1443661971830987</v>
      </c>
      <c r="CX1199" s="168">
        <v>-2.2999999999999998</v>
      </c>
      <c r="CY1199" s="169">
        <v>0.4</v>
      </c>
      <c r="CZ1199" s="170">
        <v>27</v>
      </c>
      <c r="DB1199" s="181"/>
      <c r="DC1199" s="148"/>
      <c r="DD1199" s="179" t="s">
        <v>170</v>
      </c>
      <c r="DE1199" s="148"/>
      <c r="DF1199" s="149"/>
    </row>
    <row r="1200" spans="15:110" ht="13.8" hidden="1" thickBot="1" x14ac:dyDescent="0.3">
      <c r="AB1200" s="165">
        <v>3</v>
      </c>
      <c r="AC1200" s="167">
        <v>0.7908611599297013</v>
      </c>
      <c r="AD1200" s="168">
        <v>-2.4</v>
      </c>
      <c r="AE1200" s="169">
        <v>0.2</v>
      </c>
      <c r="AF1200" s="170">
        <v>26</v>
      </c>
      <c r="AG1200" s="20">
        <f t="shared" si="26"/>
        <v>11</v>
      </c>
      <c r="AH1200" s="165">
        <v>5.5</v>
      </c>
      <c r="AI1200" s="167">
        <v>5.3003533568904597</v>
      </c>
      <c r="AJ1200" s="168">
        <v>-1.6</v>
      </c>
      <c r="AK1200" s="169">
        <v>1.8</v>
      </c>
      <c r="AL1200" s="170">
        <v>34</v>
      </c>
      <c r="AN1200" s="138" t="s">
        <v>186</v>
      </c>
      <c r="AO1200" s="139"/>
      <c r="AP1200" s="139"/>
      <c r="AQ1200" s="140" t="s">
        <v>180</v>
      </c>
      <c r="AR1200" s="141">
        <v>568</v>
      </c>
      <c r="AS1200" s="20">
        <f t="shared" si="25"/>
        <v>32</v>
      </c>
      <c r="AT1200" s="172">
        <v>16</v>
      </c>
      <c r="AU1200" s="173">
        <v>63.005272407732861</v>
      </c>
      <c r="AV1200" s="174">
        <v>0.3</v>
      </c>
      <c r="AW1200" s="175">
        <v>5.6</v>
      </c>
      <c r="AX1200" s="176">
        <v>53</v>
      </c>
      <c r="BK1200" s="20">
        <f t="shared" si="27"/>
        <v>12</v>
      </c>
      <c r="BL1200" s="165">
        <v>1.2</v>
      </c>
      <c r="BM1200" s="167">
        <v>49.381625441696116</v>
      </c>
      <c r="BN1200" s="168">
        <v>0</v>
      </c>
      <c r="BO1200" s="169">
        <v>5</v>
      </c>
      <c r="BP1200" s="170">
        <v>50</v>
      </c>
      <c r="BX1200" s="165">
        <v>597</v>
      </c>
      <c r="BY1200" s="167">
        <v>0.44014084507042256</v>
      </c>
      <c r="BZ1200" s="168">
        <v>-2.6</v>
      </c>
      <c r="CA1200" s="169">
        <v>-0.2</v>
      </c>
      <c r="CB1200" s="170">
        <v>24</v>
      </c>
      <c r="CP1200" s="165">
        <v>411</v>
      </c>
      <c r="CQ1200" s="167">
        <v>0.26362038664323373</v>
      </c>
      <c r="CR1200" s="168">
        <v>-2.8</v>
      </c>
      <c r="CS1200" s="169">
        <v>-0.6</v>
      </c>
      <c r="CT1200" s="170">
        <v>22</v>
      </c>
      <c r="CV1200" s="165">
        <v>65</v>
      </c>
      <c r="CW1200" s="167">
        <v>1.1443661971830987</v>
      </c>
      <c r="CX1200" s="168">
        <v>-2.2999999999999998</v>
      </c>
      <c r="CY1200" s="169">
        <v>0.4</v>
      </c>
      <c r="CZ1200" s="170">
        <v>27</v>
      </c>
      <c r="DB1200" s="150" t="s">
        <v>164</v>
      </c>
      <c r="DC1200" s="151" t="s">
        <v>118</v>
      </c>
      <c r="DD1200" s="152"/>
      <c r="DE1200" s="152"/>
      <c r="DF1200" s="153"/>
    </row>
    <row r="1201" spans="20:110" ht="13.15" hidden="1" thickBot="1" x14ac:dyDescent="0.25">
      <c r="AB1201" s="165">
        <v>4</v>
      </c>
      <c r="AC1201" s="167">
        <v>3.2513181019332165</v>
      </c>
      <c r="AD1201" s="168">
        <v>-1.8</v>
      </c>
      <c r="AE1201" s="169">
        <v>1.4</v>
      </c>
      <c r="AF1201" s="170">
        <v>32</v>
      </c>
      <c r="AG1201" s="20">
        <f t="shared" si="26"/>
        <v>12</v>
      </c>
      <c r="AH1201" s="165">
        <v>6</v>
      </c>
      <c r="AI1201" s="167">
        <v>6.7137809187279158</v>
      </c>
      <c r="AJ1201" s="168">
        <v>-1.5</v>
      </c>
      <c r="AK1201" s="169">
        <v>2</v>
      </c>
      <c r="AL1201" s="170">
        <v>35</v>
      </c>
      <c r="AN1201" s="144" t="s">
        <v>161</v>
      </c>
      <c r="AP1201" s="20" t="s">
        <v>162</v>
      </c>
      <c r="AR1201" s="145"/>
      <c r="BK1201" s="20">
        <f t="shared" si="27"/>
        <v>11</v>
      </c>
      <c r="BL1201" s="165">
        <v>1.1000000000000001</v>
      </c>
      <c r="BM1201" s="167">
        <v>53.798586572438168</v>
      </c>
      <c r="BN1201" s="168">
        <v>0.1</v>
      </c>
      <c r="BO1201" s="169">
        <v>5.2</v>
      </c>
      <c r="BP1201" s="170">
        <v>51</v>
      </c>
      <c r="BX1201" s="165">
        <v>596</v>
      </c>
      <c r="BY1201" s="167">
        <v>0.44014084507042256</v>
      </c>
      <c r="BZ1201" s="168">
        <v>-2.6</v>
      </c>
      <c r="CA1201" s="169">
        <v>-0.2</v>
      </c>
      <c r="CB1201" s="170">
        <v>24</v>
      </c>
      <c r="CP1201" s="165">
        <v>410</v>
      </c>
      <c r="CQ1201" s="167">
        <v>0.26362038664323373</v>
      </c>
      <c r="CR1201" s="168">
        <v>-2.8</v>
      </c>
      <c r="CS1201" s="169">
        <v>-0.6</v>
      </c>
      <c r="CT1201" s="170">
        <v>22</v>
      </c>
      <c r="CV1201" s="165">
        <v>64</v>
      </c>
      <c r="CW1201" s="167">
        <v>1.1443661971830987</v>
      </c>
      <c r="CX1201" s="168">
        <v>-2.2999999999999998</v>
      </c>
      <c r="CY1201" s="169">
        <v>0.4</v>
      </c>
      <c r="CZ1201" s="170">
        <v>27</v>
      </c>
      <c r="DB1201" s="155" t="s">
        <v>10</v>
      </c>
      <c r="DC1201" s="156" t="s">
        <v>13</v>
      </c>
      <c r="DD1201" s="156" t="s">
        <v>14</v>
      </c>
      <c r="DE1201" s="156" t="s">
        <v>15</v>
      </c>
      <c r="DF1201" s="159" t="s">
        <v>16</v>
      </c>
    </row>
    <row r="1202" spans="20:110" ht="13.15" hidden="1" thickBot="1" x14ac:dyDescent="0.25">
      <c r="AB1202" s="165">
        <v>5</v>
      </c>
      <c r="AC1202" s="167">
        <v>9.3145869947275912</v>
      </c>
      <c r="AD1202" s="168">
        <v>-1.3</v>
      </c>
      <c r="AE1202" s="169">
        <v>2.4</v>
      </c>
      <c r="AF1202" s="170">
        <v>37</v>
      </c>
      <c r="AG1202" s="20">
        <f t="shared" si="26"/>
        <v>13</v>
      </c>
      <c r="AH1202" s="165">
        <v>6.5</v>
      </c>
      <c r="AI1202" s="167">
        <v>9.1872791519434625</v>
      </c>
      <c r="AJ1202" s="168">
        <v>-1.3</v>
      </c>
      <c r="AK1202" s="169">
        <v>2.4</v>
      </c>
      <c r="AL1202" s="170">
        <v>37</v>
      </c>
      <c r="AN1202" s="147" t="s">
        <v>191</v>
      </c>
      <c r="AO1202" s="148"/>
      <c r="AP1202" s="148"/>
      <c r="AQ1202" s="148"/>
      <c r="AR1202" s="149"/>
      <c r="BK1202" s="20">
        <f t="shared" si="27"/>
        <v>10</v>
      </c>
      <c r="BL1202" s="165">
        <v>1</v>
      </c>
      <c r="BM1202" s="167">
        <v>58.922261484098939</v>
      </c>
      <c r="BN1202" s="168">
        <v>0.2</v>
      </c>
      <c r="BO1202" s="169">
        <v>5.4</v>
      </c>
      <c r="BP1202" s="170">
        <v>52</v>
      </c>
      <c r="BX1202" s="165">
        <v>595</v>
      </c>
      <c r="BY1202" s="167">
        <v>0.44014084507042256</v>
      </c>
      <c r="BZ1202" s="168">
        <v>-2.6</v>
      </c>
      <c r="CA1202" s="169">
        <v>-0.2</v>
      </c>
      <c r="CB1202" s="170">
        <v>24</v>
      </c>
      <c r="CP1202" s="165">
        <v>409</v>
      </c>
      <c r="CQ1202" s="167">
        <v>0.26362038664323373</v>
      </c>
      <c r="CR1202" s="168">
        <v>-2.8</v>
      </c>
      <c r="CS1202" s="169">
        <v>-0.6</v>
      </c>
      <c r="CT1202" s="170">
        <v>22</v>
      </c>
      <c r="CV1202" s="165">
        <v>63</v>
      </c>
      <c r="CW1202" s="167">
        <v>1.584507042253521</v>
      </c>
      <c r="CX1202" s="168">
        <v>-2.2000000000000002</v>
      </c>
      <c r="CY1202" s="169">
        <v>0.6</v>
      </c>
      <c r="CZ1202" s="170">
        <v>28</v>
      </c>
      <c r="DA1202" s="20">
        <f>DB1202*10</f>
        <v>2</v>
      </c>
      <c r="DB1202" s="160">
        <v>0.2</v>
      </c>
      <c r="DC1202" s="161">
        <v>0.11933174224343676</v>
      </c>
      <c r="DD1202" s="162">
        <v>-3</v>
      </c>
      <c r="DE1202" s="163">
        <v>-1</v>
      </c>
      <c r="DF1202" s="164">
        <v>20</v>
      </c>
    </row>
    <row r="1203" spans="20:110" ht="13.8" hidden="1" thickBot="1" x14ac:dyDescent="0.3">
      <c r="U1203" s="20" t="s">
        <v>323</v>
      </c>
      <c r="AB1203" s="165">
        <v>6</v>
      </c>
      <c r="AC1203" s="167">
        <v>23.81370826010545</v>
      </c>
      <c r="AD1203" s="168">
        <v>-0.7</v>
      </c>
      <c r="AE1203" s="169">
        <v>3.6</v>
      </c>
      <c r="AF1203" s="170">
        <v>43</v>
      </c>
      <c r="AG1203" s="20">
        <f t="shared" si="26"/>
        <v>14</v>
      </c>
      <c r="AH1203" s="165">
        <v>7</v>
      </c>
      <c r="AI1203" s="167">
        <v>12.632508833922262</v>
      </c>
      <c r="AJ1203" s="168">
        <v>-1.1000000000000001</v>
      </c>
      <c r="AK1203" s="169">
        <v>2.8</v>
      </c>
      <c r="AL1203" s="170">
        <v>39</v>
      </c>
      <c r="AN1203" s="150" t="s">
        <v>164</v>
      </c>
      <c r="AO1203" s="151" t="s">
        <v>26</v>
      </c>
      <c r="AP1203" s="152"/>
      <c r="AQ1203" s="152"/>
      <c r="AR1203" s="153"/>
      <c r="AT1203" s="138" t="s">
        <v>203</v>
      </c>
      <c r="AU1203" s="139"/>
      <c r="AV1203" s="139"/>
      <c r="AW1203" s="140"/>
      <c r="AX1203" s="141" t="s">
        <v>160</v>
      </c>
      <c r="BK1203" s="20">
        <f t="shared" si="27"/>
        <v>9</v>
      </c>
      <c r="BL1203" s="165">
        <v>0.9</v>
      </c>
      <c r="BM1203" s="167">
        <v>64.134275618374559</v>
      </c>
      <c r="BN1203" s="168">
        <v>0.4</v>
      </c>
      <c r="BO1203" s="169">
        <v>5.8</v>
      </c>
      <c r="BP1203" s="170">
        <v>54</v>
      </c>
      <c r="BX1203" s="165">
        <v>594</v>
      </c>
      <c r="BY1203" s="167">
        <v>0.44014084507042256</v>
      </c>
      <c r="BZ1203" s="168">
        <v>-2.6</v>
      </c>
      <c r="CA1203" s="169">
        <v>-0.2</v>
      </c>
      <c r="CB1203" s="170">
        <v>24</v>
      </c>
      <c r="CP1203" s="165">
        <v>408</v>
      </c>
      <c r="CQ1203" s="167">
        <v>0.26362038664323373</v>
      </c>
      <c r="CR1203" s="168">
        <v>-2.8</v>
      </c>
      <c r="CS1203" s="169">
        <v>-0.6</v>
      </c>
      <c r="CT1203" s="170">
        <v>22</v>
      </c>
      <c r="CV1203" s="165">
        <v>62</v>
      </c>
      <c r="CW1203" s="167">
        <v>2.024647887323944</v>
      </c>
      <c r="CX1203" s="168">
        <v>-2.1</v>
      </c>
      <c r="CY1203" s="169">
        <v>0.8</v>
      </c>
      <c r="CZ1203" s="170">
        <v>29</v>
      </c>
      <c r="DA1203" s="20">
        <f t="shared" ref="DA1203:DA1210" si="28">DB1203*10</f>
        <v>3</v>
      </c>
      <c r="DB1203" s="165">
        <v>0.3</v>
      </c>
      <c r="DC1203" s="167">
        <v>0.35799522673031026</v>
      </c>
      <c r="DD1203" s="168">
        <v>-2.7</v>
      </c>
      <c r="DE1203" s="169">
        <v>-0.4</v>
      </c>
      <c r="DF1203" s="170">
        <v>23</v>
      </c>
    </row>
    <row r="1204" spans="20:110" ht="13.15" hidden="1" thickBot="1" x14ac:dyDescent="0.25">
      <c r="U1204" s="20" t="s">
        <v>324</v>
      </c>
      <c r="V1204" s="20" t="s">
        <v>16</v>
      </c>
      <c r="AB1204" s="165">
        <v>7</v>
      </c>
      <c r="AC1204" s="167">
        <v>43.321616871704741</v>
      </c>
      <c r="AD1204" s="168">
        <v>-0.2</v>
      </c>
      <c r="AE1204" s="169">
        <v>4.5999999999999996</v>
      </c>
      <c r="AF1204" s="170">
        <v>48</v>
      </c>
      <c r="AG1204" s="20">
        <f t="shared" si="26"/>
        <v>15</v>
      </c>
      <c r="AH1204" s="165">
        <v>7.5</v>
      </c>
      <c r="AI1204" s="167">
        <v>16.077738515901061</v>
      </c>
      <c r="AJ1204" s="168">
        <v>-1</v>
      </c>
      <c r="AK1204" s="169">
        <v>3</v>
      </c>
      <c r="AL1204" s="170">
        <v>40</v>
      </c>
      <c r="AN1204" s="155" t="s">
        <v>10</v>
      </c>
      <c r="AO1204" s="158" t="s">
        <v>13</v>
      </c>
      <c r="AP1204" s="156" t="s">
        <v>14</v>
      </c>
      <c r="AQ1204" s="156" t="s">
        <v>15</v>
      </c>
      <c r="AR1204" s="159" t="s">
        <v>16</v>
      </c>
      <c r="AT1204" s="144" t="s">
        <v>161</v>
      </c>
      <c r="AV1204" s="20" t="s">
        <v>162</v>
      </c>
      <c r="AX1204" s="145"/>
      <c r="BK1204" s="20">
        <f t="shared" si="27"/>
        <v>8</v>
      </c>
      <c r="BL1204" s="165">
        <v>0.8</v>
      </c>
      <c r="BM1204" s="167">
        <v>68.727915194346295</v>
      </c>
      <c r="BN1204" s="168">
        <v>0.5</v>
      </c>
      <c r="BO1204" s="169">
        <v>6</v>
      </c>
      <c r="BP1204" s="170">
        <v>55</v>
      </c>
      <c r="BX1204" s="165">
        <v>593</v>
      </c>
      <c r="BY1204" s="167">
        <v>0.44014084507042256</v>
      </c>
      <c r="BZ1204" s="168">
        <v>-2.6</v>
      </c>
      <c r="CA1204" s="169">
        <v>-0.2</v>
      </c>
      <c r="CB1204" s="170">
        <v>24</v>
      </c>
      <c r="CP1204" s="165">
        <v>407</v>
      </c>
      <c r="CQ1204" s="167">
        <v>0.26362038664323373</v>
      </c>
      <c r="CR1204" s="168">
        <v>-2.8</v>
      </c>
      <c r="CS1204" s="169">
        <v>-0.6</v>
      </c>
      <c r="CT1204" s="170">
        <v>22</v>
      </c>
      <c r="CV1204" s="165">
        <v>61</v>
      </c>
      <c r="CW1204" s="167">
        <v>2.024647887323944</v>
      </c>
      <c r="CX1204" s="168">
        <v>-2.1</v>
      </c>
      <c r="CY1204" s="169">
        <v>0.8</v>
      </c>
      <c r="CZ1204" s="170">
        <v>29</v>
      </c>
      <c r="DA1204" s="20">
        <f t="shared" si="28"/>
        <v>4</v>
      </c>
      <c r="DB1204" s="165">
        <v>0.4</v>
      </c>
      <c r="DC1204" s="167">
        <v>1.1933174224343674</v>
      </c>
      <c r="DD1204" s="168">
        <v>-2.2999999999999998</v>
      </c>
      <c r="DE1204" s="169">
        <v>0.4</v>
      </c>
      <c r="DF1204" s="170">
        <v>27</v>
      </c>
    </row>
    <row r="1205" spans="20:110" ht="13.15" hidden="1" thickBot="1" x14ac:dyDescent="0.25">
      <c r="T1205" s="20">
        <f>ROUND(U1205*100,0)</f>
        <v>0</v>
      </c>
      <c r="U1205" s="184">
        <v>0</v>
      </c>
      <c r="V1205" s="20">
        <v>19</v>
      </c>
      <c r="AB1205" s="165">
        <v>8</v>
      </c>
      <c r="AC1205" s="167">
        <v>62.302284710017574</v>
      </c>
      <c r="AD1205" s="168">
        <v>0.3</v>
      </c>
      <c r="AE1205" s="169">
        <v>5.6</v>
      </c>
      <c r="AF1205" s="170">
        <v>53</v>
      </c>
      <c r="AG1205" s="20">
        <f t="shared" si="26"/>
        <v>16</v>
      </c>
      <c r="AH1205" s="165">
        <v>8</v>
      </c>
      <c r="AI1205" s="167">
        <v>19.522968197879859</v>
      </c>
      <c r="AJ1205" s="168">
        <v>-0.9</v>
      </c>
      <c r="AK1205" s="169">
        <v>3.2</v>
      </c>
      <c r="AL1205" s="170">
        <v>41</v>
      </c>
      <c r="AN1205" s="165">
        <v>6</v>
      </c>
      <c r="AO1205" s="167">
        <v>8.8028169014084515E-2</v>
      </c>
      <c r="AP1205" s="168">
        <v>-3</v>
      </c>
      <c r="AQ1205" s="169">
        <v>-1</v>
      </c>
      <c r="AR1205" s="170">
        <v>20</v>
      </c>
      <c r="AT1205" s="147" t="s">
        <v>208</v>
      </c>
      <c r="AU1205" s="148"/>
      <c r="AV1205" s="148"/>
      <c r="AW1205" s="148"/>
      <c r="AX1205" s="149"/>
      <c r="BK1205" s="20">
        <f t="shared" si="27"/>
        <v>7</v>
      </c>
      <c r="BL1205" s="165">
        <v>0.7</v>
      </c>
      <c r="BM1205" s="167">
        <v>73.851590106007066</v>
      </c>
      <c r="BN1205" s="168">
        <v>0.6</v>
      </c>
      <c r="BO1205" s="169">
        <v>6.2</v>
      </c>
      <c r="BP1205" s="170">
        <v>56</v>
      </c>
      <c r="BX1205" s="165">
        <v>592</v>
      </c>
      <c r="BY1205" s="167">
        <v>0.44014084507042256</v>
      </c>
      <c r="BZ1205" s="168">
        <v>-2.6</v>
      </c>
      <c r="CA1205" s="169">
        <v>-0.2</v>
      </c>
      <c r="CB1205" s="170">
        <v>24</v>
      </c>
      <c r="CP1205" s="165">
        <v>406</v>
      </c>
      <c r="CQ1205" s="167">
        <v>0.26362038664323373</v>
      </c>
      <c r="CR1205" s="168">
        <v>-2.8</v>
      </c>
      <c r="CS1205" s="169">
        <v>-0.6</v>
      </c>
      <c r="CT1205" s="170">
        <v>22</v>
      </c>
      <c r="CV1205" s="165">
        <v>60</v>
      </c>
      <c r="CW1205" s="167">
        <v>2.3767605633802815</v>
      </c>
      <c r="CX1205" s="168">
        <v>-2</v>
      </c>
      <c r="CY1205" s="169">
        <v>1</v>
      </c>
      <c r="CZ1205" s="170">
        <v>30</v>
      </c>
      <c r="DA1205" s="20">
        <f t="shared" si="28"/>
        <v>5</v>
      </c>
      <c r="DB1205" s="165">
        <v>0.5</v>
      </c>
      <c r="DC1205" s="167">
        <v>3.6992840095465391</v>
      </c>
      <c r="DD1205" s="168">
        <v>-1.8</v>
      </c>
      <c r="DE1205" s="169">
        <v>1.4</v>
      </c>
      <c r="DF1205" s="170">
        <v>32</v>
      </c>
    </row>
    <row r="1206" spans="20:110" ht="13.15" hidden="1" thickBot="1" x14ac:dyDescent="0.25">
      <c r="T1206" s="20">
        <f>ROUND(U1206*100,0)</f>
        <v>7</v>
      </c>
      <c r="U1206" s="184">
        <v>6.5000000000000002E-2</v>
      </c>
      <c r="V1206" s="20">
        <v>20</v>
      </c>
      <c r="AB1206" s="165">
        <v>9</v>
      </c>
      <c r="AC1206" s="167">
        <v>77.680140597539534</v>
      </c>
      <c r="AD1206" s="168">
        <v>0.8</v>
      </c>
      <c r="AE1206" s="169">
        <v>6.6</v>
      </c>
      <c r="AF1206" s="170">
        <v>58</v>
      </c>
      <c r="AG1206" s="20">
        <f t="shared" si="26"/>
        <v>17</v>
      </c>
      <c r="AH1206" s="165">
        <v>8.5</v>
      </c>
      <c r="AI1206" s="167">
        <v>22.261484098939928</v>
      </c>
      <c r="AJ1206" s="168">
        <v>-0.8</v>
      </c>
      <c r="AK1206" s="169">
        <v>3.4</v>
      </c>
      <c r="AL1206" s="170">
        <v>42</v>
      </c>
      <c r="AN1206" s="165">
        <v>7</v>
      </c>
      <c r="AO1206" s="167">
        <v>0.35211267605633806</v>
      </c>
      <c r="AP1206" s="168">
        <v>-2.7</v>
      </c>
      <c r="AQ1206" s="169">
        <v>-0.4</v>
      </c>
      <c r="AR1206" s="170">
        <v>23</v>
      </c>
      <c r="AT1206" s="150" t="s">
        <v>164</v>
      </c>
      <c r="AU1206" s="151" t="s">
        <v>28</v>
      </c>
      <c r="AV1206" s="152"/>
      <c r="AW1206" s="152"/>
      <c r="AX1206" s="153"/>
      <c r="BK1206" s="20">
        <f t="shared" si="27"/>
        <v>6</v>
      </c>
      <c r="BL1206" s="165">
        <v>0.6</v>
      </c>
      <c r="BM1206" s="167">
        <v>78.975265017667837</v>
      </c>
      <c r="BN1206" s="168">
        <v>0.8</v>
      </c>
      <c r="BO1206" s="169">
        <v>6.6</v>
      </c>
      <c r="BP1206" s="170">
        <v>58</v>
      </c>
      <c r="BX1206" s="165">
        <v>591</v>
      </c>
      <c r="BY1206" s="167">
        <v>0.44014084507042256</v>
      </c>
      <c r="BZ1206" s="168">
        <v>-2.6</v>
      </c>
      <c r="CA1206" s="169">
        <v>-0.2</v>
      </c>
      <c r="CB1206" s="170">
        <v>24</v>
      </c>
      <c r="CP1206" s="165">
        <v>405</v>
      </c>
      <c r="CQ1206" s="167">
        <v>0.26362038664323373</v>
      </c>
      <c r="CR1206" s="168">
        <v>-2.8</v>
      </c>
      <c r="CS1206" s="169">
        <v>-0.6</v>
      </c>
      <c r="CT1206" s="170">
        <v>22</v>
      </c>
      <c r="CV1206" s="165">
        <v>59</v>
      </c>
      <c r="CW1206" s="167">
        <v>2.9049295774647885</v>
      </c>
      <c r="CX1206" s="168">
        <v>-1.9</v>
      </c>
      <c r="CY1206" s="169">
        <v>1.2</v>
      </c>
      <c r="CZ1206" s="170">
        <v>31</v>
      </c>
      <c r="DA1206" s="20">
        <f t="shared" si="28"/>
        <v>6</v>
      </c>
      <c r="DB1206" s="165">
        <v>0.6</v>
      </c>
      <c r="DC1206" s="167">
        <v>8.4725536992840098</v>
      </c>
      <c r="DD1206" s="168">
        <v>-1.4</v>
      </c>
      <c r="DE1206" s="169">
        <v>2.2000000000000002</v>
      </c>
      <c r="DF1206" s="170">
        <v>36</v>
      </c>
    </row>
    <row r="1207" spans="20:110" ht="13.15" hidden="1" thickBot="1" x14ac:dyDescent="0.25">
      <c r="T1207" s="20">
        <f>ROUND(U1207*100,0)</f>
        <v>16</v>
      </c>
      <c r="U1207" s="184">
        <v>0.16</v>
      </c>
      <c r="V1207" s="20">
        <v>21</v>
      </c>
      <c r="AB1207" s="165">
        <v>10</v>
      </c>
      <c r="AC1207" s="167">
        <v>87.609841827768008</v>
      </c>
      <c r="AD1207" s="168">
        <v>1.2</v>
      </c>
      <c r="AE1207" s="169">
        <v>7.4</v>
      </c>
      <c r="AF1207" s="170">
        <v>62</v>
      </c>
      <c r="AG1207" s="20">
        <f t="shared" si="26"/>
        <v>18</v>
      </c>
      <c r="AH1207" s="165">
        <v>9</v>
      </c>
      <c r="AI1207" s="167">
        <v>25.795053003533567</v>
      </c>
      <c r="AJ1207" s="168">
        <v>-0.7</v>
      </c>
      <c r="AK1207" s="169">
        <v>3.6</v>
      </c>
      <c r="AL1207" s="170">
        <v>43</v>
      </c>
      <c r="AN1207" s="165">
        <v>8</v>
      </c>
      <c r="AO1207" s="167">
        <v>0.79225352112676051</v>
      </c>
      <c r="AP1207" s="168">
        <v>-2.4</v>
      </c>
      <c r="AQ1207" s="169">
        <v>0.2</v>
      </c>
      <c r="AR1207" s="170">
        <v>26</v>
      </c>
      <c r="AT1207" s="155" t="s">
        <v>10</v>
      </c>
      <c r="AU1207" s="156" t="s">
        <v>13</v>
      </c>
      <c r="AV1207" s="156" t="s">
        <v>14</v>
      </c>
      <c r="AW1207" s="156" t="s">
        <v>15</v>
      </c>
      <c r="AX1207" s="157" t="s">
        <v>16</v>
      </c>
      <c r="BK1207" s="20">
        <f t="shared" si="27"/>
        <v>5</v>
      </c>
      <c r="BL1207" s="165">
        <v>0.5</v>
      </c>
      <c r="BM1207" s="167">
        <v>83.480565371024738</v>
      </c>
      <c r="BN1207" s="168">
        <v>1</v>
      </c>
      <c r="BO1207" s="169">
        <v>7</v>
      </c>
      <c r="BP1207" s="170">
        <v>60</v>
      </c>
      <c r="BX1207" s="165">
        <v>590</v>
      </c>
      <c r="BY1207" s="167">
        <v>0.44014084507042256</v>
      </c>
      <c r="BZ1207" s="168">
        <v>-2.6</v>
      </c>
      <c r="CA1207" s="169">
        <v>-0.2</v>
      </c>
      <c r="CB1207" s="170">
        <v>24</v>
      </c>
      <c r="CP1207" s="165">
        <v>404</v>
      </c>
      <c r="CQ1207" s="167">
        <v>0.26362038664323373</v>
      </c>
      <c r="CR1207" s="168">
        <v>-2.8</v>
      </c>
      <c r="CS1207" s="169">
        <v>-0.6</v>
      </c>
      <c r="CT1207" s="170">
        <v>22</v>
      </c>
      <c r="CV1207" s="165">
        <v>58</v>
      </c>
      <c r="CW1207" s="167">
        <v>3.7852112676056335</v>
      </c>
      <c r="CX1207" s="168">
        <v>-1.8</v>
      </c>
      <c r="CY1207" s="169">
        <v>1.4</v>
      </c>
      <c r="CZ1207" s="170">
        <v>32</v>
      </c>
      <c r="DA1207" s="20">
        <f t="shared" si="28"/>
        <v>7</v>
      </c>
      <c r="DB1207" s="165">
        <v>0.7</v>
      </c>
      <c r="DC1207" s="167">
        <v>24.105011933174225</v>
      </c>
      <c r="DD1207" s="168">
        <v>-0.7</v>
      </c>
      <c r="DE1207" s="169">
        <v>3.6</v>
      </c>
      <c r="DF1207" s="170">
        <v>43</v>
      </c>
    </row>
    <row r="1208" spans="20:110" hidden="1" x14ac:dyDescent="0.2">
      <c r="T1208" s="20">
        <f>ROUND(U1208*100,0)</f>
        <v>23</v>
      </c>
      <c r="U1208" s="184">
        <v>0.22500000000000001</v>
      </c>
      <c r="V1208" s="20">
        <v>22</v>
      </c>
      <c r="AB1208" s="165">
        <v>11</v>
      </c>
      <c r="AC1208" s="167">
        <v>93.23374340949033</v>
      </c>
      <c r="AD1208" s="168">
        <v>1.5</v>
      </c>
      <c r="AE1208" s="169">
        <v>8</v>
      </c>
      <c r="AF1208" s="170">
        <v>65</v>
      </c>
      <c r="AG1208" s="20">
        <f t="shared" si="26"/>
        <v>19</v>
      </c>
      <c r="AH1208" s="165">
        <v>9.5</v>
      </c>
      <c r="AI1208" s="167">
        <v>31.448763250883395</v>
      </c>
      <c r="AJ1208" s="168">
        <v>-0.5</v>
      </c>
      <c r="AK1208" s="169">
        <v>4</v>
      </c>
      <c r="AL1208" s="170">
        <v>45</v>
      </c>
      <c r="AN1208" s="165">
        <v>9</v>
      </c>
      <c r="AO1208" s="167">
        <v>1.232394366197183</v>
      </c>
      <c r="AP1208" s="168">
        <v>-2.2000000000000002</v>
      </c>
      <c r="AQ1208" s="169">
        <v>0.6</v>
      </c>
      <c r="AR1208" s="170">
        <v>28</v>
      </c>
      <c r="AS1208" s="20">
        <f t="shared" ref="AS1208:AS1238" si="29">AT1208*2</f>
        <v>2</v>
      </c>
      <c r="AT1208" s="165">
        <v>1</v>
      </c>
      <c r="AU1208" s="167">
        <v>8.7873462214411238E-2</v>
      </c>
      <c r="AV1208" s="168">
        <v>-3</v>
      </c>
      <c r="AW1208" s="169">
        <v>-1</v>
      </c>
      <c r="AX1208" s="170">
        <v>20</v>
      </c>
      <c r="BK1208" s="20">
        <f t="shared" si="27"/>
        <v>4</v>
      </c>
      <c r="BL1208" s="165">
        <v>0.4</v>
      </c>
      <c r="BM1208" s="167">
        <v>87.985865724381625</v>
      </c>
      <c r="BN1208" s="168">
        <v>1.2</v>
      </c>
      <c r="BO1208" s="169">
        <v>7.4</v>
      </c>
      <c r="BP1208" s="170">
        <v>62</v>
      </c>
      <c r="BX1208" s="165">
        <v>589</v>
      </c>
      <c r="BY1208" s="167">
        <v>0.44014084507042256</v>
      </c>
      <c r="BZ1208" s="168">
        <v>-2.6</v>
      </c>
      <c r="CA1208" s="169">
        <v>-0.2</v>
      </c>
      <c r="CB1208" s="170">
        <v>24</v>
      </c>
      <c r="CP1208" s="165">
        <v>403</v>
      </c>
      <c r="CQ1208" s="167">
        <v>0.26362038664323373</v>
      </c>
      <c r="CR1208" s="168">
        <v>-2.8</v>
      </c>
      <c r="CS1208" s="169">
        <v>-0.6</v>
      </c>
      <c r="CT1208" s="170">
        <v>22</v>
      </c>
      <c r="CV1208" s="165">
        <v>57</v>
      </c>
      <c r="CW1208" s="167">
        <v>4.929577464788732</v>
      </c>
      <c r="CX1208" s="168">
        <v>-1.7</v>
      </c>
      <c r="CY1208" s="169">
        <v>1.6</v>
      </c>
      <c r="CZ1208" s="170">
        <v>33</v>
      </c>
      <c r="DA1208" s="20">
        <f t="shared" si="28"/>
        <v>8</v>
      </c>
      <c r="DB1208" s="165">
        <v>0.8</v>
      </c>
      <c r="DC1208" s="167">
        <v>37.231503579952268</v>
      </c>
      <c r="DD1208" s="168">
        <v>-0.3</v>
      </c>
      <c r="DE1208" s="169">
        <v>4.4000000000000004</v>
      </c>
      <c r="DF1208" s="170">
        <v>47</v>
      </c>
    </row>
    <row r="1209" spans="20:110" hidden="1" x14ac:dyDescent="0.2">
      <c r="T1209" s="20">
        <f t="shared" ref="T1209:T1267" si="30">ROUND(U1209*100,0)</f>
        <v>30</v>
      </c>
      <c r="U1209" s="184">
        <v>0.29499999999999998</v>
      </c>
      <c r="V1209" s="20">
        <v>23</v>
      </c>
      <c r="AB1209" s="165">
        <v>12</v>
      </c>
      <c r="AC1209" s="167">
        <v>96.133567662565895</v>
      </c>
      <c r="AD1209" s="168">
        <v>1.8</v>
      </c>
      <c r="AE1209" s="169">
        <v>8.6</v>
      </c>
      <c r="AF1209" s="170">
        <v>68</v>
      </c>
      <c r="AG1209" s="20">
        <f t="shared" si="26"/>
        <v>20</v>
      </c>
      <c r="AH1209" s="165">
        <v>10</v>
      </c>
      <c r="AI1209" s="167">
        <v>36.74911660777385</v>
      </c>
      <c r="AJ1209" s="168">
        <v>-0.3</v>
      </c>
      <c r="AK1209" s="169">
        <v>4.4000000000000004</v>
      </c>
      <c r="AL1209" s="170">
        <v>47</v>
      </c>
      <c r="AN1209" s="165">
        <v>10</v>
      </c>
      <c r="AO1209" s="167">
        <v>1.7605633802816902</v>
      </c>
      <c r="AP1209" s="168">
        <v>-2.1</v>
      </c>
      <c r="AQ1209" s="169">
        <v>0.8</v>
      </c>
      <c r="AR1209" s="170">
        <v>29</v>
      </c>
      <c r="AS1209" s="20">
        <f t="shared" si="29"/>
        <v>3</v>
      </c>
      <c r="AT1209" s="165">
        <v>1.5</v>
      </c>
      <c r="AU1209" s="167">
        <v>0.26362038664323373</v>
      </c>
      <c r="AV1209" s="168">
        <v>-2.8</v>
      </c>
      <c r="AW1209" s="169">
        <v>-0.6</v>
      </c>
      <c r="AX1209" s="170">
        <v>22</v>
      </c>
      <c r="BK1209" s="20">
        <f t="shared" si="27"/>
        <v>3</v>
      </c>
      <c r="BL1209" s="165">
        <v>0.3</v>
      </c>
      <c r="BM1209" s="167">
        <v>91.784452296819779</v>
      </c>
      <c r="BN1209" s="168">
        <v>1.4</v>
      </c>
      <c r="BO1209" s="169">
        <v>7.8</v>
      </c>
      <c r="BP1209" s="170">
        <v>64</v>
      </c>
      <c r="BX1209" s="165">
        <v>588</v>
      </c>
      <c r="BY1209" s="167">
        <v>0.44014084507042256</v>
      </c>
      <c r="BZ1209" s="168">
        <v>-2.6</v>
      </c>
      <c r="CA1209" s="169">
        <v>-0.2</v>
      </c>
      <c r="CB1209" s="170">
        <v>24</v>
      </c>
      <c r="CP1209" s="165">
        <v>402</v>
      </c>
      <c r="CQ1209" s="167">
        <v>0.26362038664323373</v>
      </c>
      <c r="CR1209" s="168">
        <v>-2.8</v>
      </c>
      <c r="CS1209" s="169">
        <v>-0.6</v>
      </c>
      <c r="CT1209" s="170">
        <v>22</v>
      </c>
      <c r="CV1209" s="165">
        <v>56</v>
      </c>
      <c r="CW1209" s="167">
        <v>5.6338028169014089</v>
      </c>
      <c r="CX1209" s="168">
        <v>-1.6</v>
      </c>
      <c r="CY1209" s="169">
        <v>1.8</v>
      </c>
      <c r="CZ1209" s="170">
        <v>34</v>
      </c>
      <c r="DA1209" s="20">
        <f t="shared" si="28"/>
        <v>9</v>
      </c>
      <c r="DB1209" s="165">
        <v>0.9</v>
      </c>
      <c r="DC1209" s="167">
        <v>50.715990453460627</v>
      </c>
      <c r="DD1209" s="168">
        <v>0</v>
      </c>
      <c r="DE1209" s="169">
        <v>5</v>
      </c>
      <c r="DF1209" s="170">
        <v>50</v>
      </c>
    </row>
    <row r="1210" spans="20:110" ht="13.15" hidden="1" thickBot="1" x14ac:dyDescent="0.25">
      <c r="T1210" s="20">
        <f t="shared" si="30"/>
        <v>40</v>
      </c>
      <c r="U1210" s="184">
        <v>0.4</v>
      </c>
      <c r="V1210" s="20">
        <v>24</v>
      </c>
      <c r="AB1210" s="165">
        <v>13</v>
      </c>
      <c r="AC1210" s="167">
        <v>98.506151142355009</v>
      </c>
      <c r="AD1210" s="168">
        <v>2.2000000000000002</v>
      </c>
      <c r="AE1210" s="169">
        <v>9.4</v>
      </c>
      <c r="AF1210" s="170">
        <v>72</v>
      </c>
      <c r="AG1210" s="20">
        <f t="shared" si="26"/>
        <v>21</v>
      </c>
      <c r="AH1210" s="165">
        <v>10.5</v>
      </c>
      <c r="AI1210" s="167">
        <v>40.636042402826853</v>
      </c>
      <c r="AJ1210" s="168">
        <v>-0.2</v>
      </c>
      <c r="AK1210" s="169">
        <v>4.5999999999999996</v>
      </c>
      <c r="AL1210" s="170">
        <v>48</v>
      </c>
      <c r="AN1210" s="165">
        <v>11</v>
      </c>
      <c r="AO1210" s="167">
        <v>3.873239436619718</v>
      </c>
      <c r="AP1210" s="168">
        <v>-1.8</v>
      </c>
      <c r="AQ1210" s="169">
        <v>1.4</v>
      </c>
      <c r="AR1210" s="170">
        <v>32</v>
      </c>
      <c r="AS1210" s="20">
        <f t="shared" si="29"/>
        <v>4</v>
      </c>
      <c r="AT1210" s="165">
        <v>2</v>
      </c>
      <c r="AU1210" s="167">
        <v>0.43936731107205629</v>
      </c>
      <c r="AV1210" s="168">
        <v>-2.6</v>
      </c>
      <c r="AW1210" s="169">
        <v>-0.2</v>
      </c>
      <c r="AX1210" s="170">
        <v>24</v>
      </c>
      <c r="BK1210" s="20">
        <f t="shared" si="27"/>
        <v>2</v>
      </c>
      <c r="BL1210" s="165">
        <v>0.2</v>
      </c>
      <c r="BM1210" s="167">
        <v>95.141342756183747</v>
      </c>
      <c r="BN1210" s="168">
        <v>1.7</v>
      </c>
      <c r="BO1210" s="169">
        <v>8.4</v>
      </c>
      <c r="BP1210" s="170">
        <v>67</v>
      </c>
      <c r="BX1210" s="165">
        <v>587</v>
      </c>
      <c r="BY1210" s="167">
        <v>0.44014084507042256</v>
      </c>
      <c r="BZ1210" s="168">
        <v>-2.6</v>
      </c>
      <c r="CA1210" s="169">
        <v>-0.2</v>
      </c>
      <c r="CB1210" s="170">
        <v>24</v>
      </c>
      <c r="CP1210" s="165">
        <v>401</v>
      </c>
      <c r="CQ1210" s="167">
        <v>0.26362038664323373</v>
      </c>
      <c r="CR1210" s="168">
        <v>-2.8</v>
      </c>
      <c r="CS1210" s="169">
        <v>-0.6</v>
      </c>
      <c r="CT1210" s="170">
        <v>22</v>
      </c>
      <c r="CV1210" s="165">
        <v>55</v>
      </c>
      <c r="CW1210" s="167">
        <v>6.426056338028169</v>
      </c>
      <c r="CX1210" s="168">
        <v>-1.5</v>
      </c>
      <c r="CY1210" s="169">
        <v>2</v>
      </c>
      <c r="CZ1210" s="170">
        <v>35</v>
      </c>
      <c r="DA1210" s="20">
        <f t="shared" si="28"/>
        <v>10</v>
      </c>
      <c r="DB1210" s="172">
        <v>1</v>
      </c>
      <c r="DC1210" s="173">
        <v>79.59427207637232</v>
      </c>
      <c r="DD1210" s="174">
        <v>0.8</v>
      </c>
      <c r="DE1210" s="175">
        <v>6.6</v>
      </c>
      <c r="DF1210" s="176">
        <v>58</v>
      </c>
    </row>
    <row r="1211" spans="20:110" hidden="1" x14ac:dyDescent="0.2">
      <c r="T1211" s="20">
        <f t="shared" si="30"/>
        <v>55</v>
      </c>
      <c r="U1211" s="184">
        <v>0.54500000000000004</v>
      </c>
      <c r="V1211" s="20">
        <v>25</v>
      </c>
      <c r="AB1211" s="165">
        <v>14</v>
      </c>
      <c r="AC1211" s="167">
        <v>99.560632688927939</v>
      </c>
      <c r="AD1211" s="168">
        <v>2.6</v>
      </c>
      <c r="AE1211" s="169">
        <v>10.199999999999999</v>
      </c>
      <c r="AF1211" s="170">
        <v>76</v>
      </c>
      <c r="AG1211" s="20">
        <f t="shared" si="26"/>
        <v>22</v>
      </c>
      <c r="AH1211" s="165">
        <v>11</v>
      </c>
      <c r="AI1211" s="167">
        <v>44.25795053003533</v>
      </c>
      <c r="AJ1211" s="168">
        <v>-0.1</v>
      </c>
      <c r="AK1211" s="169">
        <v>4.8</v>
      </c>
      <c r="AL1211" s="170">
        <v>49</v>
      </c>
      <c r="AN1211" s="165">
        <v>12</v>
      </c>
      <c r="AO1211" s="167">
        <v>9.5070422535211261</v>
      </c>
      <c r="AP1211" s="168">
        <v>-1.3</v>
      </c>
      <c r="AQ1211" s="169">
        <v>2.4</v>
      </c>
      <c r="AR1211" s="170">
        <v>37</v>
      </c>
      <c r="AS1211" s="20">
        <f t="shared" si="29"/>
        <v>5</v>
      </c>
      <c r="AT1211" s="165">
        <v>2.5</v>
      </c>
      <c r="AU1211" s="167">
        <v>0.61511423550087874</v>
      </c>
      <c r="AV1211" s="168">
        <v>-2.5</v>
      </c>
      <c r="AW1211" s="169">
        <v>0</v>
      </c>
      <c r="AX1211" s="170">
        <v>25</v>
      </c>
      <c r="BK1211" s="20">
        <f t="shared" si="27"/>
        <v>1</v>
      </c>
      <c r="BL1211" s="165">
        <v>0.1</v>
      </c>
      <c r="BM1211" s="167">
        <v>97.96819787985865</v>
      </c>
      <c r="BN1211" s="168">
        <v>2.1</v>
      </c>
      <c r="BO1211" s="169">
        <v>9.1999999999999993</v>
      </c>
      <c r="BP1211" s="170">
        <v>71</v>
      </c>
      <c r="BX1211" s="165">
        <v>586</v>
      </c>
      <c r="BY1211" s="167">
        <v>0.44014084507042256</v>
      </c>
      <c r="BZ1211" s="168">
        <v>-2.6</v>
      </c>
      <c r="CA1211" s="169">
        <v>-0.2</v>
      </c>
      <c r="CB1211" s="170">
        <v>24</v>
      </c>
      <c r="CP1211" s="165">
        <v>400</v>
      </c>
      <c r="CQ1211" s="167">
        <v>0.26362038664323373</v>
      </c>
      <c r="CR1211" s="168">
        <v>-2.8</v>
      </c>
      <c r="CS1211" s="169">
        <v>-0.6</v>
      </c>
      <c r="CT1211" s="170">
        <v>22</v>
      </c>
      <c r="CV1211" s="165">
        <v>54</v>
      </c>
      <c r="CW1211" s="167">
        <v>7.130281690140845</v>
      </c>
      <c r="CX1211" s="168">
        <v>-1.5</v>
      </c>
      <c r="CY1211" s="169">
        <v>2</v>
      </c>
      <c r="CZ1211" s="170">
        <v>35</v>
      </c>
    </row>
    <row r="1212" spans="20:110" ht="13.15" hidden="1" thickBot="1" x14ac:dyDescent="0.25">
      <c r="T1212" s="20">
        <f t="shared" si="30"/>
        <v>72</v>
      </c>
      <c r="U1212" s="184">
        <v>0.72</v>
      </c>
      <c r="V1212" s="20">
        <v>26</v>
      </c>
      <c r="AB1212" s="172">
        <v>15</v>
      </c>
      <c r="AC1212" s="173">
        <v>99.912126537785582</v>
      </c>
      <c r="AD1212" s="174">
        <v>3</v>
      </c>
      <c r="AE1212" s="175">
        <v>11</v>
      </c>
      <c r="AF1212" s="176">
        <v>80</v>
      </c>
      <c r="AG1212" s="20">
        <f t="shared" si="26"/>
        <v>23</v>
      </c>
      <c r="AH1212" s="165">
        <v>11.5</v>
      </c>
      <c r="AI1212" s="167">
        <v>49.116607773851591</v>
      </c>
      <c r="AJ1212" s="168">
        <v>0</v>
      </c>
      <c r="AK1212" s="169">
        <v>5</v>
      </c>
      <c r="AL1212" s="170">
        <v>50</v>
      </c>
      <c r="AN1212" s="165">
        <v>13</v>
      </c>
      <c r="AO1212" s="167">
        <v>19.982394366197184</v>
      </c>
      <c r="AP1212" s="168">
        <v>-0.8</v>
      </c>
      <c r="AQ1212" s="169">
        <v>3.4</v>
      </c>
      <c r="AR1212" s="170">
        <v>42</v>
      </c>
      <c r="AS1212" s="20">
        <f t="shared" si="29"/>
        <v>6</v>
      </c>
      <c r="AT1212" s="165">
        <v>3</v>
      </c>
      <c r="AU1212" s="167">
        <v>0.61511423550087874</v>
      </c>
      <c r="AV1212" s="168">
        <v>-2.5</v>
      </c>
      <c r="AW1212" s="169">
        <v>0</v>
      </c>
      <c r="AX1212" s="170">
        <v>25</v>
      </c>
      <c r="BK1212" s="20">
        <f t="shared" si="27"/>
        <v>0</v>
      </c>
      <c r="BL1212" s="172">
        <v>0</v>
      </c>
      <c r="BM1212" s="173">
        <v>99.558303886925785</v>
      </c>
      <c r="BN1212" s="174">
        <v>2.6</v>
      </c>
      <c r="BO1212" s="175">
        <v>10.199999999999999</v>
      </c>
      <c r="BP1212" s="176">
        <v>76</v>
      </c>
      <c r="BX1212" s="165">
        <v>585</v>
      </c>
      <c r="BY1212" s="167">
        <v>0.44014084507042256</v>
      </c>
      <c r="BZ1212" s="168">
        <v>-2.6</v>
      </c>
      <c r="CA1212" s="169">
        <v>-0.2</v>
      </c>
      <c r="CB1212" s="170">
        <v>24</v>
      </c>
      <c r="CP1212" s="165">
        <v>399</v>
      </c>
      <c r="CQ1212" s="167">
        <v>0.43936731107205629</v>
      </c>
      <c r="CR1212" s="168">
        <v>-2.6</v>
      </c>
      <c r="CS1212" s="169">
        <v>-0.2</v>
      </c>
      <c r="CT1212" s="170">
        <v>24</v>
      </c>
      <c r="CV1212" s="165">
        <v>53</v>
      </c>
      <c r="CW1212" s="167">
        <v>8.0985915492957758</v>
      </c>
      <c r="CX1212" s="168">
        <v>-1.4</v>
      </c>
      <c r="CY1212" s="169">
        <v>2.2000000000000002</v>
      </c>
      <c r="CZ1212" s="170">
        <v>36</v>
      </c>
    </row>
    <row r="1213" spans="20:110" ht="13.15" hidden="1" x14ac:dyDescent="0.25">
      <c r="T1213" s="20">
        <f t="shared" si="30"/>
        <v>95</v>
      </c>
      <c r="U1213" s="184">
        <v>0.94499999999999995</v>
      </c>
      <c r="V1213" s="20">
        <v>27</v>
      </c>
      <c r="AG1213" s="20">
        <f t="shared" si="26"/>
        <v>24</v>
      </c>
      <c r="AH1213" s="165">
        <v>12</v>
      </c>
      <c r="AI1213" s="167">
        <v>54.858657243816253</v>
      </c>
      <c r="AJ1213" s="168">
        <v>0.1</v>
      </c>
      <c r="AK1213" s="169">
        <v>5.2</v>
      </c>
      <c r="AL1213" s="170">
        <v>51</v>
      </c>
      <c r="AN1213" s="165">
        <v>14</v>
      </c>
      <c r="AO1213" s="167">
        <v>39.7887323943662</v>
      </c>
      <c r="AP1213" s="168">
        <v>-0.3</v>
      </c>
      <c r="AQ1213" s="169">
        <v>4.4000000000000004</v>
      </c>
      <c r="AR1213" s="170">
        <v>47</v>
      </c>
      <c r="AS1213" s="20">
        <f t="shared" si="29"/>
        <v>7</v>
      </c>
      <c r="AT1213" s="165">
        <v>3.5</v>
      </c>
      <c r="AU1213" s="167">
        <v>0.96660808435852363</v>
      </c>
      <c r="AV1213" s="168">
        <v>-2.2999999999999998</v>
      </c>
      <c r="AW1213" s="169">
        <v>0.4</v>
      </c>
      <c r="AX1213" s="170">
        <v>27</v>
      </c>
      <c r="BX1213" s="165">
        <v>584</v>
      </c>
      <c r="BY1213" s="167">
        <v>0.44014084507042256</v>
      </c>
      <c r="BZ1213" s="168">
        <v>-2.6</v>
      </c>
      <c r="CA1213" s="169">
        <v>-0.2</v>
      </c>
      <c r="CB1213" s="170">
        <v>24</v>
      </c>
      <c r="CP1213" s="165">
        <v>398</v>
      </c>
      <c r="CQ1213" s="167">
        <v>0.43936731107205629</v>
      </c>
      <c r="CR1213" s="168">
        <v>-2.6</v>
      </c>
      <c r="CS1213" s="169">
        <v>-0.2</v>
      </c>
      <c r="CT1213" s="170">
        <v>24</v>
      </c>
      <c r="CV1213" s="165">
        <v>52</v>
      </c>
      <c r="CW1213" s="167">
        <v>9.5070422535211261</v>
      </c>
      <c r="CX1213" s="168">
        <v>-1.3</v>
      </c>
      <c r="CY1213" s="169">
        <v>2.4</v>
      </c>
      <c r="CZ1213" s="170">
        <v>37</v>
      </c>
      <c r="DB1213" s="138" t="s">
        <v>114</v>
      </c>
      <c r="DC1213" s="139"/>
      <c r="DD1213" s="139"/>
      <c r="DE1213" s="140" t="s">
        <v>215</v>
      </c>
      <c r="DF1213" s="141">
        <v>419</v>
      </c>
    </row>
    <row r="1214" spans="20:110" ht="13.15" hidden="1" thickBot="1" x14ac:dyDescent="0.25">
      <c r="T1214" s="20">
        <f t="shared" si="30"/>
        <v>123</v>
      </c>
      <c r="U1214" s="184">
        <v>1.23</v>
      </c>
      <c r="V1214" s="20">
        <v>28</v>
      </c>
      <c r="AG1214" s="20">
        <f t="shared" si="26"/>
        <v>25</v>
      </c>
      <c r="AH1214" s="165">
        <v>12.5</v>
      </c>
      <c r="AI1214" s="167">
        <v>59.628975265017672</v>
      </c>
      <c r="AJ1214" s="168">
        <v>0.2</v>
      </c>
      <c r="AK1214" s="169">
        <v>5.4</v>
      </c>
      <c r="AL1214" s="170">
        <v>52</v>
      </c>
      <c r="AN1214" s="172">
        <v>15</v>
      </c>
      <c r="AO1214" s="173">
        <v>76.49647887323944</v>
      </c>
      <c r="AP1214" s="174">
        <v>0.7</v>
      </c>
      <c r="AQ1214" s="175">
        <v>6.4</v>
      </c>
      <c r="AR1214" s="176">
        <v>57</v>
      </c>
      <c r="AS1214" s="20">
        <f t="shared" si="29"/>
        <v>8</v>
      </c>
      <c r="AT1214" s="165">
        <v>4</v>
      </c>
      <c r="AU1214" s="167">
        <v>1.5817223198594026</v>
      </c>
      <c r="AV1214" s="168">
        <v>-2.2000000000000002</v>
      </c>
      <c r="AW1214" s="169">
        <v>0.6</v>
      </c>
      <c r="AX1214" s="170">
        <v>28</v>
      </c>
      <c r="BX1214" s="165">
        <v>583</v>
      </c>
      <c r="BY1214" s="167">
        <v>0.44014084507042256</v>
      </c>
      <c r="BZ1214" s="168">
        <v>-2.6</v>
      </c>
      <c r="CA1214" s="169">
        <v>-0.2</v>
      </c>
      <c r="CB1214" s="170">
        <v>24</v>
      </c>
      <c r="CP1214" s="165">
        <v>397</v>
      </c>
      <c r="CQ1214" s="167">
        <v>0.43936731107205629</v>
      </c>
      <c r="CR1214" s="168">
        <v>-2.6</v>
      </c>
      <c r="CS1214" s="169">
        <v>-0.2</v>
      </c>
      <c r="CT1214" s="170">
        <v>24</v>
      </c>
      <c r="CV1214" s="165">
        <v>51</v>
      </c>
      <c r="CW1214" s="167">
        <v>10.387323943661972</v>
      </c>
      <c r="CX1214" s="168">
        <v>-1.3</v>
      </c>
      <c r="CY1214" s="169">
        <v>2.4</v>
      </c>
      <c r="CZ1214" s="170">
        <v>37</v>
      </c>
      <c r="DB1214" s="144" t="s">
        <v>161</v>
      </c>
      <c r="DD1214" s="20" t="s">
        <v>162</v>
      </c>
      <c r="DF1214" s="145"/>
    </row>
    <row r="1215" spans="20:110" ht="13.8" hidden="1" thickBot="1" x14ac:dyDescent="0.3">
      <c r="T1215" s="20">
        <f t="shared" si="30"/>
        <v>159</v>
      </c>
      <c r="U1215" s="184">
        <v>1.59</v>
      </c>
      <c r="V1215" s="20">
        <v>29</v>
      </c>
      <c r="AB1215" s="138" t="s">
        <v>159</v>
      </c>
      <c r="AC1215" s="139"/>
      <c r="AD1215" s="139"/>
      <c r="AE1215" s="140"/>
      <c r="AF1215" s="141" t="s">
        <v>160</v>
      </c>
      <c r="AG1215" s="20">
        <f t="shared" si="26"/>
        <v>26</v>
      </c>
      <c r="AH1215" s="165">
        <v>13</v>
      </c>
      <c r="AI1215" s="167">
        <v>64.045936395759711</v>
      </c>
      <c r="AJ1215" s="168">
        <v>0.4</v>
      </c>
      <c r="AK1215" s="169">
        <v>5.8</v>
      </c>
      <c r="AL1215" s="170">
        <v>54</v>
      </c>
      <c r="AS1215" s="20">
        <f t="shared" si="29"/>
        <v>9</v>
      </c>
      <c r="AT1215" s="165">
        <v>4.5</v>
      </c>
      <c r="AU1215" s="167">
        <v>2.5483304042179262</v>
      </c>
      <c r="AV1215" s="168">
        <v>-2</v>
      </c>
      <c r="AW1215" s="169">
        <v>1</v>
      </c>
      <c r="AX1215" s="170">
        <v>30</v>
      </c>
      <c r="BL1215" s="138" t="s">
        <v>223</v>
      </c>
      <c r="BM1215" s="139"/>
      <c r="BN1215" s="139"/>
      <c r="BO1215" s="140" t="s">
        <v>180</v>
      </c>
      <c r="BP1215" s="141">
        <v>566</v>
      </c>
      <c r="BX1215" s="165">
        <v>582</v>
      </c>
      <c r="BY1215" s="167">
        <v>0.44014084507042256</v>
      </c>
      <c r="BZ1215" s="168">
        <v>-2.6</v>
      </c>
      <c r="CA1215" s="169">
        <v>-0.2</v>
      </c>
      <c r="CB1215" s="170">
        <v>24</v>
      </c>
      <c r="CP1215" s="165">
        <v>396</v>
      </c>
      <c r="CQ1215" s="167">
        <v>0.43936731107205629</v>
      </c>
      <c r="CR1215" s="168">
        <v>-2.6</v>
      </c>
      <c r="CS1215" s="169">
        <v>-0.2</v>
      </c>
      <c r="CT1215" s="170">
        <v>24</v>
      </c>
      <c r="CV1215" s="165">
        <v>50</v>
      </c>
      <c r="CW1215" s="167">
        <v>11.53169014084507</v>
      </c>
      <c r="CX1215" s="168">
        <v>-1.2</v>
      </c>
      <c r="CY1215" s="169">
        <v>2.6</v>
      </c>
      <c r="CZ1215" s="170">
        <v>38</v>
      </c>
      <c r="DB1215" s="181"/>
      <c r="DC1215" s="148"/>
      <c r="DD1215" s="179" t="s">
        <v>170</v>
      </c>
      <c r="DE1215" s="148"/>
      <c r="DF1215" s="149"/>
    </row>
    <row r="1216" spans="20:110" ht="13.15" hidden="1" thickBot="1" x14ac:dyDescent="0.25">
      <c r="T1216" s="20">
        <f t="shared" si="30"/>
        <v>204</v>
      </c>
      <c r="U1216" s="184">
        <v>2.0350000000000001</v>
      </c>
      <c r="V1216" s="20">
        <v>30</v>
      </c>
      <c r="AB1216" s="144" t="s">
        <v>161</v>
      </c>
      <c r="AD1216" s="20" t="s">
        <v>162</v>
      </c>
      <c r="AF1216" s="145"/>
      <c r="AG1216" s="20">
        <f t="shared" si="26"/>
        <v>27</v>
      </c>
      <c r="AH1216" s="165">
        <v>13.5</v>
      </c>
      <c r="AI1216" s="167">
        <v>68.462897526501763</v>
      </c>
      <c r="AJ1216" s="168">
        <v>0.5</v>
      </c>
      <c r="AK1216" s="169">
        <v>6</v>
      </c>
      <c r="AL1216" s="170">
        <v>55</v>
      </c>
      <c r="AS1216" s="20">
        <f t="shared" si="29"/>
        <v>10</v>
      </c>
      <c r="AT1216" s="165">
        <v>5</v>
      </c>
      <c r="AU1216" s="167">
        <v>4.2179261862917397</v>
      </c>
      <c r="AV1216" s="168">
        <v>-1.7</v>
      </c>
      <c r="AW1216" s="169">
        <v>1.6</v>
      </c>
      <c r="AX1216" s="170">
        <v>33</v>
      </c>
      <c r="BL1216" s="144" t="s">
        <v>161</v>
      </c>
      <c r="BP1216" s="145"/>
      <c r="BX1216" s="165">
        <v>581</v>
      </c>
      <c r="BY1216" s="167">
        <v>0.44014084507042256</v>
      </c>
      <c r="BZ1216" s="168">
        <v>-2.6</v>
      </c>
      <c r="CA1216" s="169">
        <v>-0.2</v>
      </c>
      <c r="CB1216" s="170">
        <v>24</v>
      </c>
      <c r="CP1216" s="165">
        <v>395</v>
      </c>
      <c r="CQ1216" s="167">
        <v>0.43936731107205629</v>
      </c>
      <c r="CR1216" s="168">
        <v>-2.6</v>
      </c>
      <c r="CS1216" s="169">
        <v>-0.2</v>
      </c>
      <c r="CT1216" s="170">
        <v>24</v>
      </c>
      <c r="CV1216" s="165">
        <v>49</v>
      </c>
      <c r="CW1216" s="167">
        <v>13.028169014084506</v>
      </c>
      <c r="CX1216" s="168">
        <v>-1.1000000000000001</v>
      </c>
      <c r="CY1216" s="169">
        <v>2.8</v>
      </c>
      <c r="CZ1216" s="170">
        <v>39</v>
      </c>
      <c r="DB1216" s="150" t="s">
        <v>164</v>
      </c>
      <c r="DC1216" s="151" t="s">
        <v>119</v>
      </c>
      <c r="DD1216" s="152"/>
      <c r="DE1216" s="152"/>
      <c r="DF1216" s="153"/>
    </row>
    <row r="1217" spans="20:110" ht="13.8" hidden="1" thickBot="1" x14ac:dyDescent="0.3">
      <c r="T1217" s="20">
        <f t="shared" si="30"/>
        <v>258</v>
      </c>
      <c r="U1217" s="184">
        <v>2.5750000000000002</v>
      </c>
      <c r="V1217" s="20">
        <v>31</v>
      </c>
      <c r="AB1217" s="147" t="s">
        <v>173</v>
      </c>
      <c r="AC1217" s="148"/>
      <c r="AD1217" s="148"/>
      <c r="AE1217" s="148"/>
      <c r="AF1217" s="149"/>
      <c r="AG1217" s="20">
        <f t="shared" si="26"/>
        <v>28</v>
      </c>
      <c r="AH1217" s="165">
        <v>14</v>
      </c>
      <c r="AI1217" s="167">
        <v>72.261484098939931</v>
      </c>
      <c r="AJ1217" s="168">
        <v>0.6</v>
      </c>
      <c r="AK1217" s="169">
        <v>6.2</v>
      </c>
      <c r="AL1217" s="170">
        <v>56</v>
      </c>
      <c r="AN1217" s="138" t="s">
        <v>186</v>
      </c>
      <c r="AO1217" s="139"/>
      <c r="AP1217" s="139"/>
      <c r="AQ1217" s="140" t="s">
        <v>180</v>
      </c>
      <c r="AR1217" s="141">
        <v>568</v>
      </c>
      <c r="AS1217" s="20">
        <f t="shared" si="29"/>
        <v>11</v>
      </c>
      <c r="AT1217" s="165">
        <v>5.5</v>
      </c>
      <c r="AU1217" s="167">
        <v>5.6239015817223192</v>
      </c>
      <c r="AV1217" s="168">
        <v>-1.6</v>
      </c>
      <c r="AW1217" s="169">
        <v>1.8</v>
      </c>
      <c r="AX1217" s="170">
        <v>34</v>
      </c>
      <c r="BL1217" s="147" t="s">
        <v>227</v>
      </c>
      <c r="BM1217" s="148"/>
      <c r="BN1217" s="148"/>
      <c r="BO1217" s="148"/>
      <c r="BP1217" s="149"/>
      <c r="BX1217" s="165">
        <v>580</v>
      </c>
      <c r="BY1217" s="167">
        <v>0.44014084507042256</v>
      </c>
      <c r="BZ1217" s="168">
        <v>-2.6</v>
      </c>
      <c r="CA1217" s="169">
        <v>-0.2</v>
      </c>
      <c r="CB1217" s="170">
        <v>24</v>
      </c>
      <c r="CP1217" s="165">
        <v>394</v>
      </c>
      <c r="CQ1217" s="167">
        <v>0.43936731107205629</v>
      </c>
      <c r="CR1217" s="168">
        <v>-2.6</v>
      </c>
      <c r="CS1217" s="169">
        <v>-0.2</v>
      </c>
      <c r="CT1217" s="170">
        <v>24</v>
      </c>
      <c r="CV1217" s="165">
        <v>48</v>
      </c>
      <c r="CW1217" s="167">
        <v>15.05281690140845</v>
      </c>
      <c r="CX1217" s="168">
        <v>-1</v>
      </c>
      <c r="CY1217" s="169">
        <v>3</v>
      </c>
      <c r="CZ1217" s="170">
        <v>40</v>
      </c>
      <c r="DB1217" s="155" t="s">
        <v>10</v>
      </c>
      <c r="DC1217" s="156" t="s">
        <v>13</v>
      </c>
      <c r="DD1217" s="156" t="s">
        <v>14</v>
      </c>
      <c r="DE1217" s="156" t="s">
        <v>15</v>
      </c>
      <c r="DF1217" s="159" t="s">
        <v>16</v>
      </c>
    </row>
    <row r="1218" spans="20:110" ht="13.8" hidden="1" thickBot="1" x14ac:dyDescent="0.3">
      <c r="T1218" s="20">
        <f t="shared" si="30"/>
        <v>323</v>
      </c>
      <c r="U1218" s="184">
        <v>3.23</v>
      </c>
      <c r="V1218" s="20">
        <v>32</v>
      </c>
      <c r="AB1218" s="150" t="s">
        <v>164</v>
      </c>
      <c r="AC1218" s="151" t="s">
        <v>174</v>
      </c>
      <c r="AD1218" s="152"/>
      <c r="AE1218" s="152"/>
      <c r="AF1218" s="153"/>
      <c r="AG1218" s="20">
        <f t="shared" si="26"/>
        <v>29</v>
      </c>
      <c r="AH1218" s="165">
        <v>14.5</v>
      </c>
      <c r="AI1218" s="167">
        <v>75.883392226148402</v>
      </c>
      <c r="AJ1218" s="168">
        <v>0.7</v>
      </c>
      <c r="AK1218" s="169">
        <v>6.4</v>
      </c>
      <c r="AL1218" s="170">
        <v>57</v>
      </c>
      <c r="AN1218" s="144" t="s">
        <v>161</v>
      </c>
      <c r="AP1218" s="20" t="s">
        <v>162</v>
      </c>
      <c r="AR1218" s="145"/>
      <c r="AS1218" s="20">
        <f t="shared" si="29"/>
        <v>12</v>
      </c>
      <c r="AT1218" s="165">
        <v>6</v>
      </c>
      <c r="AU1218" s="167">
        <v>6.942003514938488</v>
      </c>
      <c r="AV1218" s="168">
        <v>-1.5</v>
      </c>
      <c r="AW1218" s="169">
        <v>2</v>
      </c>
      <c r="AX1218" s="170">
        <v>35</v>
      </c>
      <c r="BL1218" s="150" t="s">
        <v>164</v>
      </c>
      <c r="BM1218" s="151" t="s">
        <v>67</v>
      </c>
      <c r="BN1218" s="152"/>
      <c r="BO1218" s="152"/>
      <c r="BP1218" s="153"/>
      <c r="BX1218" s="165">
        <v>579</v>
      </c>
      <c r="BY1218" s="167">
        <v>0.61619718309859151</v>
      </c>
      <c r="BZ1218" s="168">
        <v>-2.5</v>
      </c>
      <c r="CA1218" s="169">
        <v>0</v>
      </c>
      <c r="CB1218" s="170">
        <v>25</v>
      </c>
      <c r="CP1218" s="165">
        <v>393</v>
      </c>
      <c r="CQ1218" s="167">
        <v>0.43936731107205629</v>
      </c>
      <c r="CR1218" s="168">
        <v>-2.6</v>
      </c>
      <c r="CS1218" s="169">
        <v>-0.2</v>
      </c>
      <c r="CT1218" s="170">
        <v>24</v>
      </c>
      <c r="CV1218" s="165">
        <v>47</v>
      </c>
      <c r="CW1218" s="167">
        <v>17.16549295774648</v>
      </c>
      <c r="CX1218" s="168">
        <v>-0.9</v>
      </c>
      <c r="CY1218" s="169">
        <v>3.2</v>
      </c>
      <c r="CZ1218" s="170">
        <v>41</v>
      </c>
      <c r="DA1218" s="20">
        <f t="shared" ref="DA1218:DA1224" si="31">DB1218*10</f>
        <v>4</v>
      </c>
      <c r="DB1218" s="160">
        <v>0.4</v>
      </c>
      <c r="DC1218" s="161">
        <v>0.11933174224343676</v>
      </c>
      <c r="DD1218" s="162">
        <v>-3</v>
      </c>
      <c r="DE1218" s="163">
        <v>-1</v>
      </c>
      <c r="DF1218" s="164">
        <v>20</v>
      </c>
    </row>
    <row r="1219" spans="20:110" ht="13.15" hidden="1" thickBot="1" x14ac:dyDescent="0.25">
      <c r="T1219" s="20">
        <f t="shared" si="30"/>
        <v>403</v>
      </c>
      <c r="U1219" s="184">
        <v>4.0250000000000004</v>
      </c>
      <c r="V1219" s="20">
        <v>33</v>
      </c>
      <c r="AB1219" s="155" t="s">
        <v>10</v>
      </c>
      <c r="AC1219" s="158" t="s">
        <v>13</v>
      </c>
      <c r="AD1219" s="156" t="s">
        <v>14</v>
      </c>
      <c r="AE1219" s="156" t="s">
        <v>15</v>
      </c>
      <c r="AF1219" s="159" t="s">
        <v>16</v>
      </c>
      <c r="AG1219" s="20">
        <f t="shared" si="26"/>
        <v>30</v>
      </c>
      <c r="AH1219" s="165">
        <v>15</v>
      </c>
      <c r="AI1219" s="167">
        <v>79.593639575971736</v>
      </c>
      <c r="AJ1219" s="168">
        <v>0.8</v>
      </c>
      <c r="AK1219" s="169">
        <v>6.6</v>
      </c>
      <c r="AL1219" s="170">
        <v>58</v>
      </c>
      <c r="AN1219" s="147" t="s">
        <v>192</v>
      </c>
      <c r="AO1219" s="148"/>
      <c r="AP1219" s="148"/>
      <c r="AQ1219" s="148"/>
      <c r="AR1219" s="149"/>
      <c r="AS1219" s="20">
        <f t="shared" si="29"/>
        <v>13</v>
      </c>
      <c r="AT1219" s="165">
        <v>6.5</v>
      </c>
      <c r="AU1219" s="167">
        <v>8.8752196836555353</v>
      </c>
      <c r="AV1219" s="168">
        <v>-1.4</v>
      </c>
      <c r="AW1219" s="169">
        <v>2.2000000000000002</v>
      </c>
      <c r="AX1219" s="170">
        <v>36</v>
      </c>
      <c r="BL1219" s="155" t="s">
        <v>10</v>
      </c>
      <c r="BM1219" s="158" t="s">
        <v>13</v>
      </c>
      <c r="BN1219" s="156" t="s">
        <v>14</v>
      </c>
      <c r="BO1219" s="156" t="s">
        <v>15</v>
      </c>
      <c r="BP1219" s="159" t="s">
        <v>16</v>
      </c>
      <c r="BX1219" s="165">
        <v>578</v>
      </c>
      <c r="BY1219" s="167">
        <v>0.61619718309859151</v>
      </c>
      <c r="BZ1219" s="168">
        <v>-2.5</v>
      </c>
      <c r="CA1219" s="169">
        <v>0</v>
      </c>
      <c r="CB1219" s="170">
        <v>25</v>
      </c>
      <c r="CP1219" s="165">
        <v>392</v>
      </c>
      <c r="CQ1219" s="167">
        <v>0.43936731107205629</v>
      </c>
      <c r="CR1219" s="168">
        <v>-2.6</v>
      </c>
      <c r="CS1219" s="169">
        <v>-0.2</v>
      </c>
      <c r="CT1219" s="170">
        <v>24</v>
      </c>
      <c r="CV1219" s="165">
        <v>46</v>
      </c>
      <c r="CW1219" s="167">
        <v>19.19014084507042</v>
      </c>
      <c r="CX1219" s="168">
        <v>-0.9</v>
      </c>
      <c r="CY1219" s="169">
        <v>3.2</v>
      </c>
      <c r="CZ1219" s="170">
        <v>41</v>
      </c>
      <c r="DA1219" s="20">
        <f t="shared" si="31"/>
        <v>5</v>
      </c>
      <c r="DB1219" s="165">
        <v>0.5</v>
      </c>
      <c r="DC1219" s="167">
        <v>0.71599045346062051</v>
      </c>
      <c r="DD1219" s="168">
        <v>-2.5</v>
      </c>
      <c r="DE1219" s="169">
        <v>0</v>
      </c>
      <c r="DF1219" s="170">
        <v>25</v>
      </c>
    </row>
    <row r="1220" spans="20:110" ht="13.15" hidden="1" thickBot="1" x14ac:dyDescent="0.25">
      <c r="T1220" s="20">
        <f t="shared" si="30"/>
        <v>497</v>
      </c>
      <c r="U1220" s="184">
        <v>4.97</v>
      </c>
      <c r="V1220" s="20">
        <v>34</v>
      </c>
      <c r="AB1220" s="165">
        <v>4</v>
      </c>
      <c r="AC1220" s="167">
        <v>8.7873462214411238E-2</v>
      </c>
      <c r="AD1220" s="168">
        <v>-3</v>
      </c>
      <c r="AE1220" s="169">
        <v>-1</v>
      </c>
      <c r="AF1220" s="170">
        <v>20</v>
      </c>
      <c r="AG1220" s="20">
        <f t="shared" si="26"/>
        <v>31</v>
      </c>
      <c r="AH1220" s="165">
        <v>15.5</v>
      </c>
      <c r="AI1220" s="167">
        <v>83.657243816254407</v>
      </c>
      <c r="AJ1220" s="168">
        <v>1</v>
      </c>
      <c r="AK1220" s="169">
        <v>7</v>
      </c>
      <c r="AL1220" s="170">
        <v>60</v>
      </c>
      <c r="AN1220" s="150" t="s">
        <v>164</v>
      </c>
      <c r="AO1220" s="151" t="s">
        <v>27</v>
      </c>
      <c r="AP1220" s="152"/>
      <c r="AQ1220" s="152"/>
      <c r="AR1220" s="153"/>
      <c r="AS1220" s="20">
        <f t="shared" si="29"/>
        <v>14</v>
      </c>
      <c r="AT1220" s="165">
        <v>7</v>
      </c>
      <c r="AU1220" s="167">
        <v>11.599297012302284</v>
      </c>
      <c r="AV1220" s="168">
        <v>-1.2</v>
      </c>
      <c r="AW1220" s="169">
        <v>2.6</v>
      </c>
      <c r="AX1220" s="170">
        <v>38</v>
      </c>
      <c r="BK1220" s="20">
        <f t="shared" ref="BK1220:BK1238" si="32">BL1220*10</f>
        <v>18</v>
      </c>
      <c r="BL1220" s="160">
        <v>1.8</v>
      </c>
      <c r="BM1220" s="161">
        <v>8.8339222614840993E-2</v>
      </c>
      <c r="BN1220" s="162">
        <v>-3</v>
      </c>
      <c r="BO1220" s="163">
        <v>-1</v>
      </c>
      <c r="BP1220" s="164">
        <v>20</v>
      </c>
      <c r="BX1220" s="165">
        <v>577</v>
      </c>
      <c r="BY1220" s="167">
        <v>0.61619718309859151</v>
      </c>
      <c r="BZ1220" s="168">
        <v>-2.5</v>
      </c>
      <c r="CA1220" s="169">
        <v>0</v>
      </c>
      <c r="CB1220" s="170">
        <v>25</v>
      </c>
      <c r="CP1220" s="165">
        <v>391</v>
      </c>
      <c r="CQ1220" s="167">
        <v>0.43936731107205629</v>
      </c>
      <c r="CR1220" s="168">
        <v>-2.6</v>
      </c>
      <c r="CS1220" s="169">
        <v>-0.2</v>
      </c>
      <c r="CT1220" s="170">
        <v>24</v>
      </c>
      <c r="CV1220" s="165">
        <v>45</v>
      </c>
      <c r="CW1220" s="167">
        <v>21.830985915492956</v>
      </c>
      <c r="CX1220" s="168">
        <v>-0.8</v>
      </c>
      <c r="CY1220" s="169">
        <v>3.4</v>
      </c>
      <c r="CZ1220" s="170">
        <v>42</v>
      </c>
      <c r="DA1220" s="20">
        <f t="shared" si="31"/>
        <v>6</v>
      </c>
      <c r="DB1220" s="165">
        <v>0.6</v>
      </c>
      <c r="DC1220" s="167">
        <v>3.4606205250596656</v>
      </c>
      <c r="DD1220" s="168">
        <v>-1.8</v>
      </c>
      <c r="DE1220" s="169">
        <v>1.4</v>
      </c>
      <c r="DF1220" s="170">
        <v>32</v>
      </c>
    </row>
    <row r="1221" spans="20:110" ht="13.15" hidden="1" thickBot="1" x14ac:dyDescent="0.25">
      <c r="T1221" s="20">
        <f t="shared" si="30"/>
        <v>608</v>
      </c>
      <c r="U1221" s="184">
        <v>6.08</v>
      </c>
      <c r="V1221" s="20">
        <v>35</v>
      </c>
      <c r="AB1221" s="165">
        <v>5</v>
      </c>
      <c r="AC1221" s="167">
        <v>0.26362038664323373</v>
      </c>
      <c r="AD1221" s="168">
        <v>-2.8</v>
      </c>
      <c r="AE1221" s="169">
        <v>-0.6</v>
      </c>
      <c r="AF1221" s="170">
        <v>22</v>
      </c>
      <c r="AG1221" s="20">
        <f t="shared" si="26"/>
        <v>32</v>
      </c>
      <c r="AH1221" s="165">
        <v>16</v>
      </c>
      <c r="AI1221" s="167">
        <v>87.014134275618375</v>
      </c>
      <c r="AJ1221" s="168">
        <v>1.1000000000000001</v>
      </c>
      <c r="AK1221" s="169">
        <v>7.2</v>
      </c>
      <c r="AL1221" s="170">
        <v>61</v>
      </c>
      <c r="AN1221" s="155" t="s">
        <v>10</v>
      </c>
      <c r="AO1221" s="158" t="s">
        <v>13</v>
      </c>
      <c r="AP1221" s="156" t="s">
        <v>14</v>
      </c>
      <c r="AQ1221" s="156" t="s">
        <v>15</v>
      </c>
      <c r="AR1221" s="159" t="s">
        <v>16</v>
      </c>
      <c r="AS1221" s="20">
        <f t="shared" si="29"/>
        <v>15</v>
      </c>
      <c r="AT1221" s="165">
        <v>7.5</v>
      </c>
      <c r="AU1221" s="167">
        <v>14.323374340949032</v>
      </c>
      <c r="AV1221" s="168">
        <v>-1.1000000000000001</v>
      </c>
      <c r="AW1221" s="169">
        <v>2.8</v>
      </c>
      <c r="AX1221" s="170">
        <v>39</v>
      </c>
      <c r="BK1221" s="20">
        <f t="shared" si="32"/>
        <v>17</v>
      </c>
      <c r="BL1221" s="165">
        <v>1.7</v>
      </c>
      <c r="BM1221" s="167">
        <v>0.26501766784452296</v>
      </c>
      <c r="BN1221" s="168">
        <v>-2.8</v>
      </c>
      <c r="BO1221" s="169">
        <v>-0.6</v>
      </c>
      <c r="BP1221" s="170">
        <v>22</v>
      </c>
      <c r="BX1221" s="165">
        <v>576</v>
      </c>
      <c r="BY1221" s="167">
        <v>0.61619718309859151</v>
      </c>
      <c r="BZ1221" s="168">
        <v>-2.5</v>
      </c>
      <c r="CA1221" s="169">
        <v>0</v>
      </c>
      <c r="CB1221" s="170">
        <v>25</v>
      </c>
      <c r="CP1221" s="165">
        <v>390</v>
      </c>
      <c r="CQ1221" s="167">
        <v>0.43936731107205629</v>
      </c>
      <c r="CR1221" s="168">
        <v>-2.6</v>
      </c>
      <c r="CS1221" s="169">
        <v>-0.2</v>
      </c>
      <c r="CT1221" s="170">
        <v>24</v>
      </c>
      <c r="CV1221" s="165">
        <v>44</v>
      </c>
      <c r="CW1221" s="167">
        <v>24.55985915492958</v>
      </c>
      <c r="CX1221" s="168">
        <v>-0.7</v>
      </c>
      <c r="CY1221" s="169">
        <v>3.6</v>
      </c>
      <c r="CZ1221" s="170">
        <v>43</v>
      </c>
      <c r="DA1221" s="20">
        <f t="shared" si="31"/>
        <v>7</v>
      </c>
      <c r="DB1221" s="165">
        <v>0.7</v>
      </c>
      <c r="DC1221" s="167">
        <v>8.4725536992840098</v>
      </c>
      <c r="DD1221" s="168">
        <v>-1.4</v>
      </c>
      <c r="DE1221" s="169">
        <v>2.2000000000000002</v>
      </c>
      <c r="DF1221" s="170">
        <v>36</v>
      </c>
    </row>
    <row r="1222" spans="20:110" hidden="1" x14ac:dyDescent="0.2">
      <c r="T1222" s="20">
        <f t="shared" si="30"/>
        <v>738</v>
      </c>
      <c r="U1222" s="184">
        <v>7.38</v>
      </c>
      <c r="V1222" s="20">
        <v>36</v>
      </c>
      <c r="AB1222" s="165">
        <v>6</v>
      </c>
      <c r="AC1222" s="167">
        <v>0.26362038664323373</v>
      </c>
      <c r="AD1222" s="168">
        <v>-2.8</v>
      </c>
      <c r="AE1222" s="169">
        <v>-0.6</v>
      </c>
      <c r="AF1222" s="170">
        <v>22</v>
      </c>
      <c r="AG1222" s="20">
        <f t="shared" si="26"/>
        <v>33</v>
      </c>
      <c r="AH1222" s="165">
        <v>16.5</v>
      </c>
      <c r="AI1222" s="167">
        <v>89.134275618374559</v>
      </c>
      <c r="AJ1222" s="168">
        <v>1.2</v>
      </c>
      <c r="AK1222" s="169">
        <v>7.4</v>
      </c>
      <c r="AL1222" s="170">
        <v>62</v>
      </c>
      <c r="AN1222" s="160">
        <v>1</v>
      </c>
      <c r="AO1222" s="161">
        <v>8.8028169014084515E-2</v>
      </c>
      <c r="AP1222" s="162">
        <v>-3</v>
      </c>
      <c r="AQ1222" s="163">
        <v>-1</v>
      </c>
      <c r="AR1222" s="164">
        <v>20</v>
      </c>
      <c r="AS1222" s="20">
        <f t="shared" si="29"/>
        <v>16</v>
      </c>
      <c r="AT1222" s="165">
        <v>8</v>
      </c>
      <c r="AU1222" s="167">
        <v>17.486818980667838</v>
      </c>
      <c r="AV1222" s="168">
        <v>-0.9</v>
      </c>
      <c r="AW1222" s="169">
        <v>3.2</v>
      </c>
      <c r="AX1222" s="170">
        <v>41</v>
      </c>
      <c r="BK1222" s="20">
        <f t="shared" si="32"/>
        <v>16</v>
      </c>
      <c r="BL1222" s="165">
        <v>1.6</v>
      </c>
      <c r="BM1222" s="167">
        <v>0.44169611307420498</v>
      </c>
      <c r="BN1222" s="168">
        <v>-2.6</v>
      </c>
      <c r="BO1222" s="169">
        <v>-0.2</v>
      </c>
      <c r="BP1222" s="170">
        <v>24</v>
      </c>
      <c r="BX1222" s="165">
        <v>575</v>
      </c>
      <c r="BY1222" s="167">
        <v>0.61619718309859151</v>
      </c>
      <c r="BZ1222" s="168">
        <v>-2.5</v>
      </c>
      <c r="CA1222" s="169">
        <v>0</v>
      </c>
      <c r="CB1222" s="170">
        <v>25</v>
      </c>
      <c r="CP1222" s="165">
        <v>389</v>
      </c>
      <c r="CQ1222" s="167">
        <v>0.43936731107205629</v>
      </c>
      <c r="CR1222" s="168">
        <v>-2.6</v>
      </c>
      <c r="CS1222" s="169">
        <v>-0.2</v>
      </c>
      <c r="CT1222" s="170">
        <v>24</v>
      </c>
      <c r="CV1222" s="165">
        <v>43</v>
      </c>
      <c r="CW1222" s="167">
        <v>27.640845070422536</v>
      </c>
      <c r="CX1222" s="168">
        <v>-0.6</v>
      </c>
      <c r="CY1222" s="169">
        <v>3.8</v>
      </c>
      <c r="CZ1222" s="170">
        <v>44</v>
      </c>
      <c r="DA1222" s="20">
        <f t="shared" si="31"/>
        <v>8</v>
      </c>
      <c r="DB1222" s="165">
        <v>0.8</v>
      </c>
      <c r="DC1222" s="167">
        <v>10.978520286396181</v>
      </c>
      <c r="DD1222" s="168">
        <v>-1.2</v>
      </c>
      <c r="DE1222" s="169">
        <v>2.6</v>
      </c>
      <c r="DF1222" s="170">
        <v>38</v>
      </c>
    </row>
    <row r="1223" spans="20:110" hidden="1" x14ac:dyDescent="0.2">
      <c r="T1223" s="20">
        <f t="shared" si="30"/>
        <v>888</v>
      </c>
      <c r="U1223" s="184">
        <v>8.8800000000000008</v>
      </c>
      <c r="V1223" s="20">
        <v>37</v>
      </c>
      <c r="AB1223" s="165">
        <v>7</v>
      </c>
      <c r="AC1223" s="167">
        <v>0.52724077328646746</v>
      </c>
      <c r="AD1223" s="168">
        <v>-2.6</v>
      </c>
      <c r="AE1223" s="169">
        <v>-0.2</v>
      </c>
      <c r="AF1223" s="170">
        <v>24</v>
      </c>
      <c r="AG1223" s="20">
        <f t="shared" si="26"/>
        <v>34</v>
      </c>
      <c r="AH1223" s="165">
        <v>17</v>
      </c>
      <c r="AI1223" s="167">
        <v>90.989399293286226</v>
      </c>
      <c r="AJ1223" s="168">
        <v>1.3</v>
      </c>
      <c r="AK1223" s="169">
        <v>7.6</v>
      </c>
      <c r="AL1223" s="170">
        <v>63</v>
      </c>
      <c r="AN1223" s="165">
        <v>2</v>
      </c>
      <c r="AO1223" s="167">
        <v>0.2640845070422535</v>
      </c>
      <c r="AP1223" s="168">
        <v>-2.8</v>
      </c>
      <c r="AQ1223" s="169">
        <v>-0.6</v>
      </c>
      <c r="AR1223" s="170">
        <v>22</v>
      </c>
      <c r="AS1223" s="20">
        <f t="shared" si="29"/>
        <v>17</v>
      </c>
      <c r="AT1223" s="165">
        <v>8.5</v>
      </c>
      <c r="AU1223" s="167">
        <v>21.177504393673111</v>
      </c>
      <c r="AV1223" s="168">
        <v>-0.8</v>
      </c>
      <c r="AW1223" s="169">
        <v>3.4</v>
      </c>
      <c r="AX1223" s="170">
        <v>42</v>
      </c>
      <c r="BK1223" s="20">
        <f t="shared" si="32"/>
        <v>15</v>
      </c>
      <c r="BL1223" s="165">
        <v>1.5</v>
      </c>
      <c r="BM1223" s="167">
        <v>0.44169611307420498</v>
      </c>
      <c r="BN1223" s="168">
        <v>-2.6</v>
      </c>
      <c r="BO1223" s="169">
        <v>-0.2</v>
      </c>
      <c r="BP1223" s="170">
        <v>24</v>
      </c>
      <c r="BX1223" s="165">
        <v>574</v>
      </c>
      <c r="BY1223" s="167">
        <v>0.61619718309859151</v>
      </c>
      <c r="BZ1223" s="168">
        <v>-2.5</v>
      </c>
      <c r="CA1223" s="169">
        <v>0</v>
      </c>
      <c r="CB1223" s="170">
        <v>25</v>
      </c>
      <c r="CP1223" s="165">
        <v>388</v>
      </c>
      <c r="CQ1223" s="167">
        <v>0.43936731107205629</v>
      </c>
      <c r="CR1223" s="168">
        <v>-2.6</v>
      </c>
      <c r="CS1223" s="169">
        <v>-0.2</v>
      </c>
      <c r="CT1223" s="170">
        <v>24</v>
      </c>
      <c r="CV1223" s="165">
        <v>42</v>
      </c>
      <c r="CW1223" s="167">
        <v>30.633802816901408</v>
      </c>
      <c r="CX1223" s="168">
        <v>-0.5</v>
      </c>
      <c r="CY1223" s="169">
        <v>4</v>
      </c>
      <c r="CZ1223" s="170">
        <v>45</v>
      </c>
      <c r="DA1223" s="20">
        <f t="shared" si="31"/>
        <v>9</v>
      </c>
      <c r="DB1223" s="165">
        <v>0.9</v>
      </c>
      <c r="DC1223" s="167">
        <v>38.066825775656326</v>
      </c>
      <c r="DD1223" s="168">
        <v>-0.3</v>
      </c>
      <c r="DE1223" s="169">
        <v>4.4000000000000004</v>
      </c>
      <c r="DF1223" s="170">
        <v>47</v>
      </c>
    </row>
    <row r="1224" spans="20:110" ht="13.15" hidden="1" thickBot="1" x14ac:dyDescent="0.25">
      <c r="T1224" s="20">
        <f t="shared" si="30"/>
        <v>1060</v>
      </c>
      <c r="U1224" s="184">
        <v>10.595000000000001</v>
      </c>
      <c r="V1224" s="20">
        <v>38</v>
      </c>
      <c r="AB1224" s="165">
        <v>8</v>
      </c>
      <c r="AC1224" s="167">
        <v>0.96660808435852363</v>
      </c>
      <c r="AD1224" s="168">
        <v>-2.2999999999999998</v>
      </c>
      <c r="AE1224" s="169">
        <v>0.4</v>
      </c>
      <c r="AF1224" s="170">
        <v>27</v>
      </c>
      <c r="AG1224" s="20">
        <f t="shared" si="26"/>
        <v>35</v>
      </c>
      <c r="AH1224" s="165">
        <v>17.5</v>
      </c>
      <c r="AI1224" s="167">
        <v>92.756183745583044</v>
      </c>
      <c r="AJ1224" s="168">
        <v>1.5</v>
      </c>
      <c r="AK1224" s="169">
        <v>8</v>
      </c>
      <c r="AL1224" s="170">
        <v>65</v>
      </c>
      <c r="AN1224" s="165">
        <v>3</v>
      </c>
      <c r="AO1224" s="167">
        <v>0.2640845070422535</v>
      </c>
      <c r="AP1224" s="168">
        <v>-2.8</v>
      </c>
      <c r="AQ1224" s="169">
        <v>-0.6</v>
      </c>
      <c r="AR1224" s="170">
        <v>22</v>
      </c>
      <c r="AS1224" s="20">
        <f t="shared" si="29"/>
        <v>18</v>
      </c>
      <c r="AT1224" s="165">
        <v>9</v>
      </c>
      <c r="AU1224" s="167">
        <v>25.659050966608081</v>
      </c>
      <c r="AV1224" s="168">
        <v>-0.7</v>
      </c>
      <c r="AW1224" s="169">
        <v>3.6</v>
      </c>
      <c r="AX1224" s="170">
        <v>43</v>
      </c>
      <c r="BK1224" s="20">
        <f t="shared" si="32"/>
        <v>14</v>
      </c>
      <c r="BL1224" s="165">
        <v>1.4</v>
      </c>
      <c r="BM1224" s="167">
        <v>0.44169611307420498</v>
      </c>
      <c r="BN1224" s="168">
        <v>-2.6</v>
      </c>
      <c r="BO1224" s="169">
        <v>-0.2</v>
      </c>
      <c r="BP1224" s="170">
        <v>24</v>
      </c>
      <c r="BX1224" s="165">
        <v>573</v>
      </c>
      <c r="BY1224" s="167">
        <v>0.61619718309859151</v>
      </c>
      <c r="BZ1224" s="168">
        <v>-2.5</v>
      </c>
      <c r="CA1224" s="169">
        <v>0</v>
      </c>
      <c r="CB1224" s="170">
        <v>25</v>
      </c>
      <c r="CP1224" s="165">
        <v>387</v>
      </c>
      <c r="CQ1224" s="167">
        <v>0.43936731107205629</v>
      </c>
      <c r="CR1224" s="168">
        <v>-2.6</v>
      </c>
      <c r="CS1224" s="169">
        <v>-0.2</v>
      </c>
      <c r="CT1224" s="170">
        <v>24</v>
      </c>
      <c r="CV1224" s="165">
        <v>41</v>
      </c>
      <c r="CW1224" s="167">
        <v>32.922535211267608</v>
      </c>
      <c r="CX1224" s="168">
        <v>-0.4</v>
      </c>
      <c r="CY1224" s="169">
        <v>4.2</v>
      </c>
      <c r="CZ1224" s="170">
        <v>46</v>
      </c>
      <c r="DA1224" s="20">
        <f t="shared" si="31"/>
        <v>10</v>
      </c>
      <c r="DB1224" s="172">
        <v>1</v>
      </c>
      <c r="DC1224" s="173">
        <v>82.219570405727922</v>
      </c>
      <c r="DD1224" s="174">
        <v>0.9</v>
      </c>
      <c r="DE1224" s="175">
        <v>6.8</v>
      </c>
      <c r="DF1224" s="176">
        <v>59</v>
      </c>
    </row>
    <row r="1225" spans="20:110" hidden="1" x14ac:dyDescent="0.2">
      <c r="T1225" s="20">
        <f t="shared" si="30"/>
        <v>1254</v>
      </c>
      <c r="U1225" s="184">
        <v>12.54</v>
      </c>
      <c r="V1225" s="20">
        <v>39</v>
      </c>
      <c r="AB1225" s="165">
        <v>9</v>
      </c>
      <c r="AC1225" s="167">
        <v>2.1968365553602811</v>
      </c>
      <c r="AD1225" s="168">
        <v>-2</v>
      </c>
      <c r="AE1225" s="169">
        <v>1</v>
      </c>
      <c r="AF1225" s="170">
        <v>30</v>
      </c>
      <c r="AG1225" s="20">
        <f t="shared" si="26"/>
        <v>36</v>
      </c>
      <c r="AH1225" s="165">
        <v>18</v>
      </c>
      <c r="AI1225" s="167">
        <v>94.257950530035345</v>
      </c>
      <c r="AJ1225" s="168">
        <v>1.6</v>
      </c>
      <c r="AK1225" s="169">
        <v>8.1999999999999993</v>
      </c>
      <c r="AL1225" s="170">
        <v>66</v>
      </c>
      <c r="AN1225" s="165">
        <v>4</v>
      </c>
      <c r="AO1225" s="167">
        <v>0.61619718309859151</v>
      </c>
      <c r="AP1225" s="168">
        <v>-2.5</v>
      </c>
      <c r="AQ1225" s="169">
        <v>0</v>
      </c>
      <c r="AR1225" s="170">
        <v>25</v>
      </c>
      <c r="AS1225" s="20">
        <f t="shared" si="29"/>
        <v>19</v>
      </c>
      <c r="AT1225" s="165">
        <v>9.5</v>
      </c>
      <c r="AU1225" s="167">
        <v>30.228471001757466</v>
      </c>
      <c r="AV1225" s="168">
        <v>-0.5</v>
      </c>
      <c r="AW1225" s="169">
        <v>4</v>
      </c>
      <c r="AX1225" s="170">
        <v>45</v>
      </c>
      <c r="BK1225" s="20">
        <f t="shared" si="32"/>
        <v>13</v>
      </c>
      <c r="BL1225" s="165">
        <v>1.3</v>
      </c>
      <c r="BM1225" s="167">
        <v>0.44169611307420498</v>
      </c>
      <c r="BN1225" s="168">
        <v>-2.6</v>
      </c>
      <c r="BO1225" s="169">
        <v>-0.2</v>
      </c>
      <c r="BP1225" s="170">
        <v>24</v>
      </c>
      <c r="BX1225" s="165">
        <v>572</v>
      </c>
      <c r="BY1225" s="167">
        <v>0.61619718309859151</v>
      </c>
      <c r="BZ1225" s="168">
        <v>-2.5</v>
      </c>
      <c r="CA1225" s="169">
        <v>0</v>
      </c>
      <c r="CB1225" s="170">
        <v>25</v>
      </c>
      <c r="CP1225" s="165">
        <v>386</v>
      </c>
      <c r="CQ1225" s="167">
        <v>0.43936731107205629</v>
      </c>
      <c r="CR1225" s="168">
        <v>-2.6</v>
      </c>
      <c r="CS1225" s="169">
        <v>-0.2</v>
      </c>
      <c r="CT1225" s="170">
        <v>24</v>
      </c>
      <c r="CV1225" s="165">
        <v>40</v>
      </c>
      <c r="CW1225" s="167">
        <v>35.387323943661968</v>
      </c>
      <c r="CX1225" s="168">
        <v>-0.4</v>
      </c>
      <c r="CY1225" s="169">
        <v>4.2</v>
      </c>
      <c r="CZ1225" s="170">
        <v>46</v>
      </c>
    </row>
    <row r="1226" spans="20:110" ht="13.15" hidden="1" thickBot="1" x14ac:dyDescent="0.25">
      <c r="T1226" s="20">
        <f t="shared" si="30"/>
        <v>1472</v>
      </c>
      <c r="U1226" s="184">
        <v>14.72</v>
      </c>
      <c r="V1226" s="20">
        <v>40</v>
      </c>
      <c r="AB1226" s="165">
        <v>10</v>
      </c>
      <c r="AC1226" s="167">
        <v>5.7996485061511418</v>
      </c>
      <c r="AD1226" s="168">
        <v>-1.6</v>
      </c>
      <c r="AE1226" s="169">
        <v>1.8</v>
      </c>
      <c r="AF1226" s="170">
        <v>34</v>
      </c>
      <c r="AG1226" s="20">
        <f t="shared" si="26"/>
        <v>37</v>
      </c>
      <c r="AH1226" s="165">
        <v>18.5</v>
      </c>
      <c r="AI1226" s="167">
        <v>96.024734982332163</v>
      </c>
      <c r="AJ1226" s="168">
        <v>1.8</v>
      </c>
      <c r="AK1226" s="169">
        <v>8.6</v>
      </c>
      <c r="AL1226" s="170">
        <v>68</v>
      </c>
      <c r="AN1226" s="165">
        <v>5</v>
      </c>
      <c r="AO1226" s="167">
        <v>1.056338028169014</v>
      </c>
      <c r="AP1226" s="168">
        <v>-2.2999999999999998</v>
      </c>
      <c r="AQ1226" s="169">
        <v>0.4</v>
      </c>
      <c r="AR1226" s="170">
        <v>27</v>
      </c>
      <c r="AS1226" s="20">
        <f t="shared" si="29"/>
        <v>20</v>
      </c>
      <c r="AT1226" s="165">
        <v>10</v>
      </c>
      <c r="AU1226" s="167">
        <v>34.710017574692444</v>
      </c>
      <c r="AV1226" s="168">
        <v>-0.4</v>
      </c>
      <c r="AW1226" s="169">
        <v>4.2</v>
      </c>
      <c r="AX1226" s="170">
        <v>46</v>
      </c>
      <c r="BK1226" s="20">
        <f t="shared" si="32"/>
        <v>12</v>
      </c>
      <c r="BL1226" s="165">
        <v>1.2</v>
      </c>
      <c r="BM1226" s="167">
        <v>0.44169611307420498</v>
      </c>
      <c r="BN1226" s="168">
        <v>-2.6</v>
      </c>
      <c r="BO1226" s="169">
        <v>-0.2</v>
      </c>
      <c r="BP1226" s="170">
        <v>24</v>
      </c>
      <c r="BX1226" s="165">
        <v>571</v>
      </c>
      <c r="BY1226" s="167">
        <v>0.61619718309859151</v>
      </c>
      <c r="BZ1226" s="168">
        <v>-2.5</v>
      </c>
      <c r="CA1226" s="169">
        <v>0</v>
      </c>
      <c r="CB1226" s="170">
        <v>25</v>
      </c>
      <c r="CP1226" s="165">
        <v>385</v>
      </c>
      <c r="CQ1226" s="167">
        <v>0.43936731107205629</v>
      </c>
      <c r="CR1226" s="168">
        <v>-2.6</v>
      </c>
      <c r="CS1226" s="169">
        <v>-0.2</v>
      </c>
      <c r="CT1226" s="170">
        <v>24</v>
      </c>
      <c r="CV1226" s="165">
        <v>39</v>
      </c>
      <c r="CW1226" s="167">
        <v>38.468309859154928</v>
      </c>
      <c r="CX1226" s="168">
        <v>-0.3</v>
      </c>
      <c r="CY1226" s="169">
        <v>4.4000000000000004</v>
      </c>
      <c r="CZ1226" s="170">
        <v>47</v>
      </c>
    </row>
    <row r="1227" spans="20:110" ht="13.15" hidden="1" x14ac:dyDescent="0.25">
      <c r="T1227" s="20">
        <f t="shared" si="30"/>
        <v>1714</v>
      </c>
      <c r="U1227" s="184">
        <v>17.14</v>
      </c>
      <c r="V1227" s="20">
        <v>41</v>
      </c>
      <c r="AB1227" s="165">
        <v>11</v>
      </c>
      <c r="AC1227" s="167">
        <v>11.687170474516696</v>
      </c>
      <c r="AD1227" s="168">
        <v>-1.2</v>
      </c>
      <c r="AE1227" s="169">
        <v>2.6</v>
      </c>
      <c r="AF1227" s="170">
        <v>38</v>
      </c>
      <c r="AG1227" s="20">
        <f t="shared" si="26"/>
        <v>38</v>
      </c>
      <c r="AH1227" s="165">
        <v>19</v>
      </c>
      <c r="AI1227" s="167">
        <v>97.526501766784463</v>
      </c>
      <c r="AJ1227" s="168">
        <v>2</v>
      </c>
      <c r="AK1227" s="169">
        <v>9</v>
      </c>
      <c r="AL1227" s="170">
        <v>70</v>
      </c>
      <c r="AN1227" s="165">
        <v>6</v>
      </c>
      <c r="AO1227" s="167">
        <v>1.4964788732394365</v>
      </c>
      <c r="AP1227" s="168">
        <v>-2.2000000000000002</v>
      </c>
      <c r="AQ1227" s="169">
        <v>0.6</v>
      </c>
      <c r="AR1227" s="170">
        <v>28</v>
      </c>
      <c r="AS1227" s="20">
        <f t="shared" si="29"/>
        <v>21</v>
      </c>
      <c r="AT1227" s="165">
        <v>10.5</v>
      </c>
      <c r="AU1227" s="167">
        <v>39.894551845342704</v>
      </c>
      <c r="AV1227" s="168">
        <v>-0.3</v>
      </c>
      <c r="AW1227" s="169">
        <v>4.4000000000000004</v>
      </c>
      <c r="AX1227" s="170">
        <v>47</v>
      </c>
      <c r="BK1227" s="20">
        <f t="shared" si="32"/>
        <v>11</v>
      </c>
      <c r="BL1227" s="165">
        <v>1.1000000000000001</v>
      </c>
      <c r="BM1227" s="167">
        <v>0.44169611307420498</v>
      </c>
      <c r="BN1227" s="168">
        <v>-2.6</v>
      </c>
      <c r="BO1227" s="169">
        <v>-0.2</v>
      </c>
      <c r="BP1227" s="170">
        <v>24</v>
      </c>
      <c r="BX1227" s="165">
        <v>570</v>
      </c>
      <c r="BY1227" s="167">
        <v>0.61619718309859151</v>
      </c>
      <c r="BZ1227" s="168">
        <v>-2.5</v>
      </c>
      <c r="CA1227" s="169">
        <v>0</v>
      </c>
      <c r="CB1227" s="170">
        <v>25</v>
      </c>
      <c r="CP1227" s="165">
        <v>384</v>
      </c>
      <c r="CQ1227" s="167">
        <v>0.43936731107205629</v>
      </c>
      <c r="CR1227" s="168">
        <v>-2.6</v>
      </c>
      <c r="CS1227" s="169">
        <v>-0.2</v>
      </c>
      <c r="CT1227" s="170">
        <v>24</v>
      </c>
      <c r="CV1227" s="165">
        <v>38</v>
      </c>
      <c r="CW1227" s="167">
        <v>42.25352112676056</v>
      </c>
      <c r="CX1227" s="168">
        <v>-0.2</v>
      </c>
      <c r="CY1227" s="169">
        <v>4.5999999999999996</v>
      </c>
      <c r="CZ1227" s="170">
        <v>48</v>
      </c>
      <c r="DB1227" s="138" t="s">
        <v>114</v>
      </c>
      <c r="DC1227" s="139"/>
      <c r="DD1227" s="139"/>
      <c r="DE1227" s="140" t="s">
        <v>215</v>
      </c>
      <c r="DF1227" s="141">
        <v>419</v>
      </c>
    </row>
    <row r="1228" spans="20:110" hidden="1" x14ac:dyDescent="0.2">
      <c r="T1228" s="20">
        <f t="shared" si="30"/>
        <v>1980</v>
      </c>
      <c r="U1228" s="184">
        <v>19.8</v>
      </c>
      <c r="V1228" s="20">
        <v>42</v>
      </c>
      <c r="AB1228" s="165">
        <v>12</v>
      </c>
      <c r="AC1228" s="167">
        <v>22.056239015817223</v>
      </c>
      <c r="AD1228" s="168">
        <v>-0.8</v>
      </c>
      <c r="AE1228" s="169">
        <v>3.4</v>
      </c>
      <c r="AF1228" s="170">
        <v>42</v>
      </c>
      <c r="AG1228" s="20">
        <f t="shared" si="26"/>
        <v>39</v>
      </c>
      <c r="AH1228" s="165">
        <v>19.5</v>
      </c>
      <c r="AI1228" s="167">
        <v>98.144876325088333</v>
      </c>
      <c r="AJ1228" s="168">
        <v>2.1</v>
      </c>
      <c r="AK1228" s="169">
        <v>9.1999999999999993</v>
      </c>
      <c r="AL1228" s="170">
        <v>71</v>
      </c>
      <c r="AN1228" s="165">
        <v>7</v>
      </c>
      <c r="AO1228" s="167">
        <v>3.080985915492958</v>
      </c>
      <c r="AP1228" s="168">
        <v>-1.9</v>
      </c>
      <c r="AQ1228" s="169">
        <v>1.2</v>
      </c>
      <c r="AR1228" s="170">
        <v>31</v>
      </c>
      <c r="AS1228" s="20">
        <f t="shared" si="29"/>
        <v>22</v>
      </c>
      <c r="AT1228" s="165">
        <v>11</v>
      </c>
      <c r="AU1228" s="167">
        <v>46.485061511423545</v>
      </c>
      <c r="AV1228" s="168">
        <v>-0.1</v>
      </c>
      <c r="AW1228" s="169">
        <v>4.8</v>
      </c>
      <c r="AX1228" s="170">
        <v>49</v>
      </c>
      <c r="BK1228" s="20">
        <f t="shared" si="32"/>
        <v>10</v>
      </c>
      <c r="BL1228" s="165">
        <v>1</v>
      </c>
      <c r="BM1228" s="167">
        <v>0.70671378091872794</v>
      </c>
      <c r="BN1228" s="168">
        <v>-2.5</v>
      </c>
      <c r="BO1228" s="169">
        <v>0</v>
      </c>
      <c r="BP1228" s="170">
        <v>25</v>
      </c>
      <c r="BX1228" s="165">
        <v>569</v>
      </c>
      <c r="BY1228" s="167">
        <v>0.79225352112676051</v>
      </c>
      <c r="BZ1228" s="168">
        <v>-2.4</v>
      </c>
      <c r="CA1228" s="169">
        <v>0.2</v>
      </c>
      <c r="CB1228" s="170">
        <v>26</v>
      </c>
      <c r="CP1228" s="165">
        <v>383</v>
      </c>
      <c r="CQ1228" s="167">
        <v>0.43936731107205629</v>
      </c>
      <c r="CR1228" s="168">
        <v>-2.6</v>
      </c>
      <c r="CS1228" s="169">
        <v>-0.2</v>
      </c>
      <c r="CT1228" s="170">
        <v>24</v>
      </c>
      <c r="CV1228" s="165">
        <v>37</v>
      </c>
      <c r="CW1228" s="167">
        <v>46.0387323943662</v>
      </c>
      <c r="CX1228" s="168">
        <v>-0.1</v>
      </c>
      <c r="CY1228" s="169">
        <v>4.8</v>
      </c>
      <c r="CZ1228" s="170">
        <v>49</v>
      </c>
      <c r="DB1228" s="144" t="s">
        <v>161</v>
      </c>
      <c r="DD1228" s="20" t="s">
        <v>162</v>
      </c>
      <c r="DF1228" s="145"/>
    </row>
    <row r="1229" spans="20:110" ht="13.15" hidden="1" thickBot="1" x14ac:dyDescent="0.25">
      <c r="T1229" s="20">
        <f t="shared" si="30"/>
        <v>2270</v>
      </c>
      <c r="U1229" s="184">
        <v>22.695</v>
      </c>
      <c r="V1229" s="20">
        <v>43</v>
      </c>
      <c r="AB1229" s="165">
        <v>13</v>
      </c>
      <c r="AC1229" s="167">
        <v>39.806678383128293</v>
      </c>
      <c r="AD1229" s="168">
        <v>-0.3</v>
      </c>
      <c r="AE1229" s="169">
        <v>4.4000000000000004</v>
      </c>
      <c r="AF1229" s="170">
        <v>47</v>
      </c>
      <c r="AG1229" s="20">
        <f t="shared" si="26"/>
        <v>40</v>
      </c>
      <c r="AH1229" s="165">
        <v>20</v>
      </c>
      <c r="AI1229" s="167">
        <v>98.674911660777383</v>
      </c>
      <c r="AJ1229" s="168">
        <v>2.2000000000000002</v>
      </c>
      <c r="AK1229" s="169">
        <v>9.4</v>
      </c>
      <c r="AL1229" s="170">
        <v>72</v>
      </c>
      <c r="AN1229" s="165">
        <v>8</v>
      </c>
      <c r="AO1229" s="167">
        <v>5.28169014084507</v>
      </c>
      <c r="AP1229" s="168">
        <v>-1.6</v>
      </c>
      <c r="AQ1229" s="169">
        <v>1.8</v>
      </c>
      <c r="AR1229" s="170">
        <v>34</v>
      </c>
      <c r="AS1229" s="20">
        <f t="shared" si="29"/>
        <v>23</v>
      </c>
      <c r="AT1229" s="165">
        <v>11.5</v>
      </c>
      <c r="AU1229" s="167">
        <v>51.933216168717045</v>
      </c>
      <c r="AV1229" s="168">
        <v>0</v>
      </c>
      <c r="AW1229" s="169">
        <v>5</v>
      </c>
      <c r="AX1229" s="170">
        <v>50</v>
      </c>
      <c r="BK1229" s="20">
        <f t="shared" si="32"/>
        <v>9</v>
      </c>
      <c r="BL1229" s="165">
        <v>0.9</v>
      </c>
      <c r="BM1229" s="167">
        <v>0.70671378091872794</v>
      </c>
      <c r="BN1229" s="168">
        <v>-2.5</v>
      </c>
      <c r="BO1229" s="169">
        <v>0</v>
      </c>
      <c r="BP1229" s="170">
        <v>25</v>
      </c>
      <c r="BX1229" s="165">
        <v>568</v>
      </c>
      <c r="BY1229" s="167">
        <v>0.79225352112676051</v>
      </c>
      <c r="BZ1229" s="168">
        <v>-2.4</v>
      </c>
      <c r="CA1229" s="169">
        <v>0.2</v>
      </c>
      <c r="CB1229" s="170">
        <v>26</v>
      </c>
      <c r="CP1229" s="165">
        <v>382</v>
      </c>
      <c r="CQ1229" s="167">
        <v>0.43936731107205629</v>
      </c>
      <c r="CR1229" s="168">
        <v>-2.6</v>
      </c>
      <c r="CS1229" s="169">
        <v>-0.2</v>
      </c>
      <c r="CT1229" s="170">
        <v>24</v>
      </c>
      <c r="CV1229" s="165">
        <v>36</v>
      </c>
      <c r="CW1229" s="167">
        <v>49.383802816901408</v>
      </c>
      <c r="CX1229" s="168">
        <v>0</v>
      </c>
      <c r="CY1229" s="169">
        <v>5</v>
      </c>
      <c r="CZ1229" s="170">
        <v>50</v>
      </c>
      <c r="DB1229" s="147"/>
      <c r="DC1229" s="148"/>
      <c r="DD1229" s="179" t="s">
        <v>170</v>
      </c>
      <c r="DE1229" s="148"/>
      <c r="DF1229" s="149"/>
    </row>
    <row r="1230" spans="20:110" ht="13.15" hidden="1" thickBot="1" x14ac:dyDescent="0.25">
      <c r="T1230" s="20">
        <f t="shared" si="30"/>
        <v>2582</v>
      </c>
      <c r="U1230" s="184">
        <v>25.815000000000001</v>
      </c>
      <c r="V1230" s="20">
        <v>44</v>
      </c>
      <c r="AB1230" s="165">
        <v>14</v>
      </c>
      <c r="AC1230" s="167">
        <v>63.444639718804922</v>
      </c>
      <c r="AD1230" s="168">
        <v>0.3</v>
      </c>
      <c r="AE1230" s="169">
        <v>5.6</v>
      </c>
      <c r="AF1230" s="170">
        <v>53</v>
      </c>
      <c r="AG1230" s="20">
        <f t="shared" si="26"/>
        <v>41</v>
      </c>
      <c r="AH1230" s="165">
        <v>20.5</v>
      </c>
      <c r="AI1230" s="167">
        <v>99.293286219081267</v>
      </c>
      <c r="AJ1230" s="168">
        <v>2.5</v>
      </c>
      <c r="AK1230" s="169">
        <v>10</v>
      </c>
      <c r="AL1230" s="170">
        <v>75</v>
      </c>
      <c r="AN1230" s="165">
        <v>9</v>
      </c>
      <c r="AO1230" s="167">
        <v>8.4507042253521121</v>
      </c>
      <c r="AP1230" s="168">
        <v>-1.4</v>
      </c>
      <c r="AQ1230" s="169">
        <v>2.2000000000000002</v>
      </c>
      <c r="AR1230" s="170">
        <v>36</v>
      </c>
      <c r="AS1230" s="20">
        <f t="shared" si="29"/>
        <v>24</v>
      </c>
      <c r="AT1230" s="165">
        <v>12</v>
      </c>
      <c r="AU1230" s="167">
        <v>58.17223198594025</v>
      </c>
      <c r="AV1230" s="168">
        <v>0.2</v>
      </c>
      <c r="AW1230" s="169">
        <v>5.4</v>
      </c>
      <c r="AX1230" s="170">
        <v>52</v>
      </c>
      <c r="BK1230" s="20">
        <f t="shared" si="32"/>
        <v>8</v>
      </c>
      <c r="BL1230" s="165">
        <v>0.8</v>
      </c>
      <c r="BM1230" s="167">
        <v>1.0600706713780919</v>
      </c>
      <c r="BN1230" s="168">
        <v>-2.2999999999999998</v>
      </c>
      <c r="BO1230" s="169">
        <v>0.4</v>
      </c>
      <c r="BP1230" s="170">
        <v>27</v>
      </c>
      <c r="BX1230" s="165">
        <v>567</v>
      </c>
      <c r="BY1230" s="167">
        <v>0.79225352112676051</v>
      </c>
      <c r="BZ1230" s="168">
        <v>-2.4</v>
      </c>
      <c r="CA1230" s="169">
        <v>0.2</v>
      </c>
      <c r="CB1230" s="170">
        <v>26</v>
      </c>
      <c r="CP1230" s="165">
        <v>381</v>
      </c>
      <c r="CQ1230" s="167">
        <v>0.43936731107205629</v>
      </c>
      <c r="CR1230" s="168">
        <v>-2.6</v>
      </c>
      <c r="CS1230" s="169">
        <v>-0.2</v>
      </c>
      <c r="CT1230" s="170">
        <v>24</v>
      </c>
      <c r="CV1230" s="165">
        <v>35</v>
      </c>
      <c r="CW1230" s="167">
        <v>52.992957746478872</v>
      </c>
      <c r="CX1230" s="168">
        <v>0.1</v>
      </c>
      <c r="CY1230" s="169">
        <v>5.2</v>
      </c>
      <c r="CZ1230" s="170">
        <v>51</v>
      </c>
      <c r="DB1230" s="150" t="s">
        <v>164</v>
      </c>
      <c r="DC1230" s="151" t="s">
        <v>120</v>
      </c>
      <c r="DD1230" s="152"/>
      <c r="DE1230" s="152"/>
      <c r="DF1230" s="153"/>
    </row>
    <row r="1231" spans="20:110" ht="13.15" hidden="1" thickBot="1" x14ac:dyDescent="0.25">
      <c r="T1231" s="20">
        <f t="shared" si="30"/>
        <v>2914</v>
      </c>
      <c r="U1231" s="184">
        <v>29.14</v>
      </c>
      <c r="V1231" s="20">
        <v>45</v>
      </c>
      <c r="AB1231" s="172">
        <v>15</v>
      </c>
      <c r="AC1231" s="173">
        <v>88.224956063268891</v>
      </c>
      <c r="AD1231" s="174">
        <v>1.2</v>
      </c>
      <c r="AE1231" s="175">
        <v>7.4</v>
      </c>
      <c r="AF1231" s="176">
        <v>62</v>
      </c>
      <c r="AG1231" s="20">
        <f t="shared" si="26"/>
        <v>42</v>
      </c>
      <c r="AH1231" s="165">
        <v>21</v>
      </c>
      <c r="AI1231" s="167">
        <v>99.293286219081267</v>
      </c>
      <c r="AJ1231" s="168">
        <v>2.5</v>
      </c>
      <c r="AK1231" s="169">
        <v>10</v>
      </c>
      <c r="AL1231" s="170">
        <v>75</v>
      </c>
      <c r="AN1231" s="165">
        <v>10</v>
      </c>
      <c r="AO1231" s="167">
        <v>13.11619718309859</v>
      </c>
      <c r="AP1231" s="168">
        <v>-1.1000000000000001</v>
      </c>
      <c r="AQ1231" s="169">
        <v>2.8</v>
      </c>
      <c r="AR1231" s="170">
        <v>39</v>
      </c>
      <c r="AS1231" s="20">
        <f t="shared" si="29"/>
        <v>25</v>
      </c>
      <c r="AT1231" s="165">
        <v>12.5</v>
      </c>
      <c r="AU1231" s="167">
        <v>64.32337434094903</v>
      </c>
      <c r="AV1231" s="168">
        <v>0.4</v>
      </c>
      <c r="AW1231" s="169">
        <v>5.8</v>
      </c>
      <c r="AX1231" s="170">
        <v>54</v>
      </c>
      <c r="BK1231" s="20">
        <f t="shared" si="32"/>
        <v>7</v>
      </c>
      <c r="BL1231" s="165">
        <v>0.7</v>
      </c>
      <c r="BM1231" s="167">
        <v>1.0600706713780919</v>
      </c>
      <c r="BN1231" s="168">
        <v>-2.2999999999999998</v>
      </c>
      <c r="BO1231" s="169">
        <v>0.4</v>
      </c>
      <c r="BP1231" s="170">
        <v>27</v>
      </c>
      <c r="BX1231" s="165">
        <v>566</v>
      </c>
      <c r="BY1231" s="167">
        <v>0.79225352112676051</v>
      </c>
      <c r="BZ1231" s="168">
        <v>-2.4</v>
      </c>
      <c r="CA1231" s="169">
        <v>0.2</v>
      </c>
      <c r="CB1231" s="170">
        <v>26</v>
      </c>
      <c r="CP1231" s="165">
        <v>380</v>
      </c>
      <c r="CQ1231" s="167">
        <v>0.43936731107205629</v>
      </c>
      <c r="CR1231" s="168">
        <v>-2.6</v>
      </c>
      <c r="CS1231" s="169">
        <v>-0.2</v>
      </c>
      <c r="CT1231" s="170">
        <v>24</v>
      </c>
      <c r="CV1231" s="165">
        <v>34</v>
      </c>
      <c r="CW1231" s="167">
        <v>57.130281690140848</v>
      </c>
      <c r="CX1231" s="168">
        <v>0.2</v>
      </c>
      <c r="CY1231" s="169">
        <v>5.4</v>
      </c>
      <c r="CZ1231" s="170">
        <v>52</v>
      </c>
      <c r="DB1231" s="155" t="s">
        <v>10</v>
      </c>
      <c r="DC1231" s="156" t="s">
        <v>13</v>
      </c>
      <c r="DD1231" s="156" t="s">
        <v>14</v>
      </c>
      <c r="DE1231" s="156" t="s">
        <v>15</v>
      </c>
      <c r="DF1231" s="159" t="s">
        <v>16</v>
      </c>
    </row>
    <row r="1232" spans="20:110" hidden="1" x14ac:dyDescent="0.2">
      <c r="T1232" s="20">
        <f t="shared" si="30"/>
        <v>3266</v>
      </c>
      <c r="U1232" s="184">
        <v>32.655000000000001</v>
      </c>
      <c r="V1232" s="20">
        <v>46</v>
      </c>
      <c r="AG1232" s="20">
        <f t="shared" si="26"/>
        <v>43</v>
      </c>
      <c r="AH1232" s="165">
        <v>21.5</v>
      </c>
      <c r="AI1232" s="167">
        <v>99.646643109540634</v>
      </c>
      <c r="AJ1232" s="168">
        <v>2.7</v>
      </c>
      <c r="AK1232" s="169">
        <v>10.4</v>
      </c>
      <c r="AL1232" s="170">
        <v>77</v>
      </c>
      <c r="AN1232" s="165">
        <v>11</v>
      </c>
      <c r="AO1232" s="167">
        <v>20.862676056338028</v>
      </c>
      <c r="AP1232" s="168">
        <v>-0.8</v>
      </c>
      <c r="AQ1232" s="169">
        <v>3.4</v>
      </c>
      <c r="AR1232" s="170">
        <v>42</v>
      </c>
      <c r="AS1232" s="20">
        <f t="shared" si="29"/>
        <v>26</v>
      </c>
      <c r="AT1232" s="165">
        <v>13</v>
      </c>
      <c r="AU1232" s="167">
        <v>68.101933216168717</v>
      </c>
      <c r="AV1232" s="168">
        <v>0.5</v>
      </c>
      <c r="AW1232" s="169">
        <v>6</v>
      </c>
      <c r="AX1232" s="170">
        <v>55</v>
      </c>
      <c r="BK1232" s="20">
        <f t="shared" si="32"/>
        <v>6</v>
      </c>
      <c r="BL1232" s="165">
        <v>0.6</v>
      </c>
      <c r="BM1232" s="167">
        <v>1.678445229681979</v>
      </c>
      <c r="BN1232" s="168">
        <v>-2.1</v>
      </c>
      <c r="BO1232" s="169">
        <v>0.8</v>
      </c>
      <c r="BP1232" s="170">
        <v>29</v>
      </c>
      <c r="BX1232" s="165">
        <v>565</v>
      </c>
      <c r="BY1232" s="167">
        <v>0.79225352112676051</v>
      </c>
      <c r="BZ1232" s="168">
        <v>-2.4</v>
      </c>
      <c r="CA1232" s="169">
        <v>0.2</v>
      </c>
      <c r="CB1232" s="170">
        <v>26</v>
      </c>
      <c r="CP1232" s="165">
        <v>379</v>
      </c>
      <c r="CQ1232" s="167">
        <v>0.70298769771528991</v>
      </c>
      <c r="CR1232" s="168">
        <v>-2.5</v>
      </c>
      <c r="CS1232" s="169">
        <v>0</v>
      </c>
      <c r="CT1232" s="170">
        <v>25</v>
      </c>
      <c r="CV1232" s="165">
        <v>33</v>
      </c>
      <c r="CW1232" s="167">
        <v>61.179577464788736</v>
      </c>
      <c r="CX1232" s="168">
        <v>0.3</v>
      </c>
      <c r="CY1232" s="169">
        <v>5.6</v>
      </c>
      <c r="CZ1232" s="170">
        <v>53</v>
      </c>
      <c r="DB1232" s="160">
        <v>6</v>
      </c>
      <c r="DC1232" s="161">
        <v>0.23866348448687352</v>
      </c>
      <c r="DD1232" s="162">
        <v>-2.8</v>
      </c>
      <c r="DE1232" s="163">
        <v>-0.6</v>
      </c>
      <c r="DF1232" s="164">
        <v>22</v>
      </c>
    </row>
    <row r="1233" spans="20:110" ht="13.15" hidden="1" thickBot="1" x14ac:dyDescent="0.25">
      <c r="T1233" s="20">
        <f t="shared" si="30"/>
        <v>3634</v>
      </c>
      <c r="U1233" s="184">
        <v>36.335000000000001</v>
      </c>
      <c r="V1233" s="20">
        <v>47</v>
      </c>
      <c r="AG1233" s="20">
        <f t="shared" si="26"/>
        <v>44</v>
      </c>
      <c r="AH1233" s="165">
        <v>22</v>
      </c>
      <c r="AI1233" s="167">
        <v>99.911660777385151</v>
      </c>
      <c r="AJ1233" s="168">
        <v>3</v>
      </c>
      <c r="AK1233" s="169">
        <v>11</v>
      </c>
      <c r="AL1233" s="170">
        <v>80</v>
      </c>
      <c r="AN1233" s="165">
        <v>12</v>
      </c>
      <c r="AO1233" s="167">
        <v>29.489436619718312</v>
      </c>
      <c r="AP1233" s="168">
        <v>-0.5</v>
      </c>
      <c r="AQ1233" s="169">
        <v>4</v>
      </c>
      <c r="AR1233" s="170">
        <v>45</v>
      </c>
      <c r="AS1233" s="20">
        <f t="shared" si="29"/>
        <v>27</v>
      </c>
      <c r="AT1233" s="165">
        <v>13.5</v>
      </c>
      <c r="AU1233" s="167">
        <v>71.792618629173987</v>
      </c>
      <c r="AV1233" s="168">
        <v>0.6</v>
      </c>
      <c r="AW1233" s="169">
        <v>6.2</v>
      </c>
      <c r="AX1233" s="170">
        <v>56</v>
      </c>
      <c r="BK1233" s="20">
        <f t="shared" si="32"/>
        <v>5</v>
      </c>
      <c r="BL1233" s="165">
        <v>0.5</v>
      </c>
      <c r="BM1233" s="167">
        <v>2.5618374558303887</v>
      </c>
      <c r="BN1233" s="168">
        <v>-2</v>
      </c>
      <c r="BO1233" s="169">
        <v>1</v>
      </c>
      <c r="BP1233" s="170">
        <v>30</v>
      </c>
      <c r="BX1233" s="165">
        <v>564</v>
      </c>
      <c r="BY1233" s="167">
        <v>0.79225352112676051</v>
      </c>
      <c r="BZ1233" s="168">
        <v>-2.4</v>
      </c>
      <c r="CA1233" s="169">
        <v>0.2</v>
      </c>
      <c r="CB1233" s="170">
        <v>26</v>
      </c>
      <c r="CP1233" s="165">
        <v>378</v>
      </c>
      <c r="CQ1233" s="167">
        <v>0.70298769771528991</v>
      </c>
      <c r="CR1233" s="168">
        <v>-2.5</v>
      </c>
      <c r="CS1233" s="169">
        <v>0</v>
      </c>
      <c r="CT1233" s="170">
        <v>25</v>
      </c>
      <c r="CV1233" s="165">
        <v>32</v>
      </c>
      <c r="CW1233" s="167">
        <v>64.700704225352112</v>
      </c>
      <c r="CX1233" s="168">
        <v>0.4</v>
      </c>
      <c r="CY1233" s="169">
        <v>5.8</v>
      </c>
      <c r="CZ1233" s="170">
        <v>54</v>
      </c>
      <c r="DB1233" s="165">
        <v>5</v>
      </c>
      <c r="DC1233" s="167">
        <v>0.59665871121718372</v>
      </c>
      <c r="DD1233" s="168">
        <v>-2.5</v>
      </c>
      <c r="DE1233" s="169">
        <v>0</v>
      </c>
      <c r="DF1233" s="170">
        <v>25</v>
      </c>
    </row>
    <row r="1234" spans="20:110" ht="13.15" hidden="1" x14ac:dyDescent="0.25">
      <c r="T1234" s="20">
        <f t="shared" si="30"/>
        <v>4014</v>
      </c>
      <c r="U1234" s="184">
        <v>40.14</v>
      </c>
      <c r="V1234" s="20">
        <v>48</v>
      </c>
      <c r="AB1234" s="138" t="s">
        <v>159</v>
      </c>
      <c r="AC1234" s="139"/>
      <c r="AD1234" s="139"/>
      <c r="AE1234" s="140"/>
      <c r="AF1234" s="141" t="s">
        <v>160</v>
      </c>
      <c r="AG1234" s="20">
        <f t="shared" si="26"/>
        <v>45</v>
      </c>
      <c r="AH1234" s="165">
        <v>22.5</v>
      </c>
      <c r="AI1234" s="167">
        <v>99.911660777385151</v>
      </c>
      <c r="AJ1234" s="168">
        <v>3</v>
      </c>
      <c r="AK1234" s="169">
        <v>11</v>
      </c>
      <c r="AL1234" s="170">
        <v>80</v>
      </c>
      <c r="AN1234" s="165">
        <v>13</v>
      </c>
      <c r="AO1234" s="167">
        <v>42.077464788732392</v>
      </c>
      <c r="AP1234" s="168">
        <v>-0.2</v>
      </c>
      <c r="AQ1234" s="169">
        <v>4.5999999999999996</v>
      </c>
      <c r="AR1234" s="170">
        <v>48</v>
      </c>
      <c r="AS1234" s="20">
        <f t="shared" si="29"/>
        <v>28</v>
      </c>
      <c r="AT1234" s="165">
        <v>14</v>
      </c>
      <c r="AU1234" s="167">
        <v>78.558875219683657</v>
      </c>
      <c r="AV1234" s="168">
        <v>0.8</v>
      </c>
      <c r="AW1234" s="169">
        <v>6.6</v>
      </c>
      <c r="AX1234" s="170">
        <v>58</v>
      </c>
      <c r="BK1234" s="20">
        <f t="shared" si="32"/>
        <v>4</v>
      </c>
      <c r="BL1234" s="165">
        <v>0.4</v>
      </c>
      <c r="BM1234" s="167">
        <v>4.1519434628975258</v>
      </c>
      <c r="BN1234" s="168">
        <v>-1.7</v>
      </c>
      <c r="BO1234" s="169">
        <v>1.6</v>
      </c>
      <c r="BP1234" s="170">
        <v>33</v>
      </c>
      <c r="BX1234" s="165">
        <v>563</v>
      </c>
      <c r="BY1234" s="167">
        <v>0.79225352112676051</v>
      </c>
      <c r="BZ1234" s="168">
        <v>-2.4</v>
      </c>
      <c r="CA1234" s="169">
        <v>0.2</v>
      </c>
      <c r="CB1234" s="170">
        <v>26</v>
      </c>
      <c r="CP1234" s="165">
        <v>377</v>
      </c>
      <c r="CQ1234" s="167">
        <v>0.70298769771528991</v>
      </c>
      <c r="CR1234" s="168">
        <v>-2.5</v>
      </c>
      <c r="CS1234" s="169">
        <v>0</v>
      </c>
      <c r="CT1234" s="170">
        <v>25</v>
      </c>
      <c r="CV1234" s="165">
        <v>31</v>
      </c>
      <c r="CW1234" s="167">
        <v>68.573943661971825</v>
      </c>
      <c r="CX1234" s="168">
        <v>0.5</v>
      </c>
      <c r="CY1234" s="169">
        <v>6</v>
      </c>
      <c r="CZ1234" s="170">
        <v>55</v>
      </c>
      <c r="DB1234" s="165">
        <v>4</v>
      </c>
      <c r="DC1234" s="167">
        <v>0.95465393794749409</v>
      </c>
      <c r="DD1234" s="168">
        <v>-2.2999999999999998</v>
      </c>
      <c r="DE1234" s="169">
        <v>0.4</v>
      </c>
      <c r="DF1234" s="170">
        <v>27</v>
      </c>
    </row>
    <row r="1235" spans="20:110" ht="13.15" hidden="1" thickBot="1" x14ac:dyDescent="0.25">
      <c r="T1235" s="20">
        <f t="shared" si="30"/>
        <v>4405</v>
      </c>
      <c r="U1235" s="184">
        <v>44.045000000000002</v>
      </c>
      <c r="V1235" s="20">
        <v>49</v>
      </c>
      <c r="AB1235" s="144" t="s">
        <v>161</v>
      </c>
      <c r="AD1235" s="20" t="s">
        <v>162</v>
      </c>
      <c r="AF1235" s="145"/>
      <c r="AG1235" s="20">
        <f t="shared" si="26"/>
        <v>46</v>
      </c>
      <c r="AH1235" s="172">
        <v>23</v>
      </c>
      <c r="AI1235" s="173">
        <v>99.911660777385151</v>
      </c>
      <c r="AJ1235" s="174">
        <v>3</v>
      </c>
      <c r="AK1235" s="175">
        <v>11</v>
      </c>
      <c r="AL1235" s="176">
        <v>80</v>
      </c>
      <c r="AN1235" s="165">
        <v>14</v>
      </c>
      <c r="AO1235" s="167">
        <v>57.394366197183103</v>
      </c>
      <c r="AP1235" s="168">
        <v>0.2</v>
      </c>
      <c r="AQ1235" s="169">
        <v>5.4</v>
      </c>
      <c r="AR1235" s="170">
        <v>52</v>
      </c>
      <c r="AS1235" s="20">
        <f t="shared" si="29"/>
        <v>29</v>
      </c>
      <c r="AT1235" s="165">
        <v>14.5</v>
      </c>
      <c r="AU1235" s="167">
        <v>85.500878734622148</v>
      </c>
      <c r="AV1235" s="168">
        <v>1.1000000000000001</v>
      </c>
      <c r="AW1235" s="169">
        <v>7.2</v>
      </c>
      <c r="AX1235" s="170">
        <v>61</v>
      </c>
      <c r="BK1235" s="20">
        <f t="shared" si="32"/>
        <v>3</v>
      </c>
      <c r="BL1235" s="165">
        <v>0.3</v>
      </c>
      <c r="BM1235" s="167">
        <v>6.8021201413427557</v>
      </c>
      <c r="BN1235" s="168">
        <v>-1.5</v>
      </c>
      <c r="BO1235" s="169">
        <v>2</v>
      </c>
      <c r="BP1235" s="170">
        <v>35</v>
      </c>
      <c r="BX1235" s="165">
        <v>562</v>
      </c>
      <c r="BY1235" s="167">
        <v>0.79225352112676051</v>
      </c>
      <c r="BZ1235" s="168">
        <v>-2.4</v>
      </c>
      <c r="CA1235" s="169">
        <v>0.2</v>
      </c>
      <c r="CB1235" s="170">
        <v>26</v>
      </c>
      <c r="CP1235" s="165">
        <v>376</v>
      </c>
      <c r="CQ1235" s="167">
        <v>0.70298769771528991</v>
      </c>
      <c r="CR1235" s="168">
        <v>-2.5</v>
      </c>
      <c r="CS1235" s="169">
        <v>0</v>
      </c>
      <c r="CT1235" s="170">
        <v>25</v>
      </c>
      <c r="CV1235" s="165">
        <v>30</v>
      </c>
      <c r="CW1235" s="167">
        <v>74.031690140845072</v>
      </c>
      <c r="CX1235" s="168">
        <v>0.6</v>
      </c>
      <c r="CY1235" s="169">
        <v>6.2</v>
      </c>
      <c r="CZ1235" s="170">
        <v>56</v>
      </c>
      <c r="DB1235" s="165">
        <v>3</v>
      </c>
      <c r="DC1235" s="167">
        <v>1.431980906921241</v>
      </c>
      <c r="DD1235" s="168">
        <v>-2.2000000000000002</v>
      </c>
      <c r="DE1235" s="169">
        <v>0.6</v>
      </c>
      <c r="DF1235" s="170">
        <v>28</v>
      </c>
    </row>
    <row r="1236" spans="20:110" ht="13.15" hidden="1" thickBot="1" x14ac:dyDescent="0.25">
      <c r="T1236" s="20">
        <f t="shared" si="30"/>
        <v>4801</v>
      </c>
      <c r="U1236" s="184">
        <v>48.01</v>
      </c>
      <c r="V1236" s="20">
        <v>50</v>
      </c>
      <c r="AB1236" s="147" t="s">
        <v>175</v>
      </c>
      <c r="AC1236" s="148"/>
      <c r="AD1236" s="148"/>
      <c r="AE1236" s="148"/>
      <c r="AF1236" s="149"/>
      <c r="AN1236" s="172">
        <v>15</v>
      </c>
      <c r="AO1236" s="173">
        <v>81.690140845070431</v>
      </c>
      <c r="AP1236" s="174">
        <v>0.9</v>
      </c>
      <c r="AQ1236" s="175">
        <v>6.8</v>
      </c>
      <c r="AR1236" s="176">
        <v>59</v>
      </c>
      <c r="AS1236" s="20">
        <f t="shared" si="29"/>
        <v>30</v>
      </c>
      <c r="AT1236" s="165">
        <v>15</v>
      </c>
      <c r="AU1236" s="167">
        <v>85.500878734622148</v>
      </c>
      <c r="AV1236" s="168">
        <v>1.1000000000000001</v>
      </c>
      <c r="AW1236" s="169">
        <v>7.2</v>
      </c>
      <c r="AX1236" s="170">
        <v>61</v>
      </c>
      <c r="BK1236" s="20">
        <f t="shared" si="32"/>
        <v>2</v>
      </c>
      <c r="BL1236" s="165">
        <v>0.2</v>
      </c>
      <c r="BM1236" s="167">
        <v>11.66077738515901</v>
      </c>
      <c r="BN1236" s="168">
        <v>-1.2</v>
      </c>
      <c r="BO1236" s="169">
        <v>2.6</v>
      </c>
      <c r="BP1236" s="170">
        <v>38</v>
      </c>
      <c r="BX1236" s="165">
        <v>561</v>
      </c>
      <c r="BY1236" s="167">
        <v>0.79225352112676051</v>
      </c>
      <c r="BZ1236" s="168">
        <v>-2.4</v>
      </c>
      <c r="CA1236" s="169">
        <v>0.2</v>
      </c>
      <c r="CB1236" s="170">
        <v>26</v>
      </c>
      <c r="CP1236" s="165">
        <v>375</v>
      </c>
      <c r="CQ1236" s="167">
        <v>0.70298769771528991</v>
      </c>
      <c r="CR1236" s="168">
        <v>-2.5</v>
      </c>
      <c r="CS1236" s="169">
        <v>0</v>
      </c>
      <c r="CT1236" s="170">
        <v>25</v>
      </c>
      <c r="CV1236" s="165">
        <v>29</v>
      </c>
      <c r="CW1236" s="167">
        <v>79.225352112676063</v>
      </c>
      <c r="CX1236" s="168">
        <v>0.8</v>
      </c>
      <c r="CY1236" s="169">
        <v>6.6</v>
      </c>
      <c r="CZ1236" s="170">
        <v>58</v>
      </c>
      <c r="DB1236" s="165">
        <v>2</v>
      </c>
      <c r="DC1236" s="167">
        <v>2.7446300715990453</v>
      </c>
      <c r="DD1236" s="168">
        <v>-1.9</v>
      </c>
      <c r="DE1236" s="169">
        <v>1.2</v>
      </c>
      <c r="DF1236" s="170">
        <v>31</v>
      </c>
    </row>
    <row r="1237" spans="20:110" ht="13.15" hidden="1" thickBot="1" x14ac:dyDescent="0.25">
      <c r="T1237" s="20">
        <f t="shared" si="30"/>
        <v>5199</v>
      </c>
      <c r="U1237" s="184">
        <v>51.99</v>
      </c>
      <c r="V1237" s="20">
        <v>51</v>
      </c>
      <c r="AB1237" s="150" t="s">
        <v>164</v>
      </c>
      <c r="AC1237" s="151" t="s">
        <v>30</v>
      </c>
      <c r="AD1237" s="152"/>
      <c r="AE1237" s="152"/>
      <c r="AF1237" s="153"/>
      <c r="AS1237" s="20">
        <f t="shared" si="29"/>
        <v>31</v>
      </c>
      <c r="AT1237" s="165">
        <v>15.5</v>
      </c>
      <c r="AU1237" s="167">
        <v>93.321616871704748</v>
      </c>
      <c r="AV1237" s="168">
        <v>1.5</v>
      </c>
      <c r="AW1237" s="169">
        <v>8</v>
      </c>
      <c r="AX1237" s="170">
        <v>65</v>
      </c>
      <c r="BK1237" s="20">
        <f t="shared" si="32"/>
        <v>1</v>
      </c>
      <c r="BL1237" s="165">
        <v>0.1</v>
      </c>
      <c r="BM1237" s="167">
        <v>21.378091872791519</v>
      </c>
      <c r="BN1237" s="168">
        <v>-0.8</v>
      </c>
      <c r="BO1237" s="169">
        <v>3.4</v>
      </c>
      <c r="BP1237" s="170">
        <v>42</v>
      </c>
      <c r="BX1237" s="165">
        <v>560</v>
      </c>
      <c r="BY1237" s="167">
        <v>0.79225352112676051</v>
      </c>
      <c r="BZ1237" s="168">
        <v>-2.4</v>
      </c>
      <c r="CA1237" s="169">
        <v>0.2</v>
      </c>
      <c r="CB1237" s="170">
        <v>26</v>
      </c>
      <c r="CP1237" s="165">
        <v>374</v>
      </c>
      <c r="CQ1237" s="167">
        <v>0.70298769771528991</v>
      </c>
      <c r="CR1237" s="168">
        <v>-2.5</v>
      </c>
      <c r="CS1237" s="169">
        <v>0</v>
      </c>
      <c r="CT1237" s="170">
        <v>25</v>
      </c>
      <c r="CV1237" s="165">
        <v>28</v>
      </c>
      <c r="CW1237" s="167">
        <v>83.098591549295776</v>
      </c>
      <c r="CX1237" s="168">
        <v>1</v>
      </c>
      <c r="CY1237" s="169">
        <v>7</v>
      </c>
      <c r="CZ1237" s="170">
        <v>60</v>
      </c>
      <c r="DB1237" s="165">
        <v>1</v>
      </c>
      <c r="DC1237" s="167">
        <v>8.2338902147971371</v>
      </c>
      <c r="DD1237" s="168">
        <v>-1.4</v>
      </c>
      <c r="DE1237" s="169">
        <v>2.2000000000000002</v>
      </c>
      <c r="DF1237" s="170">
        <v>36</v>
      </c>
    </row>
    <row r="1238" spans="20:110" ht="13.15" hidden="1" thickBot="1" x14ac:dyDescent="0.25">
      <c r="T1238" s="20">
        <f t="shared" si="30"/>
        <v>5596</v>
      </c>
      <c r="U1238" s="184">
        <v>55.954999999999998</v>
      </c>
      <c r="V1238" s="20">
        <v>52</v>
      </c>
      <c r="AB1238" s="155" t="s">
        <v>10</v>
      </c>
      <c r="AC1238" s="158" t="s">
        <v>13</v>
      </c>
      <c r="AD1238" s="156" t="s">
        <v>14</v>
      </c>
      <c r="AE1238" s="156" t="s">
        <v>15</v>
      </c>
      <c r="AF1238" s="159" t="s">
        <v>16</v>
      </c>
      <c r="AS1238" s="20">
        <f t="shared" si="29"/>
        <v>32</v>
      </c>
      <c r="AT1238" s="172">
        <v>16</v>
      </c>
      <c r="AU1238" s="173">
        <v>93.321616871704748</v>
      </c>
      <c r="AV1238" s="174">
        <v>1.5</v>
      </c>
      <c r="AW1238" s="175">
        <v>8</v>
      </c>
      <c r="AX1238" s="176">
        <v>65</v>
      </c>
      <c r="BK1238" s="20">
        <f t="shared" si="32"/>
        <v>0</v>
      </c>
      <c r="BL1238" s="172">
        <v>0</v>
      </c>
      <c r="BM1238" s="173">
        <v>63.869257950530034</v>
      </c>
      <c r="BN1238" s="174">
        <v>0.4</v>
      </c>
      <c r="BO1238" s="175">
        <v>5.8</v>
      </c>
      <c r="BP1238" s="176">
        <v>54</v>
      </c>
      <c r="BX1238" s="165">
        <v>559</v>
      </c>
      <c r="BY1238" s="167">
        <v>0.79225352112676051</v>
      </c>
      <c r="BZ1238" s="168">
        <v>-2.4</v>
      </c>
      <c r="CA1238" s="169">
        <v>0.2</v>
      </c>
      <c r="CB1238" s="170">
        <v>26</v>
      </c>
      <c r="CP1238" s="165">
        <v>373</v>
      </c>
      <c r="CQ1238" s="167">
        <v>0.70298769771528991</v>
      </c>
      <c r="CR1238" s="168">
        <v>-2.5</v>
      </c>
      <c r="CS1238" s="169">
        <v>0</v>
      </c>
      <c r="CT1238" s="170">
        <v>25</v>
      </c>
      <c r="CV1238" s="165">
        <v>27</v>
      </c>
      <c r="CW1238" s="167">
        <v>86.971830985915489</v>
      </c>
      <c r="CX1238" s="168">
        <v>1.1000000000000001</v>
      </c>
      <c r="CY1238" s="169">
        <v>7.2</v>
      </c>
      <c r="CZ1238" s="170">
        <v>61</v>
      </c>
      <c r="DB1238" s="172">
        <v>0</v>
      </c>
      <c r="DC1238" s="173">
        <v>56.324582338902154</v>
      </c>
      <c r="DD1238" s="174">
        <v>0.2</v>
      </c>
      <c r="DE1238" s="175">
        <v>5.4</v>
      </c>
      <c r="DF1238" s="176">
        <v>52</v>
      </c>
    </row>
    <row r="1239" spans="20:110" ht="13.15" hidden="1" x14ac:dyDescent="0.25">
      <c r="T1239" s="20">
        <f t="shared" si="30"/>
        <v>5986</v>
      </c>
      <c r="U1239" s="184">
        <v>59.86</v>
      </c>
      <c r="V1239" s="20">
        <v>53</v>
      </c>
      <c r="AB1239" s="160">
        <v>13</v>
      </c>
      <c r="AC1239" s="161">
        <v>8.7873462214411238E-2</v>
      </c>
      <c r="AD1239" s="162">
        <v>-3</v>
      </c>
      <c r="AE1239" s="163">
        <v>-1</v>
      </c>
      <c r="AF1239" s="164">
        <v>20</v>
      </c>
      <c r="AN1239" s="138" t="s">
        <v>186</v>
      </c>
      <c r="AO1239" s="139"/>
      <c r="AP1239" s="139"/>
      <c r="AQ1239" s="140" t="s">
        <v>180</v>
      </c>
      <c r="AR1239" s="141">
        <v>568</v>
      </c>
      <c r="BX1239" s="165">
        <v>558</v>
      </c>
      <c r="BY1239" s="167">
        <v>0.79225352112676051</v>
      </c>
      <c r="BZ1239" s="168">
        <v>-2.4</v>
      </c>
      <c r="CA1239" s="169">
        <v>0.2</v>
      </c>
      <c r="CB1239" s="170">
        <v>26</v>
      </c>
      <c r="CP1239" s="165">
        <v>372</v>
      </c>
      <c r="CQ1239" s="167">
        <v>0.70298769771528991</v>
      </c>
      <c r="CR1239" s="168">
        <v>-2.5</v>
      </c>
      <c r="CS1239" s="169">
        <v>0</v>
      </c>
      <c r="CT1239" s="170">
        <v>25</v>
      </c>
      <c r="CV1239" s="165">
        <v>26</v>
      </c>
      <c r="CW1239" s="167">
        <v>90.140845070422543</v>
      </c>
      <c r="CX1239" s="168">
        <v>1.3</v>
      </c>
      <c r="CY1239" s="169">
        <v>7.6</v>
      </c>
      <c r="CZ1239" s="170">
        <v>63</v>
      </c>
    </row>
    <row r="1240" spans="20:110" ht="13.15" hidden="1" thickBot="1" x14ac:dyDescent="0.25">
      <c r="T1240" s="20">
        <f t="shared" si="30"/>
        <v>6367</v>
      </c>
      <c r="U1240" s="184">
        <v>63.664999999999999</v>
      </c>
      <c r="V1240" s="20">
        <v>54</v>
      </c>
      <c r="AB1240" s="165">
        <v>12</v>
      </c>
      <c r="AC1240" s="167">
        <v>0.26362038664323373</v>
      </c>
      <c r="AD1240" s="168">
        <v>-2.8</v>
      </c>
      <c r="AE1240" s="169">
        <v>-0.6</v>
      </c>
      <c r="AF1240" s="170">
        <v>22</v>
      </c>
      <c r="AN1240" s="144" t="s">
        <v>161</v>
      </c>
      <c r="AP1240" s="20" t="s">
        <v>162</v>
      </c>
      <c r="AR1240" s="145"/>
      <c r="BX1240" s="165">
        <v>557</v>
      </c>
      <c r="BY1240" s="167">
        <v>0.79225352112676051</v>
      </c>
      <c r="BZ1240" s="168">
        <v>-2.4</v>
      </c>
      <c r="CA1240" s="169">
        <v>0.2</v>
      </c>
      <c r="CB1240" s="170">
        <v>26</v>
      </c>
      <c r="CP1240" s="165">
        <v>371</v>
      </c>
      <c r="CQ1240" s="167">
        <v>0.70298769771528991</v>
      </c>
      <c r="CR1240" s="168">
        <v>-2.5</v>
      </c>
      <c r="CS1240" s="169">
        <v>0</v>
      </c>
      <c r="CT1240" s="170">
        <v>25</v>
      </c>
      <c r="CV1240" s="165">
        <v>25</v>
      </c>
      <c r="CW1240" s="167">
        <v>92.429577464788736</v>
      </c>
      <c r="CX1240" s="168">
        <v>1.4</v>
      </c>
      <c r="CY1240" s="169">
        <v>7.8</v>
      </c>
      <c r="CZ1240" s="170">
        <v>64</v>
      </c>
    </row>
    <row r="1241" spans="20:110" ht="13.8" hidden="1" thickBot="1" x14ac:dyDescent="0.3">
      <c r="T1241" s="20">
        <f t="shared" si="30"/>
        <v>6735</v>
      </c>
      <c r="U1241" s="184">
        <v>67.344999999999999</v>
      </c>
      <c r="V1241" s="20">
        <v>55</v>
      </c>
      <c r="AB1241" s="165">
        <v>11</v>
      </c>
      <c r="AC1241" s="167">
        <v>0.26362038664323373</v>
      </c>
      <c r="AD1241" s="168">
        <v>-2.8</v>
      </c>
      <c r="AE1241" s="169">
        <v>-0.6</v>
      </c>
      <c r="AF1241" s="170">
        <v>22</v>
      </c>
      <c r="AN1241" s="147" t="s">
        <v>193</v>
      </c>
      <c r="AO1241" s="148"/>
      <c r="AP1241" s="148"/>
      <c r="AQ1241" s="148"/>
      <c r="AR1241" s="149"/>
      <c r="AT1241" s="138" t="s">
        <v>203</v>
      </c>
      <c r="AU1241" s="139"/>
      <c r="AV1241" s="139"/>
      <c r="AW1241" s="140"/>
      <c r="AX1241" s="141" t="s">
        <v>160</v>
      </c>
      <c r="BL1241" s="138" t="s">
        <v>223</v>
      </c>
      <c r="BM1241" s="139"/>
      <c r="BN1241" s="139"/>
      <c r="BO1241" s="140" t="s">
        <v>180</v>
      </c>
      <c r="BP1241" s="141">
        <v>566</v>
      </c>
      <c r="BX1241" s="165">
        <v>556</v>
      </c>
      <c r="BY1241" s="167">
        <v>0.79225352112676051</v>
      </c>
      <c r="BZ1241" s="168">
        <v>-2.4</v>
      </c>
      <c r="CA1241" s="169">
        <v>0.2</v>
      </c>
      <c r="CB1241" s="170">
        <v>26</v>
      </c>
      <c r="CP1241" s="165">
        <v>370</v>
      </c>
      <c r="CQ1241" s="167">
        <v>0.70298769771528991</v>
      </c>
      <c r="CR1241" s="168">
        <v>-2.5</v>
      </c>
      <c r="CS1241" s="169">
        <v>0</v>
      </c>
      <c r="CT1241" s="170">
        <v>25</v>
      </c>
      <c r="CV1241" s="165">
        <v>24</v>
      </c>
      <c r="CW1241" s="167">
        <v>94.366197183098592</v>
      </c>
      <c r="CX1241" s="168">
        <v>1.6</v>
      </c>
      <c r="CY1241" s="169">
        <v>8.1999999999999993</v>
      </c>
      <c r="CZ1241" s="170">
        <v>66</v>
      </c>
      <c r="DB1241" s="138" t="s">
        <v>114</v>
      </c>
      <c r="DC1241" s="139"/>
      <c r="DD1241" s="139"/>
      <c r="DE1241" s="140" t="s">
        <v>215</v>
      </c>
      <c r="DF1241" s="141">
        <v>410</v>
      </c>
    </row>
    <row r="1242" spans="20:110" ht="13.15" hidden="1" thickBot="1" x14ac:dyDescent="0.25">
      <c r="T1242" s="20">
        <f t="shared" si="30"/>
        <v>7086</v>
      </c>
      <c r="U1242" s="184">
        <v>70.86</v>
      </c>
      <c r="V1242" s="20">
        <v>56</v>
      </c>
      <c r="AB1242" s="165">
        <v>10</v>
      </c>
      <c r="AC1242" s="167">
        <v>0.43936731107205629</v>
      </c>
      <c r="AD1242" s="168">
        <v>-2.6</v>
      </c>
      <c r="AE1242" s="169">
        <v>-0.2</v>
      </c>
      <c r="AF1242" s="170">
        <v>24</v>
      </c>
      <c r="AN1242" s="150" t="s">
        <v>164</v>
      </c>
      <c r="AO1242" s="151" t="s">
        <v>28</v>
      </c>
      <c r="AP1242" s="152"/>
      <c r="AQ1242" s="152"/>
      <c r="AR1242" s="153"/>
      <c r="AT1242" s="144" t="s">
        <v>161</v>
      </c>
      <c r="AV1242" s="20" t="s">
        <v>162</v>
      </c>
      <c r="AX1242" s="145"/>
      <c r="BL1242" s="144" t="s">
        <v>161</v>
      </c>
      <c r="BP1242" s="145"/>
      <c r="BX1242" s="165">
        <v>555</v>
      </c>
      <c r="BY1242" s="167">
        <v>0.79225352112676051</v>
      </c>
      <c r="BZ1242" s="168">
        <v>-2.4</v>
      </c>
      <c r="CA1242" s="169">
        <v>0.2</v>
      </c>
      <c r="CB1242" s="170">
        <v>26</v>
      </c>
      <c r="CP1242" s="165">
        <v>369</v>
      </c>
      <c r="CQ1242" s="167">
        <v>1.0544815465729349</v>
      </c>
      <c r="CR1242" s="168">
        <v>-2.2999999999999998</v>
      </c>
      <c r="CS1242" s="169">
        <v>0.4</v>
      </c>
      <c r="CT1242" s="170">
        <v>27</v>
      </c>
      <c r="CV1242" s="165">
        <v>23</v>
      </c>
      <c r="CW1242" s="167">
        <v>96.478873239436624</v>
      </c>
      <c r="CX1242" s="168">
        <v>1.8</v>
      </c>
      <c r="CY1242" s="169">
        <v>8.6</v>
      </c>
      <c r="CZ1242" s="170">
        <v>68</v>
      </c>
      <c r="DB1242" s="144" t="s">
        <v>161</v>
      </c>
      <c r="DD1242" s="20" t="s">
        <v>162</v>
      </c>
      <c r="DF1242" s="145"/>
    </row>
    <row r="1243" spans="20:110" ht="13.15" hidden="1" thickBot="1" x14ac:dyDescent="0.25">
      <c r="T1243" s="20">
        <f t="shared" si="30"/>
        <v>7419</v>
      </c>
      <c r="U1243" s="184">
        <v>74.185000000000002</v>
      </c>
      <c r="V1243" s="20">
        <v>57</v>
      </c>
      <c r="AB1243" s="165">
        <v>9</v>
      </c>
      <c r="AC1243" s="167">
        <v>0.43936731107205629</v>
      </c>
      <c r="AD1243" s="168">
        <v>-2.6</v>
      </c>
      <c r="AE1243" s="169">
        <v>-0.2</v>
      </c>
      <c r="AF1243" s="170">
        <v>24</v>
      </c>
      <c r="AN1243" s="155" t="s">
        <v>10</v>
      </c>
      <c r="AO1243" s="156" t="s">
        <v>13</v>
      </c>
      <c r="AP1243" s="156" t="s">
        <v>14</v>
      </c>
      <c r="AQ1243" s="158" t="s">
        <v>15</v>
      </c>
      <c r="AR1243" s="157" t="s">
        <v>16</v>
      </c>
      <c r="AT1243" s="147" t="s">
        <v>209</v>
      </c>
      <c r="AU1243" s="148"/>
      <c r="AV1243" s="148"/>
      <c r="AW1243" s="148"/>
      <c r="AX1243" s="149"/>
      <c r="BL1243" s="147" t="s">
        <v>228</v>
      </c>
      <c r="BM1243" s="148"/>
      <c r="BN1243" s="148"/>
      <c r="BO1243" s="148"/>
      <c r="BP1243" s="149"/>
      <c r="BX1243" s="165">
        <v>554</v>
      </c>
      <c r="BY1243" s="167">
        <v>0.79225352112676051</v>
      </c>
      <c r="BZ1243" s="168">
        <v>-2.4</v>
      </c>
      <c r="CA1243" s="169">
        <v>0.2</v>
      </c>
      <c r="CB1243" s="170">
        <v>26</v>
      </c>
      <c r="CP1243" s="165">
        <v>368</v>
      </c>
      <c r="CQ1243" s="167">
        <v>1.0544815465729349</v>
      </c>
      <c r="CR1243" s="168">
        <v>-2.2999999999999998</v>
      </c>
      <c r="CS1243" s="169">
        <v>0.4</v>
      </c>
      <c r="CT1243" s="170">
        <v>27</v>
      </c>
      <c r="CV1243" s="165">
        <v>22</v>
      </c>
      <c r="CW1243" s="167">
        <v>98.41549295774648</v>
      </c>
      <c r="CX1243" s="168">
        <v>2.2000000000000002</v>
      </c>
      <c r="CY1243" s="169">
        <v>9.4</v>
      </c>
      <c r="CZ1243" s="170">
        <v>72</v>
      </c>
      <c r="DB1243" s="181" t="s">
        <v>260</v>
      </c>
      <c r="DC1243" s="148"/>
      <c r="DD1243" s="148"/>
      <c r="DE1243" s="148"/>
      <c r="DF1243" s="149"/>
    </row>
    <row r="1244" spans="20:110" ht="13.8" hidden="1" thickBot="1" x14ac:dyDescent="0.3">
      <c r="T1244" s="20">
        <f t="shared" si="30"/>
        <v>7731</v>
      </c>
      <c r="U1244" s="184">
        <v>77.305000000000007</v>
      </c>
      <c r="V1244" s="20">
        <v>58</v>
      </c>
      <c r="AB1244" s="165">
        <v>8</v>
      </c>
      <c r="AC1244" s="167">
        <v>0.43936731107205629</v>
      </c>
      <c r="AD1244" s="168">
        <v>-2.6</v>
      </c>
      <c r="AE1244" s="169">
        <v>-0.2</v>
      </c>
      <c r="AF1244" s="170">
        <v>24</v>
      </c>
      <c r="AM1244" s="20">
        <f t="shared" ref="AM1244:AM1270" si="33">AN1244*2</f>
        <v>0</v>
      </c>
      <c r="AN1244" s="160">
        <v>0</v>
      </c>
      <c r="AO1244" s="161">
        <v>8.8028169014084515E-2</v>
      </c>
      <c r="AP1244" s="162">
        <v>-3</v>
      </c>
      <c r="AQ1244" s="163">
        <v>-1</v>
      </c>
      <c r="AR1244" s="164">
        <v>20</v>
      </c>
      <c r="AT1244" s="150" t="s">
        <v>164</v>
      </c>
      <c r="AU1244" s="151" t="s">
        <v>174</v>
      </c>
      <c r="AV1244" s="152"/>
      <c r="AW1244" s="152"/>
      <c r="AX1244" s="153"/>
      <c r="BL1244" s="150" t="s">
        <v>164</v>
      </c>
      <c r="BM1244" s="151" t="s">
        <v>69</v>
      </c>
      <c r="BN1244" s="152"/>
      <c r="BO1244" s="152"/>
      <c r="BP1244" s="153"/>
      <c r="BX1244" s="165">
        <v>553</v>
      </c>
      <c r="BY1244" s="167">
        <v>0.79225352112676051</v>
      </c>
      <c r="BZ1244" s="168">
        <v>-2.4</v>
      </c>
      <c r="CA1244" s="169">
        <v>0.2</v>
      </c>
      <c r="CB1244" s="170">
        <v>26</v>
      </c>
      <c r="CP1244" s="165">
        <v>367</v>
      </c>
      <c r="CQ1244" s="167">
        <v>1.0544815465729349</v>
      </c>
      <c r="CR1244" s="168">
        <v>-2.2999999999999998</v>
      </c>
      <c r="CS1244" s="169">
        <v>0.4</v>
      </c>
      <c r="CT1244" s="170">
        <v>27</v>
      </c>
      <c r="CV1244" s="165">
        <v>21</v>
      </c>
      <c r="CW1244" s="167">
        <v>99.207746478873233</v>
      </c>
      <c r="CX1244" s="168">
        <v>2.4</v>
      </c>
      <c r="CY1244" s="169">
        <v>9.8000000000000007</v>
      </c>
      <c r="CZ1244" s="170">
        <v>74</v>
      </c>
      <c r="DB1244" s="150" t="s">
        <v>164</v>
      </c>
      <c r="DC1244" s="151" t="s">
        <v>261</v>
      </c>
      <c r="DD1244" s="152"/>
      <c r="DE1244" s="152"/>
      <c r="DF1244" s="153"/>
    </row>
    <row r="1245" spans="20:110" ht="13.15" hidden="1" thickBot="1" x14ac:dyDescent="0.25">
      <c r="T1245" s="20">
        <f t="shared" si="30"/>
        <v>8020</v>
      </c>
      <c r="U1245" s="184">
        <v>80.2</v>
      </c>
      <c r="V1245" s="20">
        <v>59</v>
      </c>
      <c r="AB1245" s="165">
        <v>7</v>
      </c>
      <c r="AC1245" s="167">
        <v>0.43936731107205629</v>
      </c>
      <c r="AD1245" s="168">
        <v>-2.6</v>
      </c>
      <c r="AE1245" s="169">
        <v>-0.2</v>
      </c>
      <c r="AF1245" s="170">
        <v>24</v>
      </c>
      <c r="AM1245" s="20">
        <f t="shared" si="33"/>
        <v>1</v>
      </c>
      <c r="AN1245" s="165">
        <v>0.5</v>
      </c>
      <c r="AO1245" s="167">
        <v>0.528169014084507</v>
      </c>
      <c r="AP1245" s="168">
        <v>-2.6</v>
      </c>
      <c r="AQ1245" s="169">
        <v>-0.2</v>
      </c>
      <c r="AR1245" s="170">
        <v>24</v>
      </c>
      <c r="AT1245" s="155" t="s">
        <v>10</v>
      </c>
      <c r="AU1245" s="158" t="s">
        <v>13</v>
      </c>
      <c r="AV1245" s="156" t="s">
        <v>14</v>
      </c>
      <c r="AW1245" s="156" t="s">
        <v>15</v>
      </c>
      <c r="AX1245" s="159" t="s">
        <v>16</v>
      </c>
      <c r="BL1245" s="155" t="s">
        <v>10</v>
      </c>
      <c r="BM1245" s="156" t="s">
        <v>13</v>
      </c>
      <c r="BN1245" s="156" t="s">
        <v>14</v>
      </c>
      <c r="BO1245" s="156" t="s">
        <v>15</v>
      </c>
      <c r="BP1245" s="157" t="s">
        <v>16</v>
      </c>
      <c r="BX1245" s="165">
        <v>552</v>
      </c>
      <c r="BY1245" s="167">
        <v>0.79225352112676051</v>
      </c>
      <c r="BZ1245" s="168">
        <v>-2.4</v>
      </c>
      <c r="CA1245" s="169">
        <v>0.2</v>
      </c>
      <c r="CB1245" s="170">
        <v>26</v>
      </c>
      <c r="CP1245" s="165">
        <v>366</v>
      </c>
      <c r="CQ1245" s="167">
        <v>1.0544815465729349</v>
      </c>
      <c r="CR1245" s="168">
        <v>-2.2999999999999998</v>
      </c>
      <c r="CS1245" s="169">
        <v>0.4</v>
      </c>
      <c r="CT1245" s="170">
        <v>27</v>
      </c>
      <c r="CV1245" s="165">
        <v>20</v>
      </c>
      <c r="CW1245" s="167">
        <v>99.471830985915489</v>
      </c>
      <c r="CX1245" s="168">
        <v>2.6</v>
      </c>
      <c r="CY1245" s="169">
        <v>10.199999999999999</v>
      </c>
      <c r="CZ1245" s="170">
        <v>76</v>
      </c>
      <c r="DB1245" s="155" t="s">
        <v>10</v>
      </c>
      <c r="DC1245" s="158" t="s">
        <v>13</v>
      </c>
      <c r="DD1245" s="156" t="s">
        <v>14</v>
      </c>
      <c r="DE1245" s="156" t="s">
        <v>15</v>
      </c>
      <c r="DF1245" s="159" t="s">
        <v>16</v>
      </c>
    </row>
    <row r="1246" spans="20:110" hidden="1" x14ac:dyDescent="0.2">
      <c r="T1246" s="20">
        <f t="shared" si="30"/>
        <v>8285</v>
      </c>
      <c r="U1246" s="184">
        <v>82.844999999999999</v>
      </c>
      <c r="V1246" s="20">
        <v>60</v>
      </c>
      <c r="AB1246" s="165">
        <v>6</v>
      </c>
      <c r="AC1246" s="167">
        <v>0.96660808435852363</v>
      </c>
      <c r="AD1246" s="168">
        <v>-2.2999999999999998</v>
      </c>
      <c r="AE1246" s="169">
        <v>0.4</v>
      </c>
      <c r="AF1246" s="170">
        <v>27</v>
      </c>
      <c r="AM1246" s="20">
        <f t="shared" si="33"/>
        <v>2</v>
      </c>
      <c r="AN1246" s="165">
        <v>1</v>
      </c>
      <c r="AO1246" s="167">
        <v>0.528169014084507</v>
      </c>
      <c r="AP1246" s="168">
        <v>-2.6</v>
      </c>
      <c r="AQ1246" s="169">
        <v>-0.2</v>
      </c>
      <c r="AR1246" s="170">
        <v>24</v>
      </c>
      <c r="AS1246" s="20">
        <f t="shared" ref="AS1246:AS1272" si="34">AT1246*2</f>
        <v>6</v>
      </c>
      <c r="AT1246" s="165">
        <v>3</v>
      </c>
      <c r="AU1246" s="167">
        <v>8.7873462214411238E-2</v>
      </c>
      <c r="AV1246" s="168">
        <v>-3</v>
      </c>
      <c r="AW1246" s="169">
        <v>-1</v>
      </c>
      <c r="AX1246" s="170">
        <v>20</v>
      </c>
      <c r="BK1246" s="20">
        <f t="shared" ref="BK1246:BK1309" si="35">BL1246*10</f>
        <v>85</v>
      </c>
      <c r="BL1246" s="160">
        <v>8.5</v>
      </c>
      <c r="BM1246" s="161">
        <v>0.17667844522968199</v>
      </c>
      <c r="BN1246" s="162">
        <v>-2.9</v>
      </c>
      <c r="BO1246" s="163">
        <v>-0.8</v>
      </c>
      <c r="BP1246" s="164">
        <v>21</v>
      </c>
      <c r="BX1246" s="165">
        <v>551</v>
      </c>
      <c r="BY1246" s="167">
        <v>0.79225352112676051</v>
      </c>
      <c r="BZ1246" s="168">
        <v>-2.4</v>
      </c>
      <c r="CA1246" s="169">
        <v>0.2</v>
      </c>
      <c r="CB1246" s="170">
        <v>26</v>
      </c>
      <c r="CP1246" s="165">
        <v>365</v>
      </c>
      <c r="CQ1246" s="167">
        <v>1.0544815465729349</v>
      </c>
      <c r="CR1246" s="168">
        <v>-2.2999999999999998</v>
      </c>
      <c r="CS1246" s="169">
        <v>0.4</v>
      </c>
      <c r="CT1246" s="170">
        <v>27</v>
      </c>
      <c r="CV1246" s="165">
        <v>19</v>
      </c>
      <c r="CW1246" s="167">
        <v>99.735915492957744</v>
      </c>
      <c r="CX1246" s="168">
        <v>2.8</v>
      </c>
      <c r="CY1246" s="169">
        <v>10.6</v>
      </c>
      <c r="CZ1246" s="170">
        <v>78</v>
      </c>
      <c r="DB1246" s="160">
        <v>15</v>
      </c>
      <c r="DC1246" s="161">
        <v>0.12195121951219512</v>
      </c>
      <c r="DD1246" s="162">
        <v>-3</v>
      </c>
      <c r="DE1246" s="163">
        <v>-1</v>
      </c>
      <c r="DF1246" s="164">
        <v>20</v>
      </c>
    </row>
    <row r="1247" spans="20:110" hidden="1" x14ac:dyDescent="0.2">
      <c r="T1247" s="20">
        <f t="shared" si="30"/>
        <v>8527</v>
      </c>
      <c r="U1247" s="184">
        <v>85.265000000000001</v>
      </c>
      <c r="V1247" s="20">
        <v>61</v>
      </c>
      <c r="AB1247" s="165">
        <v>5</v>
      </c>
      <c r="AC1247" s="167">
        <v>2.8998242530755709</v>
      </c>
      <c r="AD1247" s="168">
        <v>-1.9</v>
      </c>
      <c r="AE1247" s="169">
        <v>1.2</v>
      </c>
      <c r="AF1247" s="170">
        <v>31</v>
      </c>
      <c r="AM1247" s="20">
        <f t="shared" si="33"/>
        <v>3</v>
      </c>
      <c r="AN1247" s="165">
        <v>1.5</v>
      </c>
      <c r="AO1247" s="167">
        <v>0.96830985915492951</v>
      </c>
      <c r="AP1247" s="168">
        <v>-2.2999999999999998</v>
      </c>
      <c r="AQ1247" s="169">
        <v>0.4</v>
      </c>
      <c r="AR1247" s="170">
        <v>27</v>
      </c>
      <c r="AS1247" s="20">
        <f t="shared" si="34"/>
        <v>7</v>
      </c>
      <c r="AT1247" s="165">
        <v>3.5</v>
      </c>
      <c r="AU1247" s="167">
        <v>0.26362038664323373</v>
      </c>
      <c r="AV1247" s="168">
        <v>-2.8</v>
      </c>
      <c r="AW1247" s="169">
        <v>-0.6</v>
      </c>
      <c r="AX1247" s="170">
        <v>22</v>
      </c>
      <c r="BK1247" s="20">
        <f t="shared" si="35"/>
        <v>84</v>
      </c>
      <c r="BL1247" s="165">
        <v>8.4</v>
      </c>
      <c r="BM1247" s="167">
        <v>0.61837455830388688</v>
      </c>
      <c r="BN1247" s="168">
        <v>-2.5</v>
      </c>
      <c r="BO1247" s="169">
        <v>0</v>
      </c>
      <c r="BP1247" s="170">
        <v>25</v>
      </c>
      <c r="BX1247" s="165">
        <v>550</v>
      </c>
      <c r="BY1247" s="167">
        <v>0.79225352112676051</v>
      </c>
      <c r="BZ1247" s="168">
        <v>-2.4</v>
      </c>
      <c r="CA1247" s="169">
        <v>0.2</v>
      </c>
      <c r="CB1247" s="170">
        <v>26</v>
      </c>
      <c r="CP1247" s="165">
        <v>364</v>
      </c>
      <c r="CQ1247" s="167">
        <v>1.0544815465729349</v>
      </c>
      <c r="CR1247" s="168">
        <v>-2.2999999999999998</v>
      </c>
      <c r="CS1247" s="169">
        <v>0.4</v>
      </c>
      <c r="CT1247" s="170">
        <v>27</v>
      </c>
      <c r="CV1247" s="165">
        <v>18</v>
      </c>
      <c r="CW1247" s="167">
        <v>99.911971830985919</v>
      </c>
      <c r="CX1247" s="168">
        <v>3</v>
      </c>
      <c r="CY1247" s="169">
        <v>11</v>
      </c>
      <c r="CZ1247" s="170">
        <v>80</v>
      </c>
      <c r="DB1247" s="165">
        <v>16</v>
      </c>
      <c r="DC1247" s="167">
        <v>0.36585365853658541</v>
      </c>
      <c r="DD1247" s="168">
        <v>-2.7</v>
      </c>
      <c r="DE1247" s="169">
        <v>-0.4</v>
      </c>
      <c r="DF1247" s="170">
        <v>23</v>
      </c>
    </row>
    <row r="1248" spans="20:110" ht="13.15" hidden="1" thickBot="1" x14ac:dyDescent="0.25">
      <c r="T1248" s="20">
        <f t="shared" si="30"/>
        <v>8746</v>
      </c>
      <c r="U1248" s="184">
        <v>87.46</v>
      </c>
      <c r="V1248" s="20">
        <v>62</v>
      </c>
      <c r="AB1248" s="165">
        <v>4</v>
      </c>
      <c r="AC1248" s="167">
        <v>6.3268892794376104</v>
      </c>
      <c r="AD1248" s="168">
        <v>-1.5</v>
      </c>
      <c r="AE1248" s="169">
        <v>2</v>
      </c>
      <c r="AF1248" s="170">
        <v>35</v>
      </c>
      <c r="AM1248" s="20">
        <f t="shared" si="33"/>
        <v>4</v>
      </c>
      <c r="AN1248" s="165">
        <v>2</v>
      </c>
      <c r="AO1248" s="167">
        <v>2.024647887323944</v>
      </c>
      <c r="AP1248" s="168">
        <v>-2.1</v>
      </c>
      <c r="AQ1248" s="169">
        <v>0.8</v>
      </c>
      <c r="AR1248" s="170">
        <v>29</v>
      </c>
      <c r="AS1248" s="20">
        <f t="shared" si="34"/>
        <v>8</v>
      </c>
      <c r="AT1248" s="165">
        <v>4</v>
      </c>
      <c r="AU1248" s="167">
        <v>0.26362038664323373</v>
      </c>
      <c r="AV1248" s="168">
        <v>-2.8</v>
      </c>
      <c r="AW1248" s="169">
        <v>-0.6</v>
      </c>
      <c r="AX1248" s="170">
        <v>22</v>
      </c>
      <c r="BK1248" s="20">
        <f t="shared" si="35"/>
        <v>83</v>
      </c>
      <c r="BL1248" s="165">
        <v>8.3000000000000007</v>
      </c>
      <c r="BM1248" s="167">
        <v>0.61837455830388688</v>
      </c>
      <c r="BN1248" s="168">
        <v>-2.5</v>
      </c>
      <c r="BO1248" s="169">
        <v>0</v>
      </c>
      <c r="BP1248" s="170">
        <v>25</v>
      </c>
      <c r="BX1248" s="165">
        <v>549</v>
      </c>
      <c r="BY1248" s="167">
        <v>0.79225352112676051</v>
      </c>
      <c r="BZ1248" s="168">
        <v>-2.4</v>
      </c>
      <c r="CA1248" s="169">
        <v>0.2</v>
      </c>
      <c r="CB1248" s="170">
        <v>26</v>
      </c>
      <c r="CP1248" s="165">
        <v>363</v>
      </c>
      <c r="CQ1248" s="167">
        <v>1.0544815465729349</v>
      </c>
      <c r="CR1248" s="168">
        <v>-2.2999999999999998</v>
      </c>
      <c r="CS1248" s="169">
        <v>0.4</v>
      </c>
      <c r="CT1248" s="170">
        <v>27</v>
      </c>
      <c r="CV1248" s="172">
        <v>17</v>
      </c>
      <c r="CW1248" s="173">
        <v>99.911971830985919</v>
      </c>
      <c r="CX1248" s="174">
        <v>3</v>
      </c>
      <c r="CY1248" s="175">
        <v>11</v>
      </c>
      <c r="CZ1248" s="176">
        <v>80</v>
      </c>
      <c r="DB1248" s="165">
        <v>17</v>
      </c>
      <c r="DC1248" s="167">
        <v>0.36585365853658541</v>
      </c>
      <c r="DD1248" s="168">
        <v>-2.7</v>
      </c>
      <c r="DE1248" s="169">
        <v>-0.4</v>
      </c>
      <c r="DF1248" s="170">
        <v>23</v>
      </c>
    </row>
    <row r="1249" spans="20:110" hidden="1" x14ac:dyDescent="0.2">
      <c r="T1249" s="20">
        <f t="shared" si="30"/>
        <v>8941</v>
      </c>
      <c r="U1249" s="184">
        <v>89.405000000000001</v>
      </c>
      <c r="V1249" s="20">
        <v>63</v>
      </c>
      <c r="AB1249" s="165">
        <v>3</v>
      </c>
      <c r="AC1249" s="167">
        <v>13.971880492091387</v>
      </c>
      <c r="AD1249" s="168">
        <v>-1.1000000000000001</v>
      </c>
      <c r="AE1249" s="169">
        <v>2.8</v>
      </c>
      <c r="AF1249" s="170">
        <v>39</v>
      </c>
      <c r="AM1249" s="20">
        <f t="shared" si="33"/>
        <v>5</v>
      </c>
      <c r="AN1249" s="165">
        <v>2.5</v>
      </c>
      <c r="AO1249" s="167">
        <v>3.433098591549296</v>
      </c>
      <c r="AP1249" s="168">
        <v>-1.8</v>
      </c>
      <c r="AQ1249" s="169">
        <v>1.4</v>
      </c>
      <c r="AR1249" s="170">
        <v>32</v>
      </c>
      <c r="AS1249" s="20">
        <f t="shared" si="34"/>
        <v>9</v>
      </c>
      <c r="AT1249" s="165">
        <v>4.5</v>
      </c>
      <c r="AU1249" s="167">
        <v>0.26362038664323373</v>
      </c>
      <c r="AV1249" s="168">
        <v>-2.8</v>
      </c>
      <c r="AW1249" s="169">
        <v>-0.6</v>
      </c>
      <c r="AX1249" s="170">
        <v>22</v>
      </c>
      <c r="BK1249" s="20">
        <f t="shared" si="35"/>
        <v>82</v>
      </c>
      <c r="BL1249" s="165">
        <v>8.1999999999999993</v>
      </c>
      <c r="BM1249" s="167">
        <v>0.61837455830388688</v>
      </c>
      <c r="BN1249" s="168">
        <v>-2.5</v>
      </c>
      <c r="BO1249" s="169">
        <v>0</v>
      </c>
      <c r="BP1249" s="170">
        <v>25</v>
      </c>
      <c r="BX1249" s="165">
        <v>548</v>
      </c>
      <c r="BY1249" s="167">
        <v>0.79225352112676051</v>
      </c>
      <c r="BZ1249" s="168">
        <v>-2.4</v>
      </c>
      <c r="CA1249" s="169">
        <v>0.2</v>
      </c>
      <c r="CB1249" s="170">
        <v>26</v>
      </c>
      <c r="CP1249" s="165">
        <v>362</v>
      </c>
      <c r="CQ1249" s="167">
        <v>1.0544815465729349</v>
      </c>
      <c r="CR1249" s="168">
        <v>-2.2999999999999998</v>
      </c>
      <c r="CS1249" s="169">
        <v>0.4</v>
      </c>
      <c r="CT1249" s="170">
        <v>27</v>
      </c>
      <c r="DB1249" s="165">
        <v>18</v>
      </c>
      <c r="DC1249" s="167">
        <v>0.36585365853658541</v>
      </c>
      <c r="DD1249" s="168">
        <v>-2.7</v>
      </c>
      <c r="DE1249" s="169">
        <v>-0.4</v>
      </c>
      <c r="DF1249" s="170">
        <v>23</v>
      </c>
    </row>
    <row r="1250" spans="20:110" ht="13.15" hidden="1" thickBot="1" x14ac:dyDescent="0.25">
      <c r="T1250" s="20">
        <f t="shared" si="30"/>
        <v>9112</v>
      </c>
      <c r="U1250" s="184">
        <v>91.12</v>
      </c>
      <c r="V1250" s="20">
        <v>64</v>
      </c>
      <c r="AB1250" s="165">
        <v>2</v>
      </c>
      <c r="AC1250" s="167">
        <v>28.031634446397184</v>
      </c>
      <c r="AD1250" s="168">
        <v>-0.6</v>
      </c>
      <c r="AE1250" s="169">
        <v>3.8</v>
      </c>
      <c r="AF1250" s="170">
        <v>44</v>
      </c>
      <c r="AM1250" s="20">
        <f t="shared" si="33"/>
        <v>6</v>
      </c>
      <c r="AN1250" s="165">
        <v>3</v>
      </c>
      <c r="AO1250" s="167">
        <v>7.3943661971830981</v>
      </c>
      <c r="AP1250" s="168">
        <v>-1.4</v>
      </c>
      <c r="AQ1250" s="169">
        <v>2.2000000000000002</v>
      </c>
      <c r="AR1250" s="170">
        <v>36</v>
      </c>
      <c r="AS1250" s="20">
        <f t="shared" si="34"/>
        <v>10</v>
      </c>
      <c r="AT1250" s="165">
        <v>5</v>
      </c>
      <c r="AU1250" s="167">
        <v>0.26362038664323373</v>
      </c>
      <c r="AV1250" s="168">
        <v>-2.8</v>
      </c>
      <c r="AW1250" s="169">
        <v>-0.6</v>
      </c>
      <c r="AX1250" s="170">
        <v>22</v>
      </c>
      <c r="BK1250" s="20">
        <f t="shared" si="35"/>
        <v>81</v>
      </c>
      <c r="BL1250" s="165">
        <v>8.1</v>
      </c>
      <c r="BM1250" s="167">
        <v>0.61837455830388688</v>
      </c>
      <c r="BN1250" s="168">
        <v>-2.5</v>
      </c>
      <c r="BO1250" s="169">
        <v>0</v>
      </c>
      <c r="BP1250" s="170">
        <v>25</v>
      </c>
      <c r="BX1250" s="165">
        <v>547</v>
      </c>
      <c r="BY1250" s="167">
        <v>0.79225352112676051</v>
      </c>
      <c r="BZ1250" s="168">
        <v>-2.4</v>
      </c>
      <c r="CA1250" s="169">
        <v>0.2</v>
      </c>
      <c r="CB1250" s="170">
        <v>26</v>
      </c>
      <c r="CP1250" s="165">
        <v>361</v>
      </c>
      <c r="CQ1250" s="167">
        <v>1.0544815465729349</v>
      </c>
      <c r="CR1250" s="168">
        <v>-2.2999999999999998</v>
      </c>
      <c r="CS1250" s="169">
        <v>0.4</v>
      </c>
      <c r="CT1250" s="170">
        <v>27</v>
      </c>
      <c r="DB1250" s="165">
        <v>19</v>
      </c>
      <c r="DC1250" s="167">
        <v>0.36585365853658541</v>
      </c>
      <c r="DD1250" s="168">
        <v>-2.7</v>
      </c>
      <c r="DE1250" s="169">
        <v>-0.4</v>
      </c>
      <c r="DF1250" s="170">
        <v>23</v>
      </c>
    </row>
    <row r="1251" spans="20:110" ht="13.15" hidden="1" x14ac:dyDescent="0.25">
      <c r="T1251" s="20">
        <f t="shared" si="30"/>
        <v>9262</v>
      </c>
      <c r="U1251" s="184">
        <v>92.62</v>
      </c>
      <c r="V1251" s="20">
        <v>65</v>
      </c>
      <c r="AB1251" s="165">
        <v>1</v>
      </c>
      <c r="AC1251" s="167">
        <v>47.6274165202109</v>
      </c>
      <c r="AD1251" s="168">
        <v>-0.1</v>
      </c>
      <c r="AE1251" s="169">
        <v>4.8</v>
      </c>
      <c r="AF1251" s="170">
        <v>49</v>
      </c>
      <c r="AM1251" s="20">
        <f t="shared" si="33"/>
        <v>7</v>
      </c>
      <c r="AN1251" s="165">
        <v>3.5</v>
      </c>
      <c r="AO1251" s="167">
        <v>12.764084507042254</v>
      </c>
      <c r="AP1251" s="168">
        <v>-1.1000000000000001</v>
      </c>
      <c r="AQ1251" s="169">
        <v>2.8</v>
      </c>
      <c r="AR1251" s="170">
        <v>39</v>
      </c>
      <c r="AS1251" s="20">
        <f t="shared" si="34"/>
        <v>11</v>
      </c>
      <c r="AT1251" s="165">
        <v>5.5</v>
      </c>
      <c r="AU1251" s="167">
        <v>0.52724077328646746</v>
      </c>
      <c r="AV1251" s="168">
        <v>-2.6</v>
      </c>
      <c r="AW1251" s="169">
        <v>-0.2</v>
      </c>
      <c r="AX1251" s="170">
        <v>24</v>
      </c>
      <c r="BK1251" s="20">
        <f t="shared" si="35"/>
        <v>80</v>
      </c>
      <c r="BL1251" s="165">
        <v>8</v>
      </c>
      <c r="BM1251" s="167">
        <v>0.61837455830388688</v>
      </c>
      <c r="BN1251" s="168">
        <v>-2.5</v>
      </c>
      <c r="BO1251" s="169">
        <v>0</v>
      </c>
      <c r="BP1251" s="170">
        <v>25</v>
      </c>
      <c r="BX1251" s="165">
        <v>546</v>
      </c>
      <c r="BY1251" s="167">
        <v>0.79225352112676051</v>
      </c>
      <c r="BZ1251" s="168">
        <v>-2.4</v>
      </c>
      <c r="CA1251" s="169">
        <v>0.2</v>
      </c>
      <c r="CB1251" s="170">
        <v>26</v>
      </c>
      <c r="CP1251" s="165">
        <v>360</v>
      </c>
      <c r="CQ1251" s="167">
        <v>1.0544815465729349</v>
      </c>
      <c r="CR1251" s="168">
        <v>-2.2999999999999998</v>
      </c>
      <c r="CS1251" s="169">
        <v>0.4</v>
      </c>
      <c r="CT1251" s="170">
        <v>27</v>
      </c>
      <c r="CV1251" s="138" t="s">
        <v>102</v>
      </c>
      <c r="CW1251" s="139"/>
      <c r="CX1251" s="139"/>
      <c r="CY1251" s="140" t="s">
        <v>215</v>
      </c>
      <c r="CZ1251" s="141">
        <v>568</v>
      </c>
      <c r="DB1251" s="165">
        <v>20</v>
      </c>
      <c r="DC1251" s="167">
        <v>0.6097560975609756</v>
      </c>
      <c r="DD1251" s="168">
        <v>-2.5</v>
      </c>
      <c r="DE1251" s="169">
        <v>0</v>
      </c>
      <c r="DF1251" s="170">
        <v>25</v>
      </c>
    </row>
    <row r="1252" spans="20:110" hidden="1" x14ac:dyDescent="0.2">
      <c r="T1252" s="20">
        <f t="shared" si="30"/>
        <v>9392</v>
      </c>
      <c r="U1252" s="184">
        <v>93.92</v>
      </c>
      <c r="V1252" s="20">
        <v>66</v>
      </c>
      <c r="AB1252" s="165">
        <v>0</v>
      </c>
      <c r="AC1252" s="167">
        <v>72.934973637961335</v>
      </c>
      <c r="AD1252" s="168">
        <v>0.6</v>
      </c>
      <c r="AE1252" s="169">
        <v>6.2</v>
      </c>
      <c r="AF1252" s="170">
        <v>56</v>
      </c>
      <c r="AM1252" s="20">
        <f t="shared" si="33"/>
        <v>8</v>
      </c>
      <c r="AN1252" s="165">
        <v>4</v>
      </c>
      <c r="AO1252" s="167">
        <v>19.54225352112676</v>
      </c>
      <c r="AP1252" s="168">
        <v>-0.9</v>
      </c>
      <c r="AQ1252" s="169">
        <v>3.2</v>
      </c>
      <c r="AR1252" s="170">
        <v>41</v>
      </c>
      <c r="AS1252" s="20">
        <f t="shared" si="34"/>
        <v>12</v>
      </c>
      <c r="AT1252" s="165">
        <v>6</v>
      </c>
      <c r="AU1252" s="167">
        <v>0.52724077328646746</v>
      </c>
      <c r="AV1252" s="168">
        <v>-2.6</v>
      </c>
      <c r="AW1252" s="169">
        <v>-0.2</v>
      </c>
      <c r="AX1252" s="170">
        <v>24</v>
      </c>
      <c r="BK1252" s="20">
        <f t="shared" si="35"/>
        <v>79</v>
      </c>
      <c r="BL1252" s="165">
        <v>7.9</v>
      </c>
      <c r="BM1252" s="167">
        <v>0.61837455830388688</v>
      </c>
      <c r="BN1252" s="168">
        <v>-2.5</v>
      </c>
      <c r="BO1252" s="169">
        <v>0</v>
      </c>
      <c r="BP1252" s="170">
        <v>25</v>
      </c>
      <c r="BX1252" s="165">
        <v>545</v>
      </c>
      <c r="BY1252" s="167">
        <v>0.79225352112676051</v>
      </c>
      <c r="BZ1252" s="168">
        <v>-2.4</v>
      </c>
      <c r="CA1252" s="169">
        <v>0.2</v>
      </c>
      <c r="CB1252" s="170">
        <v>26</v>
      </c>
      <c r="CP1252" s="165">
        <v>359</v>
      </c>
      <c r="CQ1252" s="167">
        <v>1.0544815465729349</v>
      </c>
      <c r="CR1252" s="168">
        <v>-2.2999999999999998</v>
      </c>
      <c r="CS1252" s="169">
        <v>0.4</v>
      </c>
      <c r="CT1252" s="170">
        <v>27</v>
      </c>
      <c r="CV1252" s="144" t="s">
        <v>161</v>
      </c>
      <c r="CZ1252" s="145"/>
      <c r="DB1252" s="165">
        <v>21</v>
      </c>
      <c r="DC1252" s="167">
        <v>0.6097560975609756</v>
      </c>
      <c r="DD1252" s="168">
        <v>-2.5</v>
      </c>
      <c r="DE1252" s="169">
        <v>0</v>
      </c>
      <c r="DF1252" s="170">
        <v>25</v>
      </c>
    </row>
    <row r="1253" spans="20:110" ht="13.15" hidden="1" thickBot="1" x14ac:dyDescent="0.25">
      <c r="T1253" s="20">
        <f t="shared" si="30"/>
        <v>9503</v>
      </c>
      <c r="U1253" s="184">
        <v>95.03</v>
      </c>
      <c r="V1253" s="20">
        <v>67</v>
      </c>
      <c r="AB1253" s="165">
        <v>-1</v>
      </c>
      <c r="AC1253" s="167">
        <v>91.827768014059757</v>
      </c>
      <c r="AD1253" s="168">
        <v>1.4</v>
      </c>
      <c r="AE1253" s="169">
        <v>7.8</v>
      </c>
      <c r="AF1253" s="170">
        <v>64</v>
      </c>
      <c r="AM1253" s="20">
        <f t="shared" si="33"/>
        <v>9</v>
      </c>
      <c r="AN1253" s="165">
        <v>4.5</v>
      </c>
      <c r="AO1253" s="167">
        <v>25.264084507042256</v>
      </c>
      <c r="AP1253" s="168">
        <v>-0.7</v>
      </c>
      <c r="AQ1253" s="169">
        <v>3.6</v>
      </c>
      <c r="AR1253" s="170">
        <v>43</v>
      </c>
      <c r="AS1253" s="20">
        <f t="shared" si="34"/>
        <v>13</v>
      </c>
      <c r="AT1253" s="165">
        <v>6.5</v>
      </c>
      <c r="AU1253" s="167">
        <v>0.52724077328646746</v>
      </c>
      <c r="AV1253" s="168">
        <v>-2.6</v>
      </c>
      <c r="AW1253" s="169">
        <v>-0.2</v>
      </c>
      <c r="AX1253" s="170">
        <v>24</v>
      </c>
      <c r="BK1253" s="20">
        <f t="shared" si="35"/>
        <v>78</v>
      </c>
      <c r="BL1253" s="165">
        <v>7.8</v>
      </c>
      <c r="BM1253" s="167">
        <v>0.61837455830388688</v>
      </c>
      <c r="BN1253" s="168">
        <v>-2.5</v>
      </c>
      <c r="BO1253" s="169">
        <v>0</v>
      </c>
      <c r="BP1253" s="170">
        <v>25</v>
      </c>
      <c r="BX1253" s="165">
        <v>544</v>
      </c>
      <c r="BY1253" s="167">
        <v>0.79225352112676051</v>
      </c>
      <c r="BZ1253" s="168">
        <v>-2.4</v>
      </c>
      <c r="CA1253" s="169">
        <v>0.2</v>
      </c>
      <c r="CB1253" s="170">
        <v>26</v>
      </c>
      <c r="CP1253" s="165">
        <v>358</v>
      </c>
      <c r="CQ1253" s="167">
        <v>1.0544815465729349</v>
      </c>
      <c r="CR1253" s="168">
        <v>-2.2999999999999998</v>
      </c>
      <c r="CS1253" s="169">
        <v>0.4</v>
      </c>
      <c r="CT1253" s="170">
        <v>27</v>
      </c>
      <c r="CV1253" s="147" t="s">
        <v>250</v>
      </c>
      <c r="CW1253" s="148"/>
      <c r="CX1253" s="148"/>
      <c r="CY1253" s="148"/>
      <c r="CZ1253" s="149"/>
      <c r="DB1253" s="165">
        <v>22</v>
      </c>
      <c r="DC1253" s="167">
        <v>0.85365853658536595</v>
      </c>
      <c r="DD1253" s="168">
        <v>-2.4</v>
      </c>
      <c r="DE1253" s="169">
        <v>0.2</v>
      </c>
      <c r="DF1253" s="170">
        <v>26</v>
      </c>
    </row>
    <row r="1254" spans="20:110" ht="13.15" hidden="1" thickBot="1" x14ac:dyDescent="0.25">
      <c r="T1254" s="20">
        <f t="shared" si="30"/>
        <v>9598</v>
      </c>
      <c r="U1254" s="184">
        <v>95.974999999999994</v>
      </c>
      <c r="V1254" s="20">
        <v>68</v>
      </c>
      <c r="AB1254" s="165">
        <v>-2</v>
      </c>
      <c r="AC1254" s="167">
        <v>98.154657293497365</v>
      </c>
      <c r="AD1254" s="168">
        <v>2.1</v>
      </c>
      <c r="AE1254" s="169">
        <v>9.1999999999999993</v>
      </c>
      <c r="AF1254" s="170">
        <v>71</v>
      </c>
      <c r="AM1254" s="20">
        <f t="shared" si="33"/>
        <v>10</v>
      </c>
      <c r="AN1254" s="165">
        <v>5</v>
      </c>
      <c r="AO1254" s="167">
        <v>31.073943661971832</v>
      </c>
      <c r="AP1254" s="168">
        <v>-0.5</v>
      </c>
      <c r="AQ1254" s="169">
        <v>4</v>
      </c>
      <c r="AR1254" s="170">
        <v>45</v>
      </c>
      <c r="AS1254" s="20">
        <f t="shared" si="34"/>
        <v>14</v>
      </c>
      <c r="AT1254" s="165">
        <v>7</v>
      </c>
      <c r="AU1254" s="167">
        <v>0.7908611599297013</v>
      </c>
      <c r="AV1254" s="168">
        <v>-2.4</v>
      </c>
      <c r="AW1254" s="169">
        <v>0.2</v>
      </c>
      <c r="AX1254" s="170">
        <v>26</v>
      </c>
      <c r="BK1254" s="20">
        <f t="shared" si="35"/>
        <v>77</v>
      </c>
      <c r="BL1254" s="165">
        <v>7.7</v>
      </c>
      <c r="BM1254" s="167">
        <v>0.61837455830388688</v>
      </c>
      <c r="BN1254" s="168">
        <v>-2.5</v>
      </c>
      <c r="BO1254" s="169">
        <v>0</v>
      </c>
      <c r="BP1254" s="170">
        <v>25</v>
      </c>
      <c r="BX1254" s="165">
        <v>543</v>
      </c>
      <c r="BY1254" s="167">
        <v>0.79225352112676051</v>
      </c>
      <c r="BZ1254" s="168">
        <v>-2.4</v>
      </c>
      <c r="CA1254" s="169">
        <v>0.2</v>
      </c>
      <c r="CB1254" s="170">
        <v>26</v>
      </c>
      <c r="CP1254" s="165">
        <v>357</v>
      </c>
      <c r="CQ1254" s="167">
        <v>1.0544815465729349</v>
      </c>
      <c r="CR1254" s="168">
        <v>-2.2999999999999998</v>
      </c>
      <c r="CS1254" s="169">
        <v>0.4</v>
      </c>
      <c r="CT1254" s="170">
        <v>27</v>
      </c>
      <c r="CV1254" s="150" t="s">
        <v>164</v>
      </c>
      <c r="CW1254" s="151" t="s">
        <v>251</v>
      </c>
      <c r="CX1254" s="152"/>
      <c r="CY1254" s="152"/>
      <c r="CZ1254" s="153"/>
      <c r="DB1254" s="165">
        <v>23</v>
      </c>
      <c r="DC1254" s="167">
        <v>0.85365853658536595</v>
      </c>
      <c r="DD1254" s="168">
        <v>-2.4</v>
      </c>
      <c r="DE1254" s="169">
        <v>0.2</v>
      </c>
      <c r="DF1254" s="170">
        <v>26</v>
      </c>
    </row>
    <row r="1255" spans="20:110" ht="13.15" hidden="1" thickBot="1" x14ac:dyDescent="0.25">
      <c r="T1255" s="20">
        <f t="shared" si="30"/>
        <v>9677</v>
      </c>
      <c r="U1255" s="184">
        <v>96.77</v>
      </c>
      <c r="V1255" s="20">
        <v>69</v>
      </c>
      <c r="AB1255" s="172">
        <v>-3</v>
      </c>
      <c r="AC1255" s="173">
        <v>99.824253075571178</v>
      </c>
      <c r="AD1255" s="174">
        <v>2.9</v>
      </c>
      <c r="AE1255" s="175">
        <v>10.8</v>
      </c>
      <c r="AF1255" s="176">
        <v>79</v>
      </c>
      <c r="AM1255" s="20">
        <f t="shared" si="33"/>
        <v>11</v>
      </c>
      <c r="AN1255" s="165">
        <v>5.5</v>
      </c>
      <c r="AO1255" s="167">
        <v>38.468309859154928</v>
      </c>
      <c r="AP1255" s="168">
        <v>-0.3</v>
      </c>
      <c r="AQ1255" s="169">
        <v>4.4000000000000004</v>
      </c>
      <c r="AR1255" s="170">
        <v>47</v>
      </c>
      <c r="AS1255" s="20">
        <f t="shared" si="34"/>
        <v>15</v>
      </c>
      <c r="AT1255" s="165">
        <v>7.5</v>
      </c>
      <c r="AU1255" s="167">
        <v>0.7908611599297013</v>
      </c>
      <c r="AV1255" s="168">
        <v>-2.4</v>
      </c>
      <c r="AW1255" s="169">
        <v>0.2</v>
      </c>
      <c r="AX1255" s="170">
        <v>26</v>
      </c>
      <c r="BK1255" s="20">
        <f t="shared" si="35"/>
        <v>76</v>
      </c>
      <c r="BL1255" s="165">
        <v>7.6</v>
      </c>
      <c r="BM1255" s="167">
        <v>0.61837455830388688</v>
      </c>
      <c r="BN1255" s="168">
        <v>-2.5</v>
      </c>
      <c r="BO1255" s="169">
        <v>0</v>
      </c>
      <c r="BP1255" s="170">
        <v>25</v>
      </c>
      <c r="BX1255" s="165">
        <v>542</v>
      </c>
      <c r="BY1255" s="167">
        <v>0.79225352112676051</v>
      </c>
      <c r="BZ1255" s="168">
        <v>-2.4</v>
      </c>
      <c r="CA1255" s="169">
        <v>0.2</v>
      </c>
      <c r="CB1255" s="170">
        <v>26</v>
      </c>
      <c r="CP1255" s="165">
        <v>356</v>
      </c>
      <c r="CQ1255" s="167">
        <v>1.0544815465729349</v>
      </c>
      <c r="CR1255" s="168">
        <v>-2.2999999999999998</v>
      </c>
      <c r="CS1255" s="169">
        <v>0.4</v>
      </c>
      <c r="CT1255" s="170">
        <v>27</v>
      </c>
      <c r="CV1255" s="155" t="s">
        <v>10</v>
      </c>
      <c r="CW1255" s="158" t="s">
        <v>13</v>
      </c>
      <c r="CX1255" s="156" t="s">
        <v>14</v>
      </c>
      <c r="CY1255" s="156" t="s">
        <v>15</v>
      </c>
      <c r="CZ1255" s="159" t="s">
        <v>16</v>
      </c>
      <c r="DB1255" s="165">
        <v>24</v>
      </c>
      <c r="DC1255" s="167">
        <v>0.85365853658536595</v>
      </c>
      <c r="DD1255" s="168">
        <v>-2.4</v>
      </c>
      <c r="DE1255" s="169">
        <v>0.2</v>
      </c>
      <c r="DF1255" s="170">
        <v>26</v>
      </c>
    </row>
    <row r="1256" spans="20:110" hidden="1" x14ac:dyDescent="0.2">
      <c r="T1256" s="20">
        <f t="shared" si="30"/>
        <v>9743</v>
      </c>
      <c r="U1256" s="184">
        <v>97.424999999999997</v>
      </c>
      <c r="V1256" s="20">
        <v>70</v>
      </c>
      <c r="AM1256" s="20">
        <f t="shared" si="33"/>
        <v>12</v>
      </c>
      <c r="AN1256" s="165">
        <v>6</v>
      </c>
      <c r="AO1256" s="167">
        <v>47.975352112676056</v>
      </c>
      <c r="AP1256" s="168">
        <v>-0.1</v>
      </c>
      <c r="AQ1256" s="169">
        <v>4.8</v>
      </c>
      <c r="AR1256" s="170">
        <v>49</v>
      </c>
      <c r="AS1256" s="20">
        <f t="shared" si="34"/>
        <v>16</v>
      </c>
      <c r="AT1256" s="165">
        <v>8</v>
      </c>
      <c r="AU1256" s="167">
        <v>1.0544815465729349</v>
      </c>
      <c r="AV1256" s="168">
        <v>-2.2999999999999998</v>
      </c>
      <c r="AW1256" s="169">
        <v>0.4</v>
      </c>
      <c r="AX1256" s="170">
        <v>27</v>
      </c>
      <c r="BK1256" s="20">
        <f t="shared" si="35"/>
        <v>75</v>
      </c>
      <c r="BL1256" s="165">
        <v>7.5</v>
      </c>
      <c r="BM1256" s="167">
        <v>0.61837455830388688</v>
      </c>
      <c r="BN1256" s="168">
        <v>-2.5</v>
      </c>
      <c r="BO1256" s="169">
        <v>0</v>
      </c>
      <c r="BP1256" s="170">
        <v>25</v>
      </c>
      <c r="BX1256" s="165">
        <v>541</v>
      </c>
      <c r="BY1256" s="167">
        <v>0.79225352112676051</v>
      </c>
      <c r="BZ1256" s="168">
        <v>-2.4</v>
      </c>
      <c r="CA1256" s="169">
        <v>0.2</v>
      </c>
      <c r="CB1256" s="170">
        <v>26</v>
      </c>
      <c r="CP1256" s="165">
        <v>355</v>
      </c>
      <c r="CQ1256" s="167">
        <v>1.0544815465729349</v>
      </c>
      <c r="CR1256" s="168">
        <v>-2.2999999999999998</v>
      </c>
      <c r="CS1256" s="169">
        <v>0.4</v>
      </c>
      <c r="CT1256" s="170">
        <v>27</v>
      </c>
      <c r="CV1256" s="160">
        <v>13</v>
      </c>
      <c r="CW1256" s="161">
        <v>8.8028169014084515E-2</v>
      </c>
      <c r="CX1256" s="162">
        <v>-3</v>
      </c>
      <c r="CY1256" s="163">
        <v>-1</v>
      </c>
      <c r="CZ1256" s="164">
        <v>20</v>
      </c>
      <c r="DB1256" s="165">
        <v>25</v>
      </c>
      <c r="DC1256" s="167">
        <v>0.85365853658536595</v>
      </c>
      <c r="DD1256" s="168">
        <v>-2.4</v>
      </c>
      <c r="DE1256" s="169">
        <v>0.2</v>
      </c>
      <c r="DF1256" s="170">
        <v>26</v>
      </c>
    </row>
    <row r="1257" spans="20:110" ht="13.15" hidden="1" thickBot="1" x14ac:dyDescent="0.25">
      <c r="T1257" s="20">
        <f t="shared" si="30"/>
        <v>9797</v>
      </c>
      <c r="U1257" s="184">
        <v>97.965000000000003</v>
      </c>
      <c r="V1257" s="20">
        <v>71</v>
      </c>
      <c r="AM1257" s="20">
        <f t="shared" si="33"/>
        <v>13</v>
      </c>
      <c r="AN1257" s="165">
        <v>6.5</v>
      </c>
      <c r="AO1257" s="167">
        <v>56.25</v>
      </c>
      <c r="AP1257" s="168">
        <v>0.2</v>
      </c>
      <c r="AQ1257" s="169">
        <v>5.4</v>
      </c>
      <c r="AR1257" s="170">
        <v>52</v>
      </c>
      <c r="AS1257" s="20">
        <f t="shared" si="34"/>
        <v>17</v>
      </c>
      <c r="AT1257" s="165">
        <v>8.5</v>
      </c>
      <c r="AU1257" s="167">
        <v>1.3181019332161688</v>
      </c>
      <c r="AV1257" s="168">
        <v>-2.2000000000000002</v>
      </c>
      <c r="AW1257" s="169">
        <v>0.6</v>
      </c>
      <c r="AX1257" s="170">
        <v>28</v>
      </c>
      <c r="BK1257" s="20">
        <f t="shared" si="35"/>
        <v>74</v>
      </c>
      <c r="BL1257" s="165">
        <v>7.4</v>
      </c>
      <c r="BM1257" s="167">
        <v>0.61837455830388688</v>
      </c>
      <c r="BN1257" s="168">
        <v>-2.5</v>
      </c>
      <c r="BO1257" s="169">
        <v>0</v>
      </c>
      <c r="BP1257" s="170">
        <v>25</v>
      </c>
      <c r="BX1257" s="165">
        <v>540</v>
      </c>
      <c r="BY1257" s="167">
        <v>0.79225352112676051</v>
      </c>
      <c r="BZ1257" s="168">
        <v>-2.4</v>
      </c>
      <c r="CA1257" s="169">
        <v>0.2</v>
      </c>
      <c r="CB1257" s="170">
        <v>26</v>
      </c>
      <c r="CP1257" s="165">
        <v>354</v>
      </c>
      <c r="CQ1257" s="167">
        <v>1.0544815465729349</v>
      </c>
      <c r="CR1257" s="168">
        <v>-2.2999999999999998</v>
      </c>
      <c r="CS1257" s="169">
        <v>0.4</v>
      </c>
      <c r="CT1257" s="170">
        <v>27</v>
      </c>
      <c r="CV1257" s="165">
        <v>12</v>
      </c>
      <c r="CW1257" s="167">
        <v>0.35211267605633806</v>
      </c>
      <c r="CX1257" s="168">
        <v>-2.7</v>
      </c>
      <c r="CY1257" s="169">
        <v>-0.4</v>
      </c>
      <c r="CZ1257" s="170">
        <v>23</v>
      </c>
      <c r="DB1257" s="165">
        <v>26</v>
      </c>
      <c r="DC1257" s="167">
        <v>0.85365853658536595</v>
      </c>
      <c r="DD1257" s="168">
        <v>-2.4</v>
      </c>
      <c r="DE1257" s="169">
        <v>0.2</v>
      </c>
      <c r="DF1257" s="170">
        <v>26</v>
      </c>
    </row>
    <row r="1258" spans="20:110" ht="13.15" hidden="1" x14ac:dyDescent="0.25">
      <c r="T1258" s="20">
        <f t="shared" si="30"/>
        <v>9841</v>
      </c>
      <c r="U1258" s="184">
        <v>98.41</v>
      </c>
      <c r="V1258" s="20">
        <v>72</v>
      </c>
      <c r="AB1258" s="138" t="s">
        <v>159</v>
      </c>
      <c r="AC1258" s="139"/>
      <c r="AD1258" s="139"/>
      <c r="AE1258" s="140"/>
      <c r="AF1258" s="141" t="s">
        <v>167</v>
      </c>
      <c r="AM1258" s="20">
        <f t="shared" si="33"/>
        <v>14</v>
      </c>
      <c r="AN1258" s="165">
        <v>7</v>
      </c>
      <c r="AO1258" s="167">
        <v>62.852112676056336</v>
      </c>
      <c r="AP1258" s="168">
        <v>0.3</v>
      </c>
      <c r="AQ1258" s="169">
        <v>5.6</v>
      </c>
      <c r="AR1258" s="170">
        <v>53</v>
      </c>
      <c r="AS1258" s="20">
        <f t="shared" si="34"/>
        <v>18</v>
      </c>
      <c r="AT1258" s="165">
        <v>9</v>
      </c>
      <c r="AU1258" s="167">
        <v>1.6695957820738139</v>
      </c>
      <c r="AV1258" s="168">
        <v>-2.1</v>
      </c>
      <c r="AW1258" s="169">
        <v>0.8</v>
      </c>
      <c r="AX1258" s="170">
        <v>29</v>
      </c>
      <c r="BK1258" s="20">
        <f t="shared" si="35"/>
        <v>73</v>
      </c>
      <c r="BL1258" s="165">
        <v>7.3</v>
      </c>
      <c r="BM1258" s="167">
        <v>0.61837455830388688</v>
      </c>
      <c r="BN1258" s="168">
        <v>-2.5</v>
      </c>
      <c r="BO1258" s="169">
        <v>0</v>
      </c>
      <c r="BP1258" s="170">
        <v>25</v>
      </c>
      <c r="BX1258" s="165">
        <v>539</v>
      </c>
      <c r="BY1258" s="167">
        <v>0.79225352112676051</v>
      </c>
      <c r="BZ1258" s="168">
        <v>-2.4</v>
      </c>
      <c r="CA1258" s="169">
        <v>0.2</v>
      </c>
      <c r="CB1258" s="170">
        <v>26</v>
      </c>
      <c r="CP1258" s="165">
        <v>353</v>
      </c>
      <c r="CQ1258" s="167">
        <v>1.0544815465729349</v>
      </c>
      <c r="CR1258" s="168">
        <v>-2.2999999999999998</v>
      </c>
      <c r="CS1258" s="169">
        <v>0.4</v>
      </c>
      <c r="CT1258" s="170">
        <v>27</v>
      </c>
      <c r="CV1258" s="165">
        <v>11</v>
      </c>
      <c r="CW1258" s="167">
        <v>0.35211267605633806</v>
      </c>
      <c r="CX1258" s="168">
        <v>-2.7</v>
      </c>
      <c r="CY1258" s="169">
        <v>-0.4</v>
      </c>
      <c r="CZ1258" s="170">
        <v>23</v>
      </c>
      <c r="DB1258" s="165">
        <v>27</v>
      </c>
      <c r="DC1258" s="167">
        <v>0.85365853658536595</v>
      </c>
      <c r="DD1258" s="168">
        <v>-2.4</v>
      </c>
      <c r="DE1258" s="169">
        <v>0.2</v>
      </c>
      <c r="DF1258" s="170">
        <v>26</v>
      </c>
    </row>
    <row r="1259" spans="20:110" hidden="1" x14ac:dyDescent="0.2">
      <c r="T1259" s="20">
        <f t="shared" si="30"/>
        <v>9877</v>
      </c>
      <c r="U1259" s="184">
        <v>98.77</v>
      </c>
      <c r="V1259" s="20">
        <v>73</v>
      </c>
      <c r="AB1259" s="144" t="s">
        <v>161</v>
      </c>
      <c r="AD1259" s="20" t="s">
        <v>162</v>
      </c>
      <c r="AF1259" s="145"/>
      <c r="AM1259" s="20">
        <f t="shared" si="33"/>
        <v>15</v>
      </c>
      <c r="AN1259" s="165">
        <v>7.5</v>
      </c>
      <c r="AO1259" s="167">
        <v>70.598591549295776</v>
      </c>
      <c r="AP1259" s="168">
        <v>0.5</v>
      </c>
      <c r="AQ1259" s="169">
        <v>6</v>
      </c>
      <c r="AR1259" s="170">
        <v>55</v>
      </c>
      <c r="AS1259" s="20">
        <f t="shared" si="34"/>
        <v>19</v>
      </c>
      <c r="AT1259" s="165">
        <v>9.5</v>
      </c>
      <c r="AU1259" s="167">
        <v>2.0210896309314585</v>
      </c>
      <c r="AV1259" s="168">
        <v>-2.1</v>
      </c>
      <c r="AW1259" s="169">
        <v>0.8</v>
      </c>
      <c r="AX1259" s="170">
        <v>29</v>
      </c>
      <c r="BK1259" s="20">
        <f t="shared" si="35"/>
        <v>72</v>
      </c>
      <c r="BL1259" s="165">
        <v>7.2</v>
      </c>
      <c r="BM1259" s="167">
        <v>0.61837455830388688</v>
      </c>
      <c r="BN1259" s="168">
        <v>-2.5</v>
      </c>
      <c r="BO1259" s="169">
        <v>0</v>
      </c>
      <c r="BP1259" s="170">
        <v>25</v>
      </c>
      <c r="BX1259" s="165">
        <v>538</v>
      </c>
      <c r="BY1259" s="167">
        <v>0.79225352112676051</v>
      </c>
      <c r="BZ1259" s="168">
        <v>-2.4</v>
      </c>
      <c r="CA1259" s="169">
        <v>0.2</v>
      </c>
      <c r="CB1259" s="170">
        <v>26</v>
      </c>
      <c r="CP1259" s="165">
        <v>352</v>
      </c>
      <c r="CQ1259" s="167">
        <v>1.0544815465729349</v>
      </c>
      <c r="CR1259" s="168">
        <v>-2.2999999999999998</v>
      </c>
      <c r="CS1259" s="169">
        <v>0.4</v>
      </c>
      <c r="CT1259" s="170">
        <v>27</v>
      </c>
      <c r="CV1259" s="165">
        <v>10</v>
      </c>
      <c r="CW1259" s="167">
        <v>0.61619718309859151</v>
      </c>
      <c r="CX1259" s="168">
        <v>-2.5</v>
      </c>
      <c r="CY1259" s="169">
        <v>0</v>
      </c>
      <c r="CZ1259" s="170">
        <v>25</v>
      </c>
      <c r="DB1259" s="165">
        <v>28</v>
      </c>
      <c r="DC1259" s="167">
        <v>0.85365853658536595</v>
      </c>
      <c r="DD1259" s="168">
        <v>-2.4</v>
      </c>
      <c r="DE1259" s="169">
        <v>0.2</v>
      </c>
      <c r="DF1259" s="170">
        <v>26</v>
      </c>
    </row>
    <row r="1260" spans="20:110" ht="13.15" hidden="1" thickBot="1" x14ac:dyDescent="0.25">
      <c r="T1260" s="20">
        <f t="shared" si="30"/>
        <v>9906</v>
      </c>
      <c r="U1260" s="184">
        <v>99.055000000000007</v>
      </c>
      <c r="V1260" s="20">
        <v>74</v>
      </c>
      <c r="AB1260" s="147" t="s">
        <v>176</v>
      </c>
      <c r="AC1260" s="148"/>
      <c r="AD1260" s="148"/>
      <c r="AE1260" s="148"/>
      <c r="AF1260" s="149"/>
      <c r="AM1260" s="20">
        <f t="shared" si="33"/>
        <v>16</v>
      </c>
      <c r="AN1260" s="165">
        <v>8</v>
      </c>
      <c r="AO1260" s="167">
        <v>77.640845070422543</v>
      </c>
      <c r="AP1260" s="168">
        <v>0.8</v>
      </c>
      <c r="AQ1260" s="169">
        <v>6.6</v>
      </c>
      <c r="AR1260" s="170">
        <v>58</v>
      </c>
      <c r="AS1260" s="20">
        <f t="shared" si="34"/>
        <v>20</v>
      </c>
      <c r="AT1260" s="165">
        <v>10</v>
      </c>
      <c r="AU1260" s="167">
        <v>2.4604569420035149</v>
      </c>
      <c r="AV1260" s="168">
        <v>-2</v>
      </c>
      <c r="AW1260" s="169">
        <v>1</v>
      </c>
      <c r="AX1260" s="170">
        <v>30</v>
      </c>
      <c r="BK1260" s="20">
        <f t="shared" si="35"/>
        <v>71</v>
      </c>
      <c r="BL1260" s="165">
        <v>7.1</v>
      </c>
      <c r="BM1260" s="167">
        <v>0.61837455830388688</v>
      </c>
      <c r="BN1260" s="168">
        <v>-2.5</v>
      </c>
      <c r="BO1260" s="169">
        <v>0</v>
      </c>
      <c r="BP1260" s="170">
        <v>25</v>
      </c>
      <c r="BX1260" s="165">
        <v>537</v>
      </c>
      <c r="BY1260" s="167">
        <v>0.79225352112676051</v>
      </c>
      <c r="BZ1260" s="168">
        <v>-2.4</v>
      </c>
      <c r="CA1260" s="169">
        <v>0.2</v>
      </c>
      <c r="CB1260" s="170">
        <v>26</v>
      </c>
      <c r="CP1260" s="165">
        <v>351</v>
      </c>
      <c r="CQ1260" s="167">
        <v>1.0544815465729349</v>
      </c>
      <c r="CR1260" s="168">
        <v>-2.2999999999999998</v>
      </c>
      <c r="CS1260" s="169">
        <v>0.4</v>
      </c>
      <c r="CT1260" s="170">
        <v>27</v>
      </c>
      <c r="CV1260" s="165">
        <v>9</v>
      </c>
      <c r="CW1260" s="167">
        <v>0.79225352112676051</v>
      </c>
      <c r="CX1260" s="168">
        <v>-2.4</v>
      </c>
      <c r="CY1260" s="169">
        <v>0.2</v>
      </c>
      <c r="CZ1260" s="170">
        <v>26</v>
      </c>
      <c r="DB1260" s="165">
        <v>29</v>
      </c>
      <c r="DC1260" s="167">
        <v>0.85365853658536595</v>
      </c>
      <c r="DD1260" s="168">
        <v>-2.4</v>
      </c>
      <c r="DE1260" s="169">
        <v>0.2</v>
      </c>
      <c r="DF1260" s="170">
        <v>26</v>
      </c>
    </row>
    <row r="1261" spans="20:110" ht="13.15" hidden="1" thickBot="1" x14ac:dyDescent="0.25">
      <c r="T1261" s="20">
        <f t="shared" si="30"/>
        <v>9928</v>
      </c>
      <c r="U1261" s="184">
        <v>99.28</v>
      </c>
      <c r="V1261" s="20">
        <v>75</v>
      </c>
      <c r="AB1261" s="150" t="s">
        <v>164</v>
      </c>
      <c r="AC1261" s="151" t="s">
        <v>32</v>
      </c>
      <c r="AD1261" s="152"/>
      <c r="AE1261" s="152"/>
      <c r="AF1261" s="153"/>
      <c r="AM1261" s="20">
        <f t="shared" si="33"/>
        <v>17</v>
      </c>
      <c r="AN1261" s="165">
        <v>8.5</v>
      </c>
      <c r="AO1261" s="167">
        <v>83.362676056338032</v>
      </c>
      <c r="AP1261" s="168">
        <v>1</v>
      </c>
      <c r="AQ1261" s="169">
        <v>7</v>
      </c>
      <c r="AR1261" s="170">
        <v>60</v>
      </c>
      <c r="AS1261" s="20">
        <f t="shared" si="34"/>
        <v>21</v>
      </c>
      <c r="AT1261" s="165">
        <v>10.5</v>
      </c>
      <c r="AU1261" s="167">
        <v>2.8998242530755709</v>
      </c>
      <c r="AV1261" s="168">
        <v>-1.9</v>
      </c>
      <c r="AW1261" s="169">
        <v>1.2</v>
      </c>
      <c r="AX1261" s="170">
        <v>31</v>
      </c>
      <c r="BK1261" s="20">
        <f t="shared" si="35"/>
        <v>70</v>
      </c>
      <c r="BL1261" s="165">
        <v>7</v>
      </c>
      <c r="BM1261" s="167">
        <v>0.61837455830388688</v>
      </c>
      <c r="BN1261" s="168">
        <v>-2.5</v>
      </c>
      <c r="BO1261" s="169">
        <v>0</v>
      </c>
      <c r="BP1261" s="170">
        <v>25</v>
      </c>
      <c r="BX1261" s="165">
        <v>536</v>
      </c>
      <c r="BY1261" s="167">
        <v>0.79225352112676051</v>
      </c>
      <c r="BZ1261" s="168">
        <v>-2.4</v>
      </c>
      <c r="CA1261" s="169">
        <v>0.2</v>
      </c>
      <c r="CB1261" s="170">
        <v>26</v>
      </c>
      <c r="CP1261" s="165">
        <v>350</v>
      </c>
      <c r="CQ1261" s="167">
        <v>1.0544815465729349</v>
      </c>
      <c r="CR1261" s="168">
        <v>-2.2999999999999998</v>
      </c>
      <c r="CS1261" s="169">
        <v>0.4</v>
      </c>
      <c r="CT1261" s="170">
        <v>27</v>
      </c>
      <c r="CV1261" s="165">
        <v>8</v>
      </c>
      <c r="CW1261" s="167">
        <v>1.056338028169014</v>
      </c>
      <c r="CX1261" s="168">
        <v>-2.2999999999999998</v>
      </c>
      <c r="CY1261" s="169">
        <v>0.4</v>
      </c>
      <c r="CZ1261" s="170">
        <v>27</v>
      </c>
      <c r="DB1261" s="165">
        <v>30</v>
      </c>
      <c r="DC1261" s="167">
        <v>1.2195121951219512</v>
      </c>
      <c r="DD1261" s="168">
        <v>-2.2999999999999998</v>
      </c>
      <c r="DE1261" s="169">
        <v>0.4</v>
      </c>
      <c r="DF1261" s="170">
        <v>27</v>
      </c>
    </row>
    <row r="1262" spans="20:110" ht="13.15" hidden="1" thickBot="1" x14ac:dyDescent="0.25">
      <c r="T1262" s="20">
        <f t="shared" si="30"/>
        <v>9946</v>
      </c>
      <c r="U1262" s="184">
        <v>99.454999999999998</v>
      </c>
      <c r="V1262" s="20">
        <v>76</v>
      </c>
      <c r="AB1262" s="155" t="s">
        <v>10</v>
      </c>
      <c r="AC1262" s="158" t="s">
        <v>13</v>
      </c>
      <c r="AD1262" s="156" t="s">
        <v>14</v>
      </c>
      <c r="AE1262" s="156" t="s">
        <v>15</v>
      </c>
      <c r="AF1262" s="159" t="s">
        <v>16</v>
      </c>
      <c r="AM1262" s="20">
        <f t="shared" si="33"/>
        <v>18</v>
      </c>
      <c r="AN1262" s="165">
        <v>9</v>
      </c>
      <c r="AO1262" s="167">
        <v>87.940140845070431</v>
      </c>
      <c r="AP1262" s="168">
        <v>1.2</v>
      </c>
      <c r="AQ1262" s="169">
        <v>7.4</v>
      </c>
      <c r="AR1262" s="170">
        <v>62</v>
      </c>
      <c r="AS1262" s="20">
        <f t="shared" si="34"/>
        <v>22</v>
      </c>
      <c r="AT1262" s="165">
        <v>11</v>
      </c>
      <c r="AU1262" s="167">
        <v>2.8998242530755709</v>
      </c>
      <c r="AV1262" s="168">
        <v>-1.9</v>
      </c>
      <c r="AW1262" s="169">
        <v>1.2</v>
      </c>
      <c r="AX1262" s="170">
        <v>31</v>
      </c>
      <c r="BK1262" s="20">
        <f t="shared" si="35"/>
        <v>69</v>
      </c>
      <c r="BL1262" s="165">
        <v>6.9</v>
      </c>
      <c r="BM1262" s="167">
        <v>1.3250883392226149</v>
      </c>
      <c r="BN1262" s="168">
        <v>-2.2000000000000002</v>
      </c>
      <c r="BO1262" s="169">
        <v>0.6</v>
      </c>
      <c r="BP1262" s="170">
        <v>28</v>
      </c>
      <c r="BX1262" s="165">
        <v>535</v>
      </c>
      <c r="BY1262" s="167">
        <v>0.79225352112676051</v>
      </c>
      <c r="BZ1262" s="168">
        <v>-2.4</v>
      </c>
      <c r="CA1262" s="169">
        <v>0.2</v>
      </c>
      <c r="CB1262" s="170">
        <v>26</v>
      </c>
      <c r="CP1262" s="165">
        <v>349</v>
      </c>
      <c r="CQ1262" s="167">
        <v>1.0544815465729349</v>
      </c>
      <c r="CR1262" s="168">
        <v>-2.2999999999999998</v>
      </c>
      <c r="CS1262" s="169">
        <v>0.4</v>
      </c>
      <c r="CT1262" s="170">
        <v>27</v>
      </c>
      <c r="CV1262" s="165">
        <v>7</v>
      </c>
      <c r="CW1262" s="167">
        <v>1.4084507042253522</v>
      </c>
      <c r="CX1262" s="168">
        <v>-2.2000000000000002</v>
      </c>
      <c r="CY1262" s="169">
        <v>0.6</v>
      </c>
      <c r="CZ1262" s="170">
        <v>28</v>
      </c>
      <c r="DB1262" s="165">
        <v>31</v>
      </c>
      <c r="DC1262" s="167">
        <v>1.2195121951219512</v>
      </c>
      <c r="DD1262" s="168">
        <v>-2.2999999999999998</v>
      </c>
      <c r="DE1262" s="169">
        <v>0.4</v>
      </c>
      <c r="DF1262" s="170">
        <v>27</v>
      </c>
    </row>
    <row r="1263" spans="20:110" hidden="1" x14ac:dyDescent="0.2">
      <c r="T1263" s="20">
        <f t="shared" si="30"/>
        <v>9959</v>
      </c>
      <c r="U1263" s="184">
        <v>99.59</v>
      </c>
      <c r="V1263" s="20">
        <v>77</v>
      </c>
      <c r="AB1263" s="165">
        <v>8</v>
      </c>
      <c r="AC1263" s="167">
        <v>0.2640845070422535</v>
      </c>
      <c r="AD1263" s="168">
        <v>-2.8</v>
      </c>
      <c r="AE1263" s="169">
        <v>-0.6</v>
      </c>
      <c r="AF1263" s="170">
        <v>22</v>
      </c>
      <c r="AM1263" s="20">
        <f t="shared" si="33"/>
        <v>19</v>
      </c>
      <c r="AN1263" s="165">
        <v>9.5</v>
      </c>
      <c r="AO1263" s="167">
        <v>92.077464788732399</v>
      </c>
      <c r="AP1263" s="168">
        <v>1.4</v>
      </c>
      <c r="AQ1263" s="169">
        <v>7.8</v>
      </c>
      <c r="AR1263" s="170">
        <v>64</v>
      </c>
      <c r="AS1263" s="20">
        <f t="shared" si="34"/>
        <v>23</v>
      </c>
      <c r="AT1263" s="165">
        <v>11.5</v>
      </c>
      <c r="AU1263" s="167">
        <v>3.6028119507908607</v>
      </c>
      <c r="AV1263" s="168">
        <v>-1.8</v>
      </c>
      <c r="AW1263" s="169">
        <v>1.4</v>
      </c>
      <c r="AX1263" s="170">
        <v>32</v>
      </c>
      <c r="BK1263" s="20">
        <f t="shared" si="35"/>
        <v>68</v>
      </c>
      <c r="BL1263" s="165">
        <v>6.8</v>
      </c>
      <c r="BM1263" s="167">
        <v>1.3250883392226149</v>
      </c>
      <c r="BN1263" s="168">
        <v>-2.2000000000000002</v>
      </c>
      <c r="BO1263" s="169">
        <v>0.6</v>
      </c>
      <c r="BP1263" s="170">
        <v>28</v>
      </c>
      <c r="BX1263" s="165">
        <v>534</v>
      </c>
      <c r="BY1263" s="167">
        <v>0.79225352112676051</v>
      </c>
      <c r="BZ1263" s="168">
        <v>-2.4</v>
      </c>
      <c r="CA1263" s="169">
        <v>0.2</v>
      </c>
      <c r="CB1263" s="170">
        <v>26</v>
      </c>
      <c r="CP1263" s="165">
        <v>348</v>
      </c>
      <c r="CQ1263" s="167">
        <v>1.0544815465729349</v>
      </c>
      <c r="CR1263" s="168">
        <v>-2.2999999999999998</v>
      </c>
      <c r="CS1263" s="169">
        <v>0.4</v>
      </c>
      <c r="CT1263" s="170">
        <v>27</v>
      </c>
      <c r="CV1263" s="165">
        <v>6</v>
      </c>
      <c r="CW1263" s="167">
        <v>2.2887323943661975</v>
      </c>
      <c r="CX1263" s="168">
        <v>-2</v>
      </c>
      <c r="CY1263" s="169">
        <v>1</v>
      </c>
      <c r="CZ1263" s="170">
        <v>30</v>
      </c>
      <c r="DB1263" s="165">
        <v>32</v>
      </c>
      <c r="DC1263" s="167">
        <v>1.5853658536585367</v>
      </c>
      <c r="DD1263" s="168">
        <v>-2.2000000000000002</v>
      </c>
      <c r="DE1263" s="169">
        <v>0.6</v>
      </c>
      <c r="DF1263" s="170">
        <v>28</v>
      </c>
    </row>
    <row r="1264" spans="20:110" hidden="1" x14ac:dyDescent="0.2">
      <c r="T1264" s="20">
        <f t="shared" si="30"/>
        <v>9970</v>
      </c>
      <c r="U1264" s="184">
        <v>99.694999999999993</v>
      </c>
      <c r="V1264" s="20">
        <v>78</v>
      </c>
      <c r="AB1264" s="165">
        <v>7</v>
      </c>
      <c r="AC1264" s="167">
        <v>0.70422535211267612</v>
      </c>
      <c r="AD1264" s="168">
        <v>-2.5</v>
      </c>
      <c r="AE1264" s="169">
        <v>0</v>
      </c>
      <c r="AF1264" s="170">
        <v>25</v>
      </c>
      <c r="AM1264" s="20">
        <f t="shared" si="33"/>
        <v>20</v>
      </c>
      <c r="AN1264" s="165">
        <v>10</v>
      </c>
      <c r="AO1264" s="167">
        <v>94.718309859154928</v>
      </c>
      <c r="AP1264" s="168">
        <v>1.6</v>
      </c>
      <c r="AQ1264" s="169">
        <v>8.1999999999999993</v>
      </c>
      <c r="AR1264" s="170">
        <v>66</v>
      </c>
      <c r="AS1264" s="20">
        <f t="shared" si="34"/>
        <v>24</v>
      </c>
      <c r="AT1264" s="165">
        <v>12</v>
      </c>
      <c r="AU1264" s="167">
        <v>4.6572934973637956</v>
      </c>
      <c r="AV1264" s="168">
        <v>-1.7</v>
      </c>
      <c r="AW1264" s="169">
        <v>1.6</v>
      </c>
      <c r="AX1264" s="170">
        <v>33</v>
      </c>
      <c r="BK1264" s="20">
        <f t="shared" si="35"/>
        <v>67</v>
      </c>
      <c r="BL1264" s="165">
        <v>6.7</v>
      </c>
      <c r="BM1264" s="167">
        <v>1.3250883392226149</v>
      </c>
      <c r="BN1264" s="168">
        <v>-2.2000000000000002</v>
      </c>
      <c r="BO1264" s="169">
        <v>0.6</v>
      </c>
      <c r="BP1264" s="170">
        <v>28</v>
      </c>
      <c r="BX1264" s="165">
        <v>533</v>
      </c>
      <c r="BY1264" s="167">
        <v>0.79225352112676051</v>
      </c>
      <c r="BZ1264" s="168">
        <v>-2.4</v>
      </c>
      <c r="CA1264" s="169">
        <v>0.2</v>
      </c>
      <c r="CB1264" s="170">
        <v>26</v>
      </c>
      <c r="CP1264" s="165">
        <v>347</v>
      </c>
      <c r="CQ1264" s="167">
        <v>1.0544815465729349</v>
      </c>
      <c r="CR1264" s="168">
        <v>-2.2999999999999998</v>
      </c>
      <c r="CS1264" s="169">
        <v>0.4</v>
      </c>
      <c r="CT1264" s="170">
        <v>27</v>
      </c>
      <c r="CV1264" s="165">
        <v>5</v>
      </c>
      <c r="CW1264" s="167">
        <v>3.7852112676056335</v>
      </c>
      <c r="CX1264" s="168">
        <v>-1.8</v>
      </c>
      <c r="CY1264" s="169">
        <v>1.4</v>
      </c>
      <c r="CZ1264" s="170">
        <v>32</v>
      </c>
      <c r="DB1264" s="165">
        <v>33</v>
      </c>
      <c r="DC1264" s="167">
        <v>1.5853658536585367</v>
      </c>
      <c r="DD1264" s="168">
        <v>-2.2000000000000002</v>
      </c>
      <c r="DE1264" s="169">
        <v>0.6</v>
      </c>
      <c r="DF1264" s="170">
        <v>28</v>
      </c>
    </row>
    <row r="1265" spans="20:110" hidden="1" x14ac:dyDescent="0.2">
      <c r="T1265" s="20">
        <f t="shared" si="30"/>
        <v>9978</v>
      </c>
      <c r="U1265" s="184">
        <v>99.775000000000006</v>
      </c>
      <c r="V1265" s="20">
        <v>79</v>
      </c>
      <c r="AB1265" s="165">
        <v>6</v>
      </c>
      <c r="AC1265" s="167">
        <v>1.4084507042253522</v>
      </c>
      <c r="AD1265" s="168">
        <v>-2.2000000000000002</v>
      </c>
      <c r="AE1265" s="169">
        <v>0.6</v>
      </c>
      <c r="AF1265" s="170">
        <v>28</v>
      </c>
      <c r="AM1265" s="20">
        <f t="shared" si="33"/>
        <v>21</v>
      </c>
      <c r="AN1265" s="165">
        <v>10.5</v>
      </c>
      <c r="AO1265" s="167">
        <v>97.007042253521121</v>
      </c>
      <c r="AP1265" s="168">
        <v>1.9</v>
      </c>
      <c r="AQ1265" s="169">
        <v>8.8000000000000007</v>
      </c>
      <c r="AR1265" s="170">
        <v>69</v>
      </c>
      <c r="AS1265" s="20">
        <f t="shared" si="34"/>
        <v>25</v>
      </c>
      <c r="AT1265" s="165">
        <v>12.5</v>
      </c>
      <c r="AU1265" s="167">
        <v>5.3602811950790858</v>
      </c>
      <c r="AV1265" s="168">
        <v>-1.6</v>
      </c>
      <c r="AW1265" s="169">
        <v>1.8</v>
      </c>
      <c r="AX1265" s="170">
        <v>34</v>
      </c>
      <c r="BK1265" s="20">
        <f t="shared" si="35"/>
        <v>66</v>
      </c>
      <c r="BL1265" s="165">
        <v>6.6</v>
      </c>
      <c r="BM1265" s="167">
        <v>1.3250883392226149</v>
      </c>
      <c r="BN1265" s="168">
        <v>-2.2000000000000002</v>
      </c>
      <c r="BO1265" s="169">
        <v>0.6</v>
      </c>
      <c r="BP1265" s="170">
        <v>28</v>
      </c>
      <c r="BX1265" s="165">
        <v>532</v>
      </c>
      <c r="BY1265" s="167">
        <v>0.79225352112676051</v>
      </c>
      <c r="BZ1265" s="168">
        <v>-2.4</v>
      </c>
      <c r="CA1265" s="169">
        <v>0.2</v>
      </c>
      <c r="CB1265" s="170">
        <v>26</v>
      </c>
      <c r="CP1265" s="165">
        <v>346</v>
      </c>
      <c r="CQ1265" s="167">
        <v>1.0544815465729349</v>
      </c>
      <c r="CR1265" s="168">
        <v>-2.2999999999999998</v>
      </c>
      <c r="CS1265" s="169">
        <v>0.4</v>
      </c>
      <c r="CT1265" s="170">
        <v>27</v>
      </c>
      <c r="CV1265" s="165">
        <v>4</v>
      </c>
      <c r="CW1265" s="167">
        <v>6.073943661971831</v>
      </c>
      <c r="CX1265" s="168">
        <v>-1.6</v>
      </c>
      <c r="CY1265" s="169">
        <v>1.8</v>
      </c>
      <c r="CZ1265" s="170">
        <v>34</v>
      </c>
      <c r="DB1265" s="165">
        <v>34</v>
      </c>
      <c r="DC1265" s="167">
        <v>1.5853658536585367</v>
      </c>
      <c r="DD1265" s="168">
        <v>-2.2000000000000002</v>
      </c>
      <c r="DE1265" s="169">
        <v>0.6</v>
      </c>
      <c r="DF1265" s="170">
        <v>28</v>
      </c>
    </row>
    <row r="1266" spans="20:110" hidden="1" x14ac:dyDescent="0.2">
      <c r="T1266" s="20">
        <f t="shared" si="30"/>
        <v>9984</v>
      </c>
      <c r="U1266" s="184">
        <v>99.84</v>
      </c>
      <c r="V1266" s="20">
        <v>80</v>
      </c>
      <c r="AB1266" s="165">
        <v>5</v>
      </c>
      <c r="AC1266" s="167">
        <v>3.080985915492958</v>
      </c>
      <c r="AD1266" s="168">
        <v>-1.9</v>
      </c>
      <c r="AE1266" s="169">
        <v>1.2</v>
      </c>
      <c r="AF1266" s="170">
        <v>31</v>
      </c>
      <c r="AM1266" s="20">
        <f t="shared" si="33"/>
        <v>22</v>
      </c>
      <c r="AN1266" s="165">
        <v>11</v>
      </c>
      <c r="AO1266" s="167">
        <v>97.975352112676063</v>
      </c>
      <c r="AP1266" s="168">
        <v>2.1</v>
      </c>
      <c r="AQ1266" s="169">
        <v>9.1999999999999993</v>
      </c>
      <c r="AR1266" s="170">
        <v>71</v>
      </c>
      <c r="AS1266" s="20">
        <f t="shared" si="34"/>
        <v>26</v>
      </c>
      <c r="AT1266" s="165">
        <v>13</v>
      </c>
      <c r="AU1266" s="167">
        <v>6.0632688927943761</v>
      </c>
      <c r="AV1266" s="168">
        <v>-1.6</v>
      </c>
      <c r="AW1266" s="169">
        <v>1.8</v>
      </c>
      <c r="AX1266" s="170">
        <v>34</v>
      </c>
      <c r="BK1266" s="20">
        <f t="shared" si="35"/>
        <v>65</v>
      </c>
      <c r="BL1266" s="165">
        <v>6.5</v>
      </c>
      <c r="BM1266" s="167">
        <v>1.3250883392226149</v>
      </c>
      <c r="BN1266" s="168">
        <v>-2.2000000000000002</v>
      </c>
      <c r="BO1266" s="169">
        <v>0.6</v>
      </c>
      <c r="BP1266" s="170">
        <v>28</v>
      </c>
      <c r="BX1266" s="165">
        <v>531</v>
      </c>
      <c r="BY1266" s="167">
        <v>0.79225352112676051</v>
      </c>
      <c r="BZ1266" s="168">
        <v>-2.4</v>
      </c>
      <c r="CA1266" s="169">
        <v>0.2</v>
      </c>
      <c r="CB1266" s="170">
        <v>26</v>
      </c>
      <c r="CP1266" s="165">
        <v>345</v>
      </c>
      <c r="CQ1266" s="167">
        <v>1.0544815465729349</v>
      </c>
      <c r="CR1266" s="168">
        <v>-2.2999999999999998</v>
      </c>
      <c r="CS1266" s="169">
        <v>0.4</v>
      </c>
      <c r="CT1266" s="170">
        <v>27</v>
      </c>
      <c r="CV1266" s="165">
        <v>3</v>
      </c>
      <c r="CW1266" s="167">
        <v>10.211267605633804</v>
      </c>
      <c r="CX1266" s="168">
        <v>-1.3</v>
      </c>
      <c r="CY1266" s="169">
        <v>2.4</v>
      </c>
      <c r="CZ1266" s="170">
        <v>37</v>
      </c>
      <c r="DB1266" s="165">
        <v>35</v>
      </c>
      <c r="DC1266" s="167">
        <v>1.5853658536585367</v>
      </c>
      <c r="DD1266" s="168">
        <v>-2.2000000000000002</v>
      </c>
      <c r="DE1266" s="169">
        <v>0.6</v>
      </c>
      <c r="DF1266" s="170">
        <v>28</v>
      </c>
    </row>
    <row r="1267" spans="20:110" hidden="1" x14ac:dyDescent="0.2">
      <c r="T1267" s="20">
        <f t="shared" si="30"/>
        <v>10000</v>
      </c>
      <c r="U1267" s="184">
        <v>100</v>
      </c>
      <c r="V1267" s="20">
        <v>80</v>
      </c>
      <c r="AB1267" s="165">
        <v>4</v>
      </c>
      <c r="AC1267" s="167">
        <v>7.21830985915493</v>
      </c>
      <c r="AD1267" s="168">
        <v>-1.5</v>
      </c>
      <c r="AE1267" s="169">
        <v>2</v>
      </c>
      <c r="AF1267" s="170">
        <v>35</v>
      </c>
      <c r="AM1267" s="20">
        <f t="shared" si="33"/>
        <v>23</v>
      </c>
      <c r="AN1267" s="165">
        <v>11.5</v>
      </c>
      <c r="AO1267" s="167">
        <v>99.031690140845072</v>
      </c>
      <c r="AP1267" s="168">
        <v>2.2999999999999998</v>
      </c>
      <c r="AQ1267" s="169">
        <v>9.6</v>
      </c>
      <c r="AR1267" s="170">
        <v>73</v>
      </c>
      <c r="AS1267" s="20">
        <f t="shared" si="34"/>
        <v>27</v>
      </c>
      <c r="AT1267" s="165">
        <v>13.5</v>
      </c>
      <c r="AU1267" s="167">
        <v>6.6783831282952555</v>
      </c>
      <c r="AV1267" s="168">
        <v>-1.5</v>
      </c>
      <c r="AW1267" s="169">
        <v>2</v>
      </c>
      <c r="AX1267" s="170">
        <v>35</v>
      </c>
      <c r="BK1267" s="20">
        <f t="shared" si="35"/>
        <v>64</v>
      </c>
      <c r="BL1267" s="165">
        <v>6.4</v>
      </c>
      <c r="BM1267" s="167">
        <v>1.7667844522968199</v>
      </c>
      <c r="BN1267" s="168">
        <v>-2.1</v>
      </c>
      <c r="BO1267" s="169">
        <v>0.8</v>
      </c>
      <c r="BP1267" s="170">
        <v>29</v>
      </c>
      <c r="BX1267" s="165">
        <v>530</v>
      </c>
      <c r="BY1267" s="167">
        <v>0.79225352112676051</v>
      </c>
      <c r="BZ1267" s="168">
        <v>-2.4</v>
      </c>
      <c r="CA1267" s="169">
        <v>0.2</v>
      </c>
      <c r="CB1267" s="170">
        <v>26</v>
      </c>
      <c r="CP1267" s="165">
        <v>344</v>
      </c>
      <c r="CQ1267" s="167">
        <v>1.0544815465729349</v>
      </c>
      <c r="CR1267" s="168">
        <v>-2.2999999999999998</v>
      </c>
      <c r="CS1267" s="169">
        <v>0.4</v>
      </c>
      <c r="CT1267" s="170">
        <v>27</v>
      </c>
      <c r="CV1267" s="165">
        <v>2</v>
      </c>
      <c r="CW1267" s="167">
        <v>19.8943661971831</v>
      </c>
      <c r="CX1267" s="168">
        <v>-0.8</v>
      </c>
      <c r="CY1267" s="169">
        <v>3.4</v>
      </c>
      <c r="CZ1267" s="170">
        <v>42</v>
      </c>
      <c r="DB1267" s="165">
        <v>36</v>
      </c>
      <c r="DC1267" s="167">
        <v>1.5853658536585367</v>
      </c>
      <c r="DD1267" s="168">
        <v>-2.2000000000000002</v>
      </c>
      <c r="DE1267" s="169">
        <v>0.6</v>
      </c>
      <c r="DF1267" s="170">
        <v>28</v>
      </c>
    </row>
    <row r="1268" spans="20:110" hidden="1" x14ac:dyDescent="0.2">
      <c r="AB1268" s="165">
        <v>3</v>
      </c>
      <c r="AC1268" s="167">
        <v>16.109154929577464</v>
      </c>
      <c r="AD1268" s="168">
        <v>-1</v>
      </c>
      <c r="AE1268" s="169">
        <v>3</v>
      </c>
      <c r="AF1268" s="170">
        <v>40</v>
      </c>
      <c r="AM1268" s="20">
        <f t="shared" si="33"/>
        <v>24</v>
      </c>
      <c r="AN1268" s="165">
        <v>12</v>
      </c>
      <c r="AO1268" s="167">
        <v>99.031690140845072</v>
      </c>
      <c r="AP1268" s="168">
        <v>2.2999999999999998</v>
      </c>
      <c r="AQ1268" s="169">
        <v>9.6</v>
      </c>
      <c r="AR1268" s="170">
        <v>73</v>
      </c>
      <c r="AS1268" s="20">
        <f t="shared" si="34"/>
        <v>28</v>
      </c>
      <c r="AT1268" s="165">
        <v>14</v>
      </c>
      <c r="AU1268" s="167">
        <v>8.6994727592267136</v>
      </c>
      <c r="AV1268" s="168">
        <v>-1.4</v>
      </c>
      <c r="AW1268" s="169">
        <v>2.2000000000000002</v>
      </c>
      <c r="AX1268" s="170">
        <v>36</v>
      </c>
      <c r="BK1268" s="20">
        <f t="shared" si="35"/>
        <v>63</v>
      </c>
      <c r="BL1268" s="165">
        <v>6.3</v>
      </c>
      <c r="BM1268" s="167">
        <v>1.7667844522968199</v>
      </c>
      <c r="BN1268" s="168">
        <v>-2.1</v>
      </c>
      <c r="BO1268" s="169">
        <v>0.8</v>
      </c>
      <c r="BP1268" s="170">
        <v>29</v>
      </c>
      <c r="BX1268" s="165">
        <v>529</v>
      </c>
      <c r="BY1268" s="167">
        <v>0.79225352112676051</v>
      </c>
      <c r="BZ1268" s="168">
        <v>-2.4</v>
      </c>
      <c r="CA1268" s="169">
        <v>0.2</v>
      </c>
      <c r="CB1268" s="170">
        <v>26</v>
      </c>
      <c r="CP1268" s="165">
        <v>343</v>
      </c>
      <c r="CQ1268" s="167">
        <v>1.0544815465729349</v>
      </c>
      <c r="CR1268" s="168">
        <v>-2.2999999999999998</v>
      </c>
      <c r="CS1268" s="169">
        <v>0.4</v>
      </c>
      <c r="CT1268" s="170">
        <v>27</v>
      </c>
      <c r="CV1268" s="165">
        <v>1</v>
      </c>
      <c r="CW1268" s="167">
        <v>40.933098591549296</v>
      </c>
      <c r="CX1268" s="168">
        <v>-0.2</v>
      </c>
      <c r="CY1268" s="169">
        <v>4.5999999999999996</v>
      </c>
      <c r="CZ1268" s="170">
        <v>48</v>
      </c>
      <c r="DB1268" s="165">
        <v>37</v>
      </c>
      <c r="DC1268" s="167">
        <v>1.8292682926829267</v>
      </c>
      <c r="DD1268" s="168">
        <v>-2.1</v>
      </c>
      <c r="DE1268" s="169">
        <v>0.8</v>
      </c>
      <c r="DF1268" s="170">
        <v>29</v>
      </c>
    </row>
    <row r="1269" spans="20:110" ht="13.15" hidden="1" thickBot="1" x14ac:dyDescent="0.25">
      <c r="AB1269" s="165">
        <v>2</v>
      </c>
      <c r="AC1269" s="167">
        <v>29.577464788732392</v>
      </c>
      <c r="AD1269" s="168">
        <v>-0.5</v>
      </c>
      <c r="AE1269" s="169">
        <v>4</v>
      </c>
      <c r="AF1269" s="170">
        <v>45</v>
      </c>
      <c r="AM1269" s="20">
        <f t="shared" si="33"/>
        <v>25</v>
      </c>
      <c r="AN1269" s="165">
        <v>12.5</v>
      </c>
      <c r="AO1269" s="167">
        <v>99.383802816901408</v>
      </c>
      <c r="AP1269" s="168">
        <v>2.5</v>
      </c>
      <c r="AQ1269" s="169">
        <v>10</v>
      </c>
      <c r="AR1269" s="170">
        <v>75</v>
      </c>
      <c r="AS1269" s="20">
        <f t="shared" si="34"/>
        <v>29</v>
      </c>
      <c r="AT1269" s="165">
        <v>14.5</v>
      </c>
      <c r="AU1269" s="167">
        <v>10.984182776801406</v>
      </c>
      <c r="AV1269" s="168">
        <v>-1.2</v>
      </c>
      <c r="AW1269" s="169">
        <v>2.6</v>
      </c>
      <c r="AX1269" s="170">
        <v>38</v>
      </c>
      <c r="BK1269" s="20">
        <f t="shared" si="35"/>
        <v>62</v>
      </c>
      <c r="BL1269" s="165">
        <v>6.2</v>
      </c>
      <c r="BM1269" s="167">
        <v>1.7667844522968199</v>
      </c>
      <c r="BN1269" s="168">
        <v>-2.1</v>
      </c>
      <c r="BO1269" s="169">
        <v>0.8</v>
      </c>
      <c r="BP1269" s="170">
        <v>29</v>
      </c>
      <c r="BX1269" s="165">
        <v>528</v>
      </c>
      <c r="BY1269" s="167">
        <v>0.79225352112676051</v>
      </c>
      <c r="BZ1269" s="168">
        <v>-2.4</v>
      </c>
      <c r="CA1269" s="169">
        <v>0.2</v>
      </c>
      <c r="CB1269" s="170">
        <v>26</v>
      </c>
      <c r="CP1269" s="165">
        <v>342</v>
      </c>
      <c r="CQ1269" s="167">
        <v>1.0544815465729349</v>
      </c>
      <c r="CR1269" s="168">
        <v>-2.2999999999999998</v>
      </c>
      <c r="CS1269" s="169">
        <v>0.4</v>
      </c>
      <c r="CT1269" s="170">
        <v>27</v>
      </c>
      <c r="CV1269" s="172">
        <v>0</v>
      </c>
      <c r="CW1269" s="173">
        <v>77.464788732394368</v>
      </c>
      <c r="CX1269" s="174">
        <v>0.8</v>
      </c>
      <c r="CY1269" s="175">
        <v>6.6</v>
      </c>
      <c r="CZ1269" s="176">
        <v>58</v>
      </c>
      <c r="DB1269" s="165">
        <v>38</v>
      </c>
      <c r="DC1269" s="167">
        <v>1.8292682926829267</v>
      </c>
      <c r="DD1269" s="168">
        <v>-2.1</v>
      </c>
      <c r="DE1269" s="169">
        <v>0.8</v>
      </c>
      <c r="DF1269" s="170">
        <v>29</v>
      </c>
    </row>
    <row r="1270" spans="20:110" ht="13.15" hidden="1" thickBot="1" x14ac:dyDescent="0.25">
      <c r="AB1270" s="165">
        <v>1</v>
      </c>
      <c r="AC1270" s="167">
        <v>47.095070422535215</v>
      </c>
      <c r="AD1270" s="168">
        <v>-0.1</v>
      </c>
      <c r="AE1270" s="169">
        <v>4.8</v>
      </c>
      <c r="AF1270" s="170">
        <v>49</v>
      </c>
      <c r="AM1270" s="20">
        <f t="shared" si="33"/>
        <v>26</v>
      </c>
      <c r="AN1270" s="172">
        <v>13</v>
      </c>
      <c r="AO1270" s="173">
        <v>99.735915492957744</v>
      </c>
      <c r="AP1270" s="174">
        <v>2.8</v>
      </c>
      <c r="AQ1270" s="175">
        <v>10.6</v>
      </c>
      <c r="AR1270" s="176">
        <v>78</v>
      </c>
      <c r="AS1270" s="20">
        <f t="shared" si="34"/>
        <v>30</v>
      </c>
      <c r="AT1270" s="165">
        <v>15</v>
      </c>
      <c r="AU1270" s="167">
        <v>10.984182776801406</v>
      </c>
      <c r="AV1270" s="168">
        <v>-1.2</v>
      </c>
      <c r="AW1270" s="169">
        <v>2.6</v>
      </c>
      <c r="AX1270" s="170">
        <v>38</v>
      </c>
      <c r="BK1270" s="20">
        <f t="shared" si="35"/>
        <v>61</v>
      </c>
      <c r="BL1270" s="165">
        <v>6.1</v>
      </c>
      <c r="BM1270" s="167">
        <v>1.7667844522968199</v>
      </c>
      <c r="BN1270" s="168">
        <v>-2.1</v>
      </c>
      <c r="BO1270" s="169">
        <v>0.8</v>
      </c>
      <c r="BP1270" s="170">
        <v>29</v>
      </c>
      <c r="BX1270" s="165">
        <v>527</v>
      </c>
      <c r="BY1270" s="167">
        <v>0.79225352112676051</v>
      </c>
      <c r="BZ1270" s="168">
        <v>-2.4</v>
      </c>
      <c r="CA1270" s="169">
        <v>0.2</v>
      </c>
      <c r="CB1270" s="170">
        <v>26</v>
      </c>
      <c r="CP1270" s="165">
        <v>341</v>
      </c>
      <c r="CQ1270" s="167">
        <v>1.0544815465729349</v>
      </c>
      <c r="CR1270" s="168">
        <v>-2.2999999999999998</v>
      </c>
      <c r="CS1270" s="169">
        <v>0.4</v>
      </c>
      <c r="CT1270" s="170">
        <v>27</v>
      </c>
      <c r="DB1270" s="165">
        <v>39</v>
      </c>
      <c r="DC1270" s="167">
        <v>1.8292682926829267</v>
      </c>
      <c r="DD1270" s="168">
        <v>-2.1</v>
      </c>
      <c r="DE1270" s="169">
        <v>0.8</v>
      </c>
      <c r="DF1270" s="170">
        <v>29</v>
      </c>
    </row>
    <row r="1271" spans="20:110" ht="13.15" hidden="1" thickBot="1" x14ac:dyDescent="0.25">
      <c r="AB1271" s="165">
        <v>0</v>
      </c>
      <c r="AC1271" s="167">
        <v>71.478873239436624</v>
      </c>
      <c r="AD1271" s="168">
        <v>0.6</v>
      </c>
      <c r="AE1271" s="169">
        <v>6.2</v>
      </c>
      <c r="AF1271" s="170">
        <v>56</v>
      </c>
      <c r="AS1271" s="20">
        <f t="shared" si="34"/>
        <v>31</v>
      </c>
      <c r="AT1271" s="165">
        <v>15.5</v>
      </c>
      <c r="AU1271" s="167">
        <v>11.511423550087873</v>
      </c>
      <c r="AV1271" s="168">
        <v>-1.2</v>
      </c>
      <c r="AW1271" s="169">
        <v>2.6</v>
      </c>
      <c r="AX1271" s="170">
        <v>38</v>
      </c>
      <c r="BK1271" s="20">
        <f t="shared" si="35"/>
        <v>60</v>
      </c>
      <c r="BL1271" s="165">
        <v>6</v>
      </c>
      <c r="BM1271" s="167">
        <v>1.7667844522968199</v>
      </c>
      <c r="BN1271" s="168">
        <v>-2.1</v>
      </c>
      <c r="BO1271" s="169">
        <v>0.8</v>
      </c>
      <c r="BP1271" s="170">
        <v>29</v>
      </c>
      <c r="BX1271" s="165">
        <v>526</v>
      </c>
      <c r="BY1271" s="167">
        <v>0.79225352112676051</v>
      </c>
      <c r="BZ1271" s="168">
        <v>-2.4</v>
      </c>
      <c r="CA1271" s="169">
        <v>0.2</v>
      </c>
      <c r="CB1271" s="170">
        <v>26</v>
      </c>
      <c r="CP1271" s="165">
        <v>340</v>
      </c>
      <c r="CQ1271" s="167">
        <v>1.0544815465729349</v>
      </c>
      <c r="CR1271" s="168">
        <v>-2.2999999999999998</v>
      </c>
      <c r="CS1271" s="169">
        <v>0.4</v>
      </c>
      <c r="CT1271" s="170">
        <v>27</v>
      </c>
      <c r="DB1271" s="165">
        <v>40</v>
      </c>
      <c r="DC1271" s="167">
        <v>2.0731707317073171</v>
      </c>
      <c r="DD1271" s="168">
        <v>-2</v>
      </c>
      <c r="DE1271" s="169">
        <v>1</v>
      </c>
      <c r="DF1271" s="170">
        <v>30</v>
      </c>
    </row>
    <row r="1272" spans="20:110" ht="13.8" hidden="1" thickBot="1" x14ac:dyDescent="0.3">
      <c r="AB1272" s="165">
        <v>-1</v>
      </c>
      <c r="AC1272" s="167">
        <v>91.813380281690144</v>
      </c>
      <c r="AD1272" s="168">
        <v>1.4</v>
      </c>
      <c r="AE1272" s="169">
        <v>7.8</v>
      </c>
      <c r="AF1272" s="170">
        <v>64</v>
      </c>
      <c r="AS1272" s="20">
        <f t="shared" si="34"/>
        <v>32</v>
      </c>
      <c r="AT1272" s="172">
        <v>16</v>
      </c>
      <c r="AU1272" s="173">
        <v>55.799648506151144</v>
      </c>
      <c r="AV1272" s="174">
        <v>0.1</v>
      </c>
      <c r="AW1272" s="175">
        <v>5.2</v>
      </c>
      <c r="AX1272" s="176">
        <v>51</v>
      </c>
      <c r="BK1272" s="20">
        <f t="shared" si="35"/>
        <v>59</v>
      </c>
      <c r="BL1272" s="165">
        <v>5.9</v>
      </c>
      <c r="BM1272" s="167">
        <v>2.4734982332155475</v>
      </c>
      <c r="BN1272" s="168">
        <v>-2</v>
      </c>
      <c r="BO1272" s="169">
        <v>1</v>
      </c>
      <c r="BP1272" s="170">
        <v>30</v>
      </c>
      <c r="BX1272" s="165">
        <v>525</v>
      </c>
      <c r="BY1272" s="167">
        <v>0.79225352112676051</v>
      </c>
      <c r="BZ1272" s="168">
        <v>-2.4</v>
      </c>
      <c r="CA1272" s="169">
        <v>0.2</v>
      </c>
      <c r="CB1272" s="170">
        <v>26</v>
      </c>
      <c r="CP1272" s="165">
        <v>339</v>
      </c>
      <c r="CQ1272" s="167">
        <v>1.3181019332161688</v>
      </c>
      <c r="CR1272" s="168">
        <v>-2.2000000000000002</v>
      </c>
      <c r="CS1272" s="169">
        <v>0.6</v>
      </c>
      <c r="CT1272" s="170">
        <v>28</v>
      </c>
      <c r="CV1272" s="138" t="s">
        <v>102</v>
      </c>
      <c r="CW1272" s="139"/>
      <c r="CX1272" s="139"/>
      <c r="CY1272" s="140" t="s">
        <v>215</v>
      </c>
      <c r="CZ1272" s="141">
        <v>568</v>
      </c>
      <c r="DB1272" s="165">
        <v>41</v>
      </c>
      <c r="DC1272" s="167">
        <v>2.0731707317073171</v>
      </c>
      <c r="DD1272" s="168">
        <v>-2</v>
      </c>
      <c r="DE1272" s="169">
        <v>1</v>
      </c>
      <c r="DF1272" s="170">
        <v>30</v>
      </c>
    </row>
    <row r="1273" spans="20:110" ht="13.15" hidden="1" x14ac:dyDescent="0.25">
      <c r="AB1273" s="165">
        <v>-2</v>
      </c>
      <c r="AC1273" s="167">
        <v>98.591549295774655</v>
      </c>
      <c r="AD1273" s="168">
        <v>2.2000000000000002</v>
      </c>
      <c r="AE1273" s="169">
        <v>9.4</v>
      </c>
      <c r="AF1273" s="170">
        <v>72</v>
      </c>
      <c r="AN1273" s="138" t="s">
        <v>186</v>
      </c>
      <c r="AO1273" s="139"/>
      <c r="AP1273" s="139"/>
      <c r="AQ1273" s="140" t="s">
        <v>180</v>
      </c>
      <c r="AR1273" s="141">
        <v>568</v>
      </c>
      <c r="BK1273" s="20">
        <f t="shared" si="35"/>
        <v>58</v>
      </c>
      <c r="BL1273" s="165">
        <v>5.8</v>
      </c>
      <c r="BM1273" s="167">
        <v>2.4734982332155475</v>
      </c>
      <c r="BN1273" s="168">
        <v>-2</v>
      </c>
      <c r="BO1273" s="169">
        <v>1</v>
      </c>
      <c r="BP1273" s="170">
        <v>30</v>
      </c>
      <c r="BX1273" s="165">
        <v>524</v>
      </c>
      <c r="BY1273" s="167">
        <v>0.79225352112676051</v>
      </c>
      <c r="BZ1273" s="168">
        <v>-2.4</v>
      </c>
      <c r="CA1273" s="169">
        <v>0.2</v>
      </c>
      <c r="CB1273" s="170">
        <v>26</v>
      </c>
      <c r="CP1273" s="165">
        <v>338</v>
      </c>
      <c r="CQ1273" s="167">
        <v>1.3181019332161688</v>
      </c>
      <c r="CR1273" s="168">
        <v>-2.2000000000000002</v>
      </c>
      <c r="CS1273" s="169">
        <v>0.6</v>
      </c>
      <c r="CT1273" s="170">
        <v>28</v>
      </c>
      <c r="CV1273" s="144" t="s">
        <v>161</v>
      </c>
      <c r="CZ1273" s="145"/>
      <c r="DB1273" s="165">
        <v>42</v>
      </c>
      <c r="DC1273" s="167">
        <v>2.5609756097560976</v>
      </c>
      <c r="DD1273" s="168">
        <v>-2</v>
      </c>
      <c r="DE1273" s="169">
        <v>1</v>
      </c>
      <c r="DF1273" s="170">
        <v>30</v>
      </c>
    </row>
    <row r="1274" spans="20:110" ht="13.15" hidden="1" thickBot="1" x14ac:dyDescent="0.25">
      <c r="AB1274" s="165">
        <v>-3</v>
      </c>
      <c r="AC1274" s="167">
        <v>99.647887323943664</v>
      </c>
      <c r="AD1274" s="168">
        <v>2.7</v>
      </c>
      <c r="AE1274" s="169">
        <v>10.4</v>
      </c>
      <c r="AF1274" s="170">
        <v>77</v>
      </c>
      <c r="AN1274" s="144" t="s">
        <v>161</v>
      </c>
      <c r="AP1274" s="20" t="s">
        <v>162</v>
      </c>
      <c r="AR1274" s="145"/>
      <c r="BK1274" s="20">
        <f t="shared" si="35"/>
        <v>57</v>
      </c>
      <c r="BL1274" s="165">
        <v>5.7</v>
      </c>
      <c r="BM1274" s="167">
        <v>2.4734982332155475</v>
      </c>
      <c r="BN1274" s="168">
        <v>-2</v>
      </c>
      <c r="BO1274" s="169">
        <v>1</v>
      </c>
      <c r="BP1274" s="170">
        <v>30</v>
      </c>
      <c r="BX1274" s="165">
        <v>523</v>
      </c>
      <c r="BY1274" s="167">
        <v>0.79225352112676051</v>
      </c>
      <c r="BZ1274" s="168">
        <v>-2.4</v>
      </c>
      <c r="CA1274" s="169">
        <v>0.2</v>
      </c>
      <c r="CB1274" s="170">
        <v>26</v>
      </c>
      <c r="CP1274" s="165">
        <v>337</v>
      </c>
      <c r="CQ1274" s="167">
        <v>1.3181019332161688</v>
      </c>
      <c r="CR1274" s="168">
        <v>-2.2000000000000002</v>
      </c>
      <c r="CS1274" s="169">
        <v>0.6</v>
      </c>
      <c r="CT1274" s="170">
        <v>28</v>
      </c>
      <c r="CV1274" s="147"/>
      <c r="CW1274" s="148"/>
      <c r="CX1274" s="179" t="s">
        <v>170</v>
      </c>
      <c r="CY1274" s="148"/>
      <c r="CZ1274" s="149"/>
      <c r="DB1274" s="165">
        <v>43</v>
      </c>
      <c r="DC1274" s="167">
        <v>3.4146341463414638</v>
      </c>
      <c r="DD1274" s="168">
        <v>-1.8</v>
      </c>
      <c r="DE1274" s="169">
        <v>1.4</v>
      </c>
      <c r="DF1274" s="170">
        <v>32</v>
      </c>
    </row>
    <row r="1275" spans="20:110" ht="13.8" hidden="1" thickBot="1" x14ac:dyDescent="0.3">
      <c r="AB1275" s="165">
        <v>-4</v>
      </c>
      <c r="AC1275" s="167">
        <v>99.911971830985919</v>
      </c>
      <c r="AD1275" s="168">
        <v>3</v>
      </c>
      <c r="AE1275" s="169">
        <v>11</v>
      </c>
      <c r="AF1275" s="170">
        <v>80</v>
      </c>
      <c r="AN1275" s="147" t="s">
        <v>194</v>
      </c>
      <c r="AO1275" s="148"/>
      <c r="AP1275" s="148"/>
      <c r="AQ1275" s="148"/>
      <c r="AR1275" s="149"/>
      <c r="AT1275" s="138" t="s">
        <v>203</v>
      </c>
      <c r="AU1275" s="139"/>
      <c r="AV1275" s="139"/>
      <c r="AW1275" s="140"/>
      <c r="AX1275" s="141" t="s">
        <v>160</v>
      </c>
      <c r="BK1275" s="20">
        <f t="shared" si="35"/>
        <v>56</v>
      </c>
      <c r="BL1275" s="165">
        <v>5.6</v>
      </c>
      <c r="BM1275" s="167">
        <v>2.4734982332155475</v>
      </c>
      <c r="BN1275" s="168">
        <v>-2</v>
      </c>
      <c r="BO1275" s="169">
        <v>1</v>
      </c>
      <c r="BP1275" s="170">
        <v>30</v>
      </c>
      <c r="BX1275" s="165">
        <v>522</v>
      </c>
      <c r="BY1275" s="167">
        <v>0.79225352112676051</v>
      </c>
      <c r="BZ1275" s="168">
        <v>-2.4</v>
      </c>
      <c r="CA1275" s="169">
        <v>0.2</v>
      </c>
      <c r="CB1275" s="170">
        <v>26</v>
      </c>
      <c r="CP1275" s="165">
        <v>336</v>
      </c>
      <c r="CQ1275" s="167">
        <v>1.3181019332161688</v>
      </c>
      <c r="CR1275" s="168">
        <v>-2.2000000000000002</v>
      </c>
      <c r="CS1275" s="169">
        <v>0.6</v>
      </c>
      <c r="CT1275" s="170">
        <v>28</v>
      </c>
      <c r="CV1275" s="150" t="s">
        <v>164</v>
      </c>
      <c r="CW1275" s="151" t="s">
        <v>111</v>
      </c>
      <c r="CX1275" s="152"/>
      <c r="CY1275" s="152"/>
      <c r="CZ1275" s="153"/>
      <c r="DB1275" s="165">
        <v>44</v>
      </c>
      <c r="DC1275" s="167">
        <v>4.024390243902439</v>
      </c>
      <c r="DD1275" s="168">
        <v>-1.8</v>
      </c>
      <c r="DE1275" s="169">
        <v>1.4</v>
      </c>
      <c r="DF1275" s="170">
        <v>32</v>
      </c>
    </row>
    <row r="1276" spans="20:110" ht="13.8" hidden="1" thickBot="1" x14ac:dyDescent="0.3">
      <c r="AB1276" s="172">
        <v>-5</v>
      </c>
      <c r="AC1276" s="173">
        <v>99.911971830985919</v>
      </c>
      <c r="AD1276" s="174">
        <v>3</v>
      </c>
      <c r="AE1276" s="175">
        <v>11</v>
      </c>
      <c r="AF1276" s="176">
        <v>80</v>
      </c>
      <c r="AN1276" s="150" t="s">
        <v>164</v>
      </c>
      <c r="AO1276" s="151" t="s">
        <v>174</v>
      </c>
      <c r="AP1276" s="152"/>
      <c r="AQ1276" s="152"/>
      <c r="AR1276" s="153"/>
      <c r="AT1276" s="144" t="s">
        <v>161</v>
      </c>
      <c r="AV1276" s="20" t="s">
        <v>162</v>
      </c>
      <c r="AX1276" s="145"/>
      <c r="BK1276" s="20">
        <f t="shared" si="35"/>
        <v>55</v>
      </c>
      <c r="BL1276" s="165">
        <v>5.5</v>
      </c>
      <c r="BM1276" s="167">
        <v>2.4734982332155475</v>
      </c>
      <c r="BN1276" s="168">
        <v>-2</v>
      </c>
      <c r="BO1276" s="169">
        <v>1</v>
      </c>
      <c r="BP1276" s="170">
        <v>30</v>
      </c>
      <c r="BX1276" s="165">
        <v>521</v>
      </c>
      <c r="BY1276" s="167">
        <v>0.79225352112676051</v>
      </c>
      <c r="BZ1276" s="168">
        <v>-2.4</v>
      </c>
      <c r="CA1276" s="169">
        <v>0.2</v>
      </c>
      <c r="CB1276" s="170">
        <v>26</v>
      </c>
      <c r="CP1276" s="165">
        <v>335</v>
      </c>
      <c r="CQ1276" s="167">
        <v>1.3181019332161688</v>
      </c>
      <c r="CR1276" s="168">
        <v>-2.2000000000000002</v>
      </c>
      <c r="CS1276" s="169">
        <v>0.6</v>
      </c>
      <c r="CT1276" s="170">
        <v>28</v>
      </c>
      <c r="CV1276" s="155" t="s">
        <v>10</v>
      </c>
      <c r="CW1276" s="156" t="s">
        <v>13</v>
      </c>
      <c r="CX1276" s="156" t="s">
        <v>14</v>
      </c>
      <c r="CY1276" s="156" t="s">
        <v>15</v>
      </c>
      <c r="CZ1276" s="159" t="s">
        <v>16</v>
      </c>
      <c r="DB1276" s="165">
        <v>45</v>
      </c>
      <c r="DC1276" s="167">
        <v>4.3902439024390238</v>
      </c>
      <c r="DD1276" s="168">
        <v>-1.7</v>
      </c>
      <c r="DE1276" s="169">
        <v>1.6</v>
      </c>
      <c r="DF1276" s="170">
        <v>33</v>
      </c>
    </row>
    <row r="1277" spans="20:110" ht="13.15" hidden="1" thickBot="1" x14ac:dyDescent="0.25">
      <c r="AN1277" s="155" t="s">
        <v>10</v>
      </c>
      <c r="AO1277" s="156" t="s">
        <v>13</v>
      </c>
      <c r="AP1277" s="156" t="s">
        <v>14</v>
      </c>
      <c r="AQ1277" s="158" t="s">
        <v>15</v>
      </c>
      <c r="AR1277" s="157" t="s">
        <v>16</v>
      </c>
      <c r="AT1277" s="147" t="s">
        <v>210</v>
      </c>
      <c r="AU1277" s="148"/>
      <c r="AV1277" s="148"/>
      <c r="AW1277" s="148"/>
      <c r="AX1277" s="149"/>
      <c r="BK1277" s="20">
        <f t="shared" si="35"/>
        <v>54</v>
      </c>
      <c r="BL1277" s="165">
        <v>5.4</v>
      </c>
      <c r="BM1277" s="167">
        <v>4.1519434628975258</v>
      </c>
      <c r="BN1277" s="168">
        <v>-1.7</v>
      </c>
      <c r="BO1277" s="169">
        <v>1.6</v>
      </c>
      <c r="BP1277" s="170">
        <v>33</v>
      </c>
      <c r="BX1277" s="165">
        <v>520</v>
      </c>
      <c r="BY1277" s="167">
        <v>0.79225352112676051</v>
      </c>
      <c r="BZ1277" s="168">
        <v>-2.4</v>
      </c>
      <c r="CA1277" s="169">
        <v>0.2</v>
      </c>
      <c r="CB1277" s="170">
        <v>26</v>
      </c>
      <c r="CP1277" s="165">
        <v>334</v>
      </c>
      <c r="CQ1277" s="167">
        <v>1.3181019332161688</v>
      </c>
      <c r="CR1277" s="168">
        <v>-2.2000000000000002</v>
      </c>
      <c r="CS1277" s="169">
        <v>0.6</v>
      </c>
      <c r="CT1277" s="170">
        <v>28</v>
      </c>
      <c r="CV1277" s="160">
        <v>3</v>
      </c>
      <c r="CW1277" s="161">
        <v>8.8028169014084515E-2</v>
      </c>
      <c r="CX1277" s="162">
        <v>-3</v>
      </c>
      <c r="CY1277" s="163">
        <v>-1</v>
      </c>
      <c r="CZ1277" s="164">
        <v>20</v>
      </c>
      <c r="DB1277" s="165">
        <v>46</v>
      </c>
      <c r="DC1277" s="167">
        <v>5</v>
      </c>
      <c r="DD1277" s="168">
        <v>-1.6</v>
      </c>
      <c r="DE1277" s="169">
        <v>1.8</v>
      </c>
      <c r="DF1277" s="170">
        <v>34</v>
      </c>
    </row>
    <row r="1278" spans="20:110" ht="13.15" hidden="1" thickBot="1" x14ac:dyDescent="0.25">
      <c r="AM1278" s="20">
        <f t="shared" ref="AM1278:AM1303" si="36">AN1278*2</f>
        <v>5</v>
      </c>
      <c r="AN1278" s="165">
        <v>2.5</v>
      </c>
      <c r="AO1278" s="167">
        <v>8.8028169014084515E-2</v>
      </c>
      <c r="AP1278" s="168">
        <v>-3</v>
      </c>
      <c r="AQ1278" s="169">
        <v>-1</v>
      </c>
      <c r="AR1278" s="170">
        <v>20</v>
      </c>
      <c r="AT1278" s="150" t="s">
        <v>164</v>
      </c>
      <c r="AU1278" s="151" t="s">
        <v>30</v>
      </c>
      <c r="AV1278" s="152"/>
      <c r="AW1278" s="152"/>
      <c r="AX1278" s="153"/>
      <c r="BK1278" s="20">
        <f t="shared" si="35"/>
        <v>53</v>
      </c>
      <c r="BL1278" s="165">
        <v>5.3</v>
      </c>
      <c r="BM1278" s="167">
        <v>4.1519434628975258</v>
      </c>
      <c r="BN1278" s="168">
        <v>-1.7</v>
      </c>
      <c r="BO1278" s="169">
        <v>1.6</v>
      </c>
      <c r="BP1278" s="170">
        <v>33</v>
      </c>
      <c r="BX1278" s="165">
        <v>519</v>
      </c>
      <c r="BY1278" s="167">
        <v>0.79225352112676051</v>
      </c>
      <c r="BZ1278" s="168">
        <v>-2.4</v>
      </c>
      <c r="CA1278" s="169">
        <v>0.2</v>
      </c>
      <c r="CB1278" s="170">
        <v>26</v>
      </c>
      <c r="CP1278" s="165">
        <v>333</v>
      </c>
      <c r="CQ1278" s="167">
        <v>1.3181019332161688</v>
      </c>
      <c r="CR1278" s="168">
        <v>-2.2000000000000002</v>
      </c>
      <c r="CS1278" s="169">
        <v>0.6</v>
      </c>
      <c r="CT1278" s="170">
        <v>28</v>
      </c>
      <c r="CV1278" s="165">
        <v>2</v>
      </c>
      <c r="CW1278" s="167">
        <v>0.44014084507042256</v>
      </c>
      <c r="CX1278" s="168">
        <v>-2.6</v>
      </c>
      <c r="CY1278" s="169">
        <v>-0.2</v>
      </c>
      <c r="CZ1278" s="170">
        <v>24</v>
      </c>
      <c r="DB1278" s="165">
        <v>47</v>
      </c>
      <c r="DC1278" s="167">
        <v>5.6097560975609762</v>
      </c>
      <c r="DD1278" s="168">
        <v>-1.6</v>
      </c>
      <c r="DE1278" s="169">
        <v>1.8</v>
      </c>
      <c r="DF1278" s="170">
        <v>34</v>
      </c>
    </row>
    <row r="1279" spans="20:110" ht="13.8" hidden="1" thickBot="1" x14ac:dyDescent="0.3">
      <c r="AB1279" s="138" t="s">
        <v>159</v>
      </c>
      <c r="AC1279" s="139"/>
      <c r="AD1279" s="139"/>
      <c r="AE1279" s="140"/>
      <c r="AF1279" s="141" t="s">
        <v>167</v>
      </c>
      <c r="AM1279" s="20">
        <f t="shared" si="36"/>
        <v>6</v>
      </c>
      <c r="AN1279" s="165">
        <v>3</v>
      </c>
      <c r="AO1279" s="167">
        <v>0.35211267605633806</v>
      </c>
      <c r="AP1279" s="168">
        <v>-2.7</v>
      </c>
      <c r="AQ1279" s="169">
        <v>-0.4</v>
      </c>
      <c r="AR1279" s="170">
        <v>23</v>
      </c>
      <c r="AT1279" s="155" t="s">
        <v>10</v>
      </c>
      <c r="AU1279" s="158" t="s">
        <v>13</v>
      </c>
      <c r="AV1279" s="156" t="s">
        <v>14</v>
      </c>
      <c r="AW1279" s="156" t="s">
        <v>15</v>
      </c>
      <c r="AX1279" s="159" t="s">
        <v>16</v>
      </c>
      <c r="BK1279" s="20">
        <f t="shared" si="35"/>
        <v>52</v>
      </c>
      <c r="BL1279" s="165">
        <v>5.2</v>
      </c>
      <c r="BM1279" s="167">
        <v>4.1519434628975258</v>
      </c>
      <c r="BN1279" s="168">
        <v>-1.7</v>
      </c>
      <c r="BO1279" s="169">
        <v>1.6</v>
      </c>
      <c r="BP1279" s="170">
        <v>33</v>
      </c>
      <c r="BX1279" s="165">
        <v>518</v>
      </c>
      <c r="BY1279" s="167">
        <v>0.79225352112676051</v>
      </c>
      <c r="BZ1279" s="168">
        <v>-2.4</v>
      </c>
      <c r="CA1279" s="169">
        <v>0.2</v>
      </c>
      <c r="CB1279" s="170">
        <v>26</v>
      </c>
      <c r="CP1279" s="165">
        <v>332</v>
      </c>
      <c r="CQ1279" s="167">
        <v>1.3181019332161688</v>
      </c>
      <c r="CR1279" s="168">
        <v>-2.2000000000000002</v>
      </c>
      <c r="CS1279" s="169">
        <v>0.6</v>
      </c>
      <c r="CT1279" s="170">
        <v>28</v>
      </c>
      <c r="CV1279" s="165">
        <v>1</v>
      </c>
      <c r="CW1279" s="167">
        <v>4.929577464788732</v>
      </c>
      <c r="CX1279" s="168">
        <v>-1.7</v>
      </c>
      <c r="CY1279" s="169">
        <v>1.6</v>
      </c>
      <c r="CZ1279" s="170">
        <v>33</v>
      </c>
      <c r="DB1279" s="165">
        <v>48</v>
      </c>
      <c r="DC1279" s="167">
        <v>6.5853658536585371</v>
      </c>
      <c r="DD1279" s="168">
        <v>-1.5</v>
      </c>
      <c r="DE1279" s="169">
        <v>2</v>
      </c>
      <c r="DF1279" s="170">
        <v>35</v>
      </c>
    </row>
    <row r="1280" spans="20:110" ht="13.15" hidden="1" thickBot="1" x14ac:dyDescent="0.25">
      <c r="AB1280" s="144" t="s">
        <v>161</v>
      </c>
      <c r="AD1280" s="20" t="s">
        <v>162</v>
      </c>
      <c r="AF1280" s="145"/>
      <c r="AM1280" s="20">
        <f t="shared" si="36"/>
        <v>7</v>
      </c>
      <c r="AN1280" s="165">
        <v>3.5</v>
      </c>
      <c r="AO1280" s="167">
        <v>0.35211267605633806</v>
      </c>
      <c r="AP1280" s="168">
        <v>-2.7</v>
      </c>
      <c r="AQ1280" s="169">
        <v>-0.4</v>
      </c>
      <c r="AR1280" s="170">
        <v>23</v>
      </c>
      <c r="AS1280" s="20">
        <f t="shared" ref="AS1280:AS1309" si="37">AT1280*2</f>
        <v>16</v>
      </c>
      <c r="AT1280" s="165">
        <v>8</v>
      </c>
      <c r="AU1280" s="167">
        <v>8.7873462214411238E-2</v>
      </c>
      <c r="AV1280" s="168">
        <v>-3</v>
      </c>
      <c r="AW1280" s="169">
        <v>-1</v>
      </c>
      <c r="AX1280" s="170">
        <v>20</v>
      </c>
      <c r="BK1280" s="20">
        <f t="shared" si="35"/>
        <v>51</v>
      </c>
      <c r="BL1280" s="165">
        <v>5.0999999999999996</v>
      </c>
      <c r="BM1280" s="167">
        <v>4.1519434628975258</v>
      </c>
      <c r="BN1280" s="168">
        <v>-1.7</v>
      </c>
      <c r="BO1280" s="169">
        <v>1.6</v>
      </c>
      <c r="BP1280" s="170">
        <v>33</v>
      </c>
      <c r="BX1280" s="165">
        <v>517</v>
      </c>
      <c r="BY1280" s="167">
        <v>0.79225352112676051</v>
      </c>
      <c r="BZ1280" s="168">
        <v>-2.4</v>
      </c>
      <c r="CA1280" s="169">
        <v>0.2</v>
      </c>
      <c r="CB1280" s="170">
        <v>26</v>
      </c>
      <c r="CP1280" s="165">
        <v>331</v>
      </c>
      <c r="CQ1280" s="167">
        <v>1.3181019332161688</v>
      </c>
      <c r="CR1280" s="168">
        <v>-2.2000000000000002</v>
      </c>
      <c r="CS1280" s="169">
        <v>0.6</v>
      </c>
      <c r="CT1280" s="170">
        <v>28</v>
      </c>
      <c r="CV1280" s="172">
        <v>0</v>
      </c>
      <c r="CW1280" s="173">
        <v>54.577464788732399</v>
      </c>
      <c r="CX1280" s="174">
        <v>0.1</v>
      </c>
      <c r="CY1280" s="175">
        <v>5.2</v>
      </c>
      <c r="CZ1280" s="176">
        <v>51</v>
      </c>
      <c r="DB1280" s="165">
        <v>49</v>
      </c>
      <c r="DC1280" s="167">
        <v>8.0487804878048781</v>
      </c>
      <c r="DD1280" s="168">
        <v>-1.4</v>
      </c>
      <c r="DE1280" s="169">
        <v>2.2000000000000002</v>
      </c>
      <c r="DF1280" s="170">
        <v>36</v>
      </c>
    </row>
    <row r="1281" spans="28:110" ht="13.15" hidden="1" thickBot="1" x14ac:dyDescent="0.25">
      <c r="AB1281" s="147" t="s">
        <v>177</v>
      </c>
      <c r="AC1281" s="148"/>
      <c r="AD1281" s="148"/>
      <c r="AE1281" s="148"/>
      <c r="AF1281" s="149"/>
      <c r="AM1281" s="20">
        <f t="shared" si="36"/>
        <v>8</v>
      </c>
      <c r="AN1281" s="165">
        <v>4</v>
      </c>
      <c r="AO1281" s="167">
        <v>0.61619718309859151</v>
      </c>
      <c r="AP1281" s="168">
        <v>-2.5</v>
      </c>
      <c r="AQ1281" s="169">
        <v>0</v>
      </c>
      <c r="AR1281" s="170">
        <v>25</v>
      </c>
      <c r="AS1281" s="20">
        <f t="shared" si="37"/>
        <v>15</v>
      </c>
      <c r="AT1281" s="165">
        <v>7.5</v>
      </c>
      <c r="AU1281" s="167">
        <v>0.26362038664323373</v>
      </c>
      <c r="AV1281" s="168">
        <v>-2.8</v>
      </c>
      <c r="AW1281" s="169">
        <v>-0.6</v>
      </c>
      <c r="AX1281" s="170">
        <v>22</v>
      </c>
      <c r="BK1281" s="20">
        <f t="shared" si="35"/>
        <v>50</v>
      </c>
      <c r="BL1281" s="165">
        <v>5</v>
      </c>
      <c r="BM1281" s="167">
        <v>4.1519434628975258</v>
      </c>
      <c r="BN1281" s="168">
        <v>-1.7</v>
      </c>
      <c r="BO1281" s="169">
        <v>1.6</v>
      </c>
      <c r="BP1281" s="170">
        <v>33</v>
      </c>
      <c r="BX1281" s="165">
        <v>516</v>
      </c>
      <c r="BY1281" s="167">
        <v>0.79225352112676051</v>
      </c>
      <c r="BZ1281" s="168">
        <v>-2.4</v>
      </c>
      <c r="CA1281" s="169">
        <v>0.2</v>
      </c>
      <c r="CB1281" s="170">
        <v>26</v>
      </c>
      <c r="CP1281" s="165">
        <v>330</v>
      </c>
      <c r="CQ1281" s="167">
        <v>1.3181019332161688</v>
      </c>
      <c r="CR1281" s="168">
        <v>-2.2000000000000002</v>
      </c>
      <c r="CS1281" s="169">
        <v>0.6</v>
      </c>
      <c r="CT1281" s="170">
        <v>28</v>
      </c>
      <c r="DB1281" s="165">
        <v>50</v>
      </c>
      <c r="DC1281" s="167">
        <v>9.3902439024390247</v>
      </c>
      <c r="DD1281" s="168">
        <v>-1.3</v>
      </c>
      <c r="DE1281" s="169">
        <v>2.4</v>
      </c>
      <c r="DF1281" s="170">
        <v>37</v>
      </c>
    </row>
    <row r="1282" spans="28:110" ht="13.15" hidden="1" thickBot="1" x14ac:dyDescent="0.25">
      <c r="AB1282" s="150" t="s">
        <v>164</v>
      </c>
      <c r="AC1282" s="151" t="s">
        <v>33</v>
      </c>
      <c r="AD1282" s="152"/>
      <c r="AE1282" s="152"/>
      <c r="AF1282" s="153"/>
      <c r="AM1282" s="20">
        <f t="shared" si="36"/>
        <v>9</v>
      </c>
      <c r="AN1282" s="165">
        <v>4.5</v>
      </c>
      <c r="AO1282" s="167">
        <v>0.79225352112676051</v>
      </c>
      <c r="AP1282" s="168">
        <v>-2.4</v>
      </c>
      <c r="AQ1282" s="169">
        <v>0.2</v>
      </c>
      <c r="AR1282" s="170">
        <v>26</v>
      </c>
      <c r="AS1282" s="20">
        <f t="shared" si="37"/>
        <v>14</v>
      </c>
      <c r="AT1282" s="165">
        <v>7</v>
      </c>
      <c r="AU1282" s="167">
        <v>0.26362038664323373</v>
      </c>
      <c r="AV1282" s="168">
        <v>-2.8</v>
      </c>
      <c r="AW1282" s="169">
        <v>-0.6</v>
      </c>
      <c r="AX1282" s="170">
        <v>22</v>
      </c>
      <c r="BK1282" s="20">
        <f t="shared" si="35"/>
        <v>49</v>
      </c>
      <c r="BL1282" s="165">
        <v>4.9000000000000004</v>
      </c>
      <c r="BM1282" s="167">
        <v>5.7420494699646643</v>
      </c>
      <c r="BN1282" s="168">
        <v>-1.6</v>
      </c>
      <c r="BO1282" s="169">
        <v>1.8</v>
      </c>
      <c r="BP1282" s="170">
        <v>34</v>
      </c>
      <c r="BX1282" s="165">
        <v>515</v>
      </c>
      <c r="BY1282" s="167">
        <v>0.79225352112676051</v>
      </c>
      <c r="BZ1282" s="168">
        <v>-2.4</v>
      </c>
      <c r="CA1282" s="169">
        <v>0.2</v>
      </c>
      <c r="CB1282" s="170">
        <v>26</v>
      </c>
      <c r="CP1282" s="165">
        <v>329</v>
      </c>
      <c r="CQ1282" s="167">
        <v>1.5817223198594026</v>
      </c>
      <c r="CR1282" s="168">
        <v>-2.2000000000000002</v>
      </c>
      <c r="CS1282" s="169">
        <v>0.6</v>
      </c>
      <c r="CT1282" s="170">
        <v>28</v>
      </c>
      <c r="DB1282" s="165">
        <v>51</v>
      </c>
      <c r="DC1282" s="167">
        <v>11.463414634146343</v>
      </c>
      <c r="DD1282" s="168">
        <v>-1.2</v>
      </c>
      <c r="DE1282" s="169">
        <v>2.6</v>
      </c>
      <c r="DF1282" s="170">
        <v>38</v>
      </c>
    </row>
    <row r="1283" spans="28:110" ht="13.8" hidden="1" thickBot="1" x14ac:dyDescent="0.3">
      <c r="AB1283" s="155" t="s">
        <v>10</v>
      </c>
      <c r="AC1283" s="158" t="s">
        <v>13</v>
      </c>
      <c r="AD1283" s="156" t="s">
        <v>14</v>
      </c>
      <c r="AE1283" s="156" t="s">
        <v>15</v>
      </c>
      <c r="AF1283" s="159" t="s">
        <v>16</v>
      </c>
      <c r="AM1283" s="20">
        <f t="shared" si="36"/>
        <v>10</v>
      </c>
      <c r="AN1283" s="165">
        <v>5</v>
      </c>
      <c r="AO1283" s="167">
        <v>1.4964788732394365</v>
      </c>
      <c r="AP1283" s="168">
        <v>-2.2000000000000002</v>
      </c>
      <c r="AQ1283" s="169">
        <v>0.6</v>
      </c>
      <c r="AR1283" s="170">
        <v>28</v>
      </c>
      <c r="AS1283" s="20">
        <f t="shared" si="37"/>
        <v>13</v>
      </c>
      <c r="AT1283" s="165">
        <v>6.5</v>
      </c>
      <c r="AU1283" s="167">
        <v>0.43936731107205629</v>
      </c>
      <c r="AV1283" s="168">
        <v>-2.6</v>
      </c>
      <c r="AW1283" s="169">
        <v>-0.2</v>
      </c>
      <c r="AX1283" s="170">
        <v>24</v>
      </c>
      <c r="BK1283" s="20">
        <f t="shared" si="35"/>
        <v>48</v>
      </c>
      <c r="BL1283" s="165">
        <v>4.8</v>
      </c>
      <c r="BM1283" s="167">
        <v>5.7420494699646643</v>
      </c>
      <c r="BN1283" s="168">
        <v>-1.6</v>
      </c>
      <c r="BO1283" s="169">
        <v>1.8</v>
      </c>
      <c r="BP1283" s="170">
        <v>34</v>
      </c>
      <c r="BX1283" s="165">
        <v>514</v>
      </c>
      <c r="BY1283" s="167">
        <v>0.79225352112676051</v>
      </c>
      <c r="BZ1283" s="168">
        <v>-2.4</v>
      </c>
      <c r="CA1283" s="169">
        <v>0.2</v>
      </c>
      <c r="CB1283" s="170">
        <v>26</v>
      </c>
      <c r="CP1283" s="165">
        <v>328</v>
      </c>
      <c r="CQ1283" s="167">
        <v>1.5817223198594026</v>
      </c>
      <c r="CR1283" s="168">
        <v>-2.2000000000000002</v>
      </c>
      <c r="CS1283" s="169">
        <v>0.6</v>
      </c>
      <c r="CT1283" s="170">
        <v>28</v>
      </c>
      <c r="CV1283" s="138" t="s">
        <v>102</v>
      </c>
      <c r="CW1283" s="139"/>
      <c r="CX1283" s="139"/>
      <c r="CY1283" s="140" t="s">
        <v>215</v>
      </c>
      <c r="CZ1283" s="141">
        <v>568</v>
      </c>
      <c r="DB1283" s="165">
        <v>52</v>
      </c>
      <c r="DC1283" s="167">
        <v>14.634146341463413</v>
      </c>
      <c r="DD1283" s="168">
        <v>-1.1000000000000001</v>
      </c>
      <c r="DE1283" s="169">
        <v>2.8</v>
      </c>
      <c r="DF1283" s="170">
        <v>39</v>
      </c>
    </row>
    <row r="1284" spans="28:110" hidden="1" x14ac:dyDescent="0.2">
      <c r="AB1284" s="160">
        <v>24</v>
      </c>
      <c r="AC1284" s="161">
        <v>8.8028169014084515E-2</v>
      </c>
      <c r="AD1284" s="162">
        <v>-3</v>
      </c>
      <c r="AE1284" s="163">
        <v>-1</v>
      </c>
      <c r="AF1284" s="164">
        <v>20</v>
      </c>
      <c r="AM1284" s="20">
        <f t="shared" si="36"/>
        <v>11</v>
      </c>
      <c r="AN1284" s="165">
        <v>5.5</v>
      </c>
      <c r="AO1284" s="167">
        <v>2.464788732394366</v>
      </c>
      <c r="AP1284" s="168">
        <v>-2</v>
      </c>
      <c r="AQ1284" s="169">
        <v>1</v>
      </c>
      <c r="AR1284" s="170">
        <v>30</v>
      </c>
      <c r="AS1284" s="20">
        <f t="shared" si="37"/>
        <v>12</v>
      </c>
      <c r="AT1284" s="165">
        <v>6</v>
      </c>
      <c r="AU1284" s="167">
        <v>0.96660808435852363</v>
      </c>
      <c r="AV1284" s="168">
        <v>-2.2999999999999998</v>
      </c>
      <c r="AW1284" s="169">
        <v>0.4</v>
      </c>
      <c r="AX1284" s="170">
        <v>27</v>
      </c>
      <c r="BK1284" s="20">
        <f t="shared" si="35"/>
        <v>47</v>
      </c>
      <c r="BL1284" s="165">
        <v>4.7</v>
      </c>
      <c r="BM1284" s="167">
        <v>5.7420494699646643</v>
      </c>
      <c r="BN1284" s="168">
        <v>-1.6</v>
      </c>
      <c r="BO1284" s="169">
        <v>1.8</v>
      </c>
      <c r="BP1284" s="170">
        <v>34</v>
      </c>
      <c r="BX1284" s="165">
        <v>513</v>
      </c>
      <c r="BY1284" s="167">
        <v>0.79225352112676051</v>
      </c>
      <c r="BZ1284" s="168">
        <v>-2.4</v>
      </c>
      <c r="CA1284" s="169">
        <v>0.2</v>
      </c>
      <c r="CB1284" s="170">
        <v>26</v>
      </c>
      <c r="CP1284" s="165">
        <v>327</v>
      </c>
      <c r="CQ1284" s="167">
        <v>1.5817223198594026</v>
      </c>
      <c r="CR1284" s="168">
        <v>-2.2000000000000002</v>
      </c>
      <c r="CS1284" s="169">
        <v>0.6</v>
      </c>
      <c r="CT1284" s="170">
        <v>28</v>
      </c>
      <c r="CV1284" s="144" t="s">
        <v>161</v>
      </c>
      <c r="CZ1284" s="145"/>
      <c r="DB1284" s="165">
        <v>53</v>
      </c>
      <c r="DC1284" s="167">
        <v>18.780487804878049</v>
      </c>
      <c r="DD1284" s="168">
        <v>-0.9</v>
      </c>
      <c r="DE1284" s="169">
        <v>3.2</v>
      </c>
      <c r="DF1284" s="170">
        <v>41</v>
      </c>
    </row>
    <row r="1285" spans="28:110" ht="13.15" hidden="1" thickBot="1" x14ac:dyDescent="0.25">
      <c r="AB1285" s="165">
        <v>23</v>
      </c>
      <c r="AC1285" s="167">
        <v>0.2640845070422535</v>
      </c>
      <c r="AD1285" s="168">
        <v>-2.8</v>
      </c>
      <c r="AE1285" s="169">
        <v>-0.6</v>
      </c>
      <c r="AF1285" s="170">
        <v>22</v>
      </c>
      <c r="AM1285" s="20">
        <f t="shared" si="36"/>
        <v>12</v>
      </c>
      <c r="AN1285" s="165">
        <v>6</v>
      </c>
      <c r="AO1285" s="167">
        <v>3.433098591549296</v>
      </c>
      <c r="AP1285" s="168">
        <v>-1.8</v>
      </c>
      <c r="AQ1285" s="169">
        <v>1.4</v>
      </c>
      <c r="AR1285" s="170">
        <v>32</v>
      </c>
      <c r="AS1285" s="20">
        <f t="shared" si="37"/>
        <v>11</v>
      </c>
      <c r="AT1285" s="165">
        <v>5.5</v>
      </c>
      <c r="AU1285" s="167">
        <v>1.4938488576449911</v>
      </c>
      <c r="AV1285" s="168">
        <v>-2.2000000000000002</v>
      </c>
      <c r="AW1285" s="169">
        <v>0.6</v>
      </c>
      <c r="AX1285" s="170">
        <v>28</v>
      </c>
      <c r="BK1285" s="20">
        <f t="shared" si="35"/>
        <v>46</v>
      </c>
      <c r="BL1285" s="165">
        <v>4.5999999999999996</v>
      </c>
      <c r="BM1285" s="167">
        <v>5.7420494699646643</v>
      </c>
      <c r="BN1285" s="168">
        <v>-1.6</v>
      </c>
      <c r="BO1285" s="169">
        <v>1.8</v>
      </c>
      <c r="BP1285" s="170">
        <v>34</v>
      </c>
      <c r="BX1285" s="165">
        <v>512</v>
      </c>
      <c r="BY1285" s="167">
        <v>0.79225352112676051</v>
      </c>
      <c r="BZ1285" s="168">
        <v>-2.4</v>
      </c>
      <c r="CA1285" s="169">
        <v>0.2</v>
      </c>
      <c r="CB1285" s="170">
        <v>26</v>
      </c>
      <c r="CP1285" s="165">
        <v>326</v>
      </c>
      <c r="CQ1285" s="167">
        <v>1.5817223198594026</v>
      </c>
      <c r="CR1285" s="168">
        <v>-2.2000000000000002</v>
      </c>
      <c r="CS1285" s="169">
        <v>0.6</v>
      </c>
      <c r="CT1285" s="170">
        <v>28</v>
      </c>
      <c r="CV1285" s="181" t="s">
        <v>252</v>
      </c>
      <c r="CW1285" s="148"/>
      <c r="CX1285" s="148"/>
      <c r="CY1285" s="148"/>
      <c r="CZ1285" s="149"/>
      <c r="DB1285" s="165">
        <v>54</v>
      </c>
      <c r="DC1285" s="167">
        <v>22.926829268292686</v>
      </c>
      <c r="DD1285" s="168">
        <v>-0.7</v>
      </c>
      <c r="DE1285" s="169">
        <v>3.6</v>
      </c>
      <c r="DF1285" s="170">
        <v>43</v>
      </c>
    </row>
    <row r="1286" spans="28:110" ht="13.15" hidden="1" thickBot="1" x14ac:dyDescent="0.25">
      <c r="AB1286" s="165">
        <v>22</v>
      </c>
      <c r="AC1286" s="167">
        <v>0.2640845070422535</v>
      </c>
      <c r="AD1286" s="168">
        <v>-2.8</v>
      </c>
      <c r="AE1286" s="169">
        <v>-0.6</v>
      </c>
      <c r="AF1286" s="170">
        <v>22</v>
      </c>
      <c r="AM1286" s="20">
        <f t="shared" si="36"/>
        <v>13</v>
      </c>
      <c r="AN1286" s="165">
        <v>6.5</v>
      </c>
      <c r="AO1286" s="167">
        <v>4.313380281690141</v>
      </c>
      <c r="AP1286" s="168">
        <v>-1.7</v>
      </c>
      <c r="AQ1286" s="169">
        <v>1.6</v>
      </c>
      <c r="AR1286" s="170">
        <v>33</v>
      </c>
      <c r="AS1286" s="20">
        <f t="shared" si="37"/>
        <v>10</v>
      </c>
      <c r="AT1286" s="165">
        <v>5</v>
      </c>
      <c r="AU1286" s="167">
        <v>2.3725834797891037</v>
      </c>
      <c r="AV1286" s="168">
        <v>-2</v>
      </c>
      <c r="AW1286" s="169">
        <v>1</v>
      </c>
      <c r="AX1286" s="170">
        <v>30</v>
      </c>
      <c r="BK1286" s="20">
        <f t="shared" si="35"/>
        <v>45</v>
      </c>
      <c r="BL1286" s="165">
        <v>4.5</v>
      </c>
      <c r="BM1286" s="167">
        <v>5.7420494699646643</v>
      </c>
      <c r="BN1286" s="168">
        <v>-1.6</v>
      </c>
      <c r="BO1286" s="169">
        <v>1.8</v>
      </c>
      <c r="BP1286" s="170">
        <v>34</v>
      </c>
      <c r="BX1286" s="165">
        <v>511</v>
      </c>
      <c r="BY1286" s="167">
        <v>0.79225352112676051</v>
      </c>
      <c r="BZ1286" s="168">
        <v>-2.4</v>
      </c>
      <c r="CA1286" s="169">
        <v>0.2</v>
      </c>
      <c r="CB1286" s="170">
        <v>26</v>
      </c>
      <c r="CP1286" s="165">
        <v>325</v>
      </c>
      <c r="CQ1286" s="167">
        <v>1.5817223198594026</v>
      </c>
      <c r="CR1286" s="168">
        <v>-2.2000000000000002</v>
      </c>
      <c r="CS1286" s="169">
        <v>0.6</v>
      </c>
      <c r="CT1286" s="170">
        <v>28</v>
      </c>
      <c r="CV1286" s="150" t="s">
        <v>164</v>
      </c>
      <c r="CW1286" s="151" t="s">
        <v>112</v>
      </c>
      <c r="CX1286" s="152"/>
      <c r="CY1286" s="152"/>
      <c r="CZ1286" s="153"/>
      <c r="DB1286" s="165">
        <v>55</v>
      </c>
      <c r="DC1286" s="167">
        <v>26.097560975609756</v>
      </c>
      <c r="DD1286" s="168">
        <v>-0.6</v>
      </c>
      <c r="DE1286" s="169">
        <v>3.8</v>
      </c>
      <c r="DF1286" s="170">
        <v>44</v>
      </c>
    </row>
    <row r="1287" spans="28:110" ht="13.15" hidden="1" thickBot="1" x14ac:dyDescent="0.25">
      <c r="AB1287" s="165">
        <v>21</v>
      </c>
      <c r="AC1287" s="167">
        <v>0.44014084507042256</v>
      </c>
      <c r="AD1287" s="168">
        <v>-2.6</v>
      </c>
      <c r="AE1287" s="169">
        <v>-0.2</v>
      </c>
      <c r="AF1287" s="170">
        <v>24</v>
      </c>
      <c r="AM1287" s="20">
        <f t="shared" si="36"/>
        <v>14</v>
      </c>
      <c r="AN1287" s="165">
        <v>7</v>
      </c>
      <c r="AO1287" s="167">
        <v>5.897887323943662</v>
      </c>
      <c r="AP1287" s="168">
        <v>-1.6</v>
      </c>
      <c r="AQ1287" s="169">
        <v>1.8</v>
      </c>
      <c r="AR1287" s="170">
        <v>34</v>
      </c>
      <c r="AS1287" s="20">
        <f t="shared" si="37"/>
        <v>9</v>
      </c>
      <c r="AT1287" s="165">
        <v>4.5</v>
      </c>
      <c r="AU1287" s="167">
        <v>3.2513181019332165</v>
      </c>
      <c r="AV1287" s="168">
        <v>-1.8</v>
      </c>
      <c r="AW1287" s="169">
        <v>1.4</v>
      </c>
      <c r="AX1287" s="170">
        <v>32</v>
      </c>
      <c r="BK1287" s="20">
        <f t="shared" si="35"/>
        <v>44</v>
      </c>
      <c r="BL1287" s="165">
        <v>4.4000000000000004</v>
      </c>
      <c r="BM1287" s="167">
        <v>7.3321554770318018</v>
      </c>
      <c r="BN1287" s="168">
        <v>-1.5</v>
      </c>
      <c r="BO1287" s="169">
        <v>2</v>
      </c>
      <c r="BP1287" s="170">
        <v>35</v>
      </c>
      <c r="BX1287" s="165">
        <v>510</v>
      </c>
      <c r="BY1287" s="167">
        <v>0.79225352112676051</v>
      </c>
      <c r="BZ1287" s="168">
        <v>-2.4</v>
      </c>
      <c r="CA1287" s="169">
        <v>0.2</v>
      </c>
      <c r="CB1287" s="170">
        <v>26</v>
      </c>
      <c r="CP1287" s="165">
        <v>324</v>
      </c>
      <c r="CQ1287" s="167">
        <v>1.5817223198594026</v>
      </c>
      <c r="CR1287" s="168">
        <v>-2.2000000000000002</v>
      </c>
      <c r="CS1287" s="169">
        <v>0.6</v>
      </c>
      <c r="CT1287" s="170">
        <v>28</v>
      </c>
      <c r="CV1287" s="155" t="s">
        <v>10</v>
      </c>
      <c r="CW1287" s="156" t="s">
        <v>13</v>
      </c>
      <c r="CX1287" s="156" t="s">
        <v>14</v>
      </c>
      <c r="CY1287" s="158" t="s">
        <v>15</v>
      </c>
      <c r="CZ1287" s="185" t="s">
        <v>16</v>
      </c>
      <c r="DB1287" s="165">
        <v>56</v>
      </c>
      <c r="DC1287" s="167">
        <v>28.536585365853657</v>
      </c>
      <c r="DD1287" s="168">
        <v>-0.6</v>
      </c>
      <c r="DE1287" s="169">
        <v>3.8</v>
      </c>
      <c r="DF1287" s="170">
        <v>44</v>
      </c>
    </row>
    <row r="1288" spans="28:110" hidden="1" x14ac:dyDescent="0.2">
      <c r="AB1288" s="165">
        <v>20</v>
      </c>
      <c r="AC1288" s="167">
        <v>0.44014084507042256</v>
      </c>
      <c r="AD1288" s="168">
        <v>-2.6</v>
      </c>
      <c r="AE1288" s="169">
        <v>-0.2</v>
      </c>
      <c r="AF1288" s="170">
        <v>24</v>
      </c>
      <c r="AM1288" s="20">
        <f t="shared" si="36"/>
        <v>15</v>
      </c>
      <c r="AN1288" s="165">
        <v>7.5</v>
      </c>
      <c r="AO1288" s="167">
        <v>7.658450704225352</v>
      </c>
      <c r="AP1288" s="168">
        <v>-1.4</v>
      </c>
      <c r="AQ1288" s="169">
        <v>2.2000000000000002</v>
      </c>
      <c r="AR1288" s="170">
        <v>36</v>
      </c>
      <c r="AS1288" s="20">
        <f t="shared" si="37"/>
        <v>8</v>
      </c>
      <c r="AT1288" s="165">
        <v>4</v>
      </c>
      <c r="AU1288" s="167">
        <v>4.3936731107205622</v>
      </c>
      <c r="AV1288" s="168">
        <v>-1.7</v>
      </c>
      <c r="AW1288" s="169">
        <v>1.6</v>
      </c>
      <c r="AX1288" s="170">
        <v>33</v>
      </c>
      <c r="BK1288" s="20">
        <f t="shared" si="35"/>
        <v>43</v>
      </c>
      <c r="BL1288" s="165">
        <v>4.3</v>
      </c>
      <c r="BM1288" s="167">
        <v>7.3321554770318018</v>
      </c>
      <c r="BN1288" s="168">
        <v>-1.5</v>
      </c>
      <c r="BO1288" s="169">
        <v>2</v>
      </c>
      <c r="BP1288" s="170">
        <v>35</v>
      </c>
      <c r="BX1288" s="165">
        <v>509</v>
      </c>
      <c r="BY1288" s="167">
        <v>0.79225352112676051</v>
      </c>
      <c r="BZ1288" s="168">
        <v>-2.4</v>
      </c>
      <c r="CA1288" s="169">
        <v>0.2</v>
      </c>
      <c r="CB1288" s="170">
        <v>26</v>
      </c>
      <c r="CP1288" s="165">
        <v>323</v>
      </c>
      <c r="CQ1288" s="167">
        <v>1.5817223198594026</v>
      </c>
      <c r="CR1288" s="168">
        <v>-2.2000000000000002</v>
      </c>
      <c r="CS1288" s="169">
        <v>0.6</v>
      </c>
      <c r="CT1288" s="170">
        <v>28</v>
      </c>
      <c r="CV1288" s="160">
        <v>76</v>
      </c>
      <c r="CW1288" s="161">
        <v>8.8028169014084515E-2</v>
      </c>
      <c r="CX1288" s="162">
        <v>-3</v>
      </c>
      <c r="CY1288" s="163">
        <v>-1</v>
      </c>
      <c r="CZ1288" s="164">
        <v>20</v>
      </c>
      <c r="DB1288" s="165">
        <v>57</v>
      </c>
      <c r="DC1288" s="167">
        <v>32.073170731707314</v>
      </c>
      <c r="DD1288" s="168">
        <v>-0.5</v>
      </c>
      <c r="DE1288" s="169">
        <v>4</v>
      </c>
      <c r="DF1288" s="170">
        <v>45</v>
      </c>
    </row>
    <row r="1289" spans="28:110" hidden="1" x14ac:dyDescent="0.2">
      <c r="AB1289" s="165">
        <v>19</v>
      </c>
      <c r="AC1289" s="167">
        <v>0.44014084507042256</v>
      </c>
      <c r="AD1289" s="168">
        <v>-2.6</v>
      </c>
      <c r="AE1289" s="169">
        <v>-0.2</v>
      </c>
      <c r="AF1289" s="170">
        <v>24</v>
      </c>
      <c r="AM1289" s="20">
        <f t="shared" si="36"/>
        <v>16</v>
      </c>
      <c r="AN1289" s="165">
        <v>8</v>
      </c>
      <c r="AO1289" s="167">
        <v>9.5950704225352101</v>
      </c>
      <c r="AP1289" s="168">
        <v>-1.3</v>
      </c>
      <c r="AQ1289" s="169">
        <v>2.4</v>
      </c>
      <c r="AR1289" s="170">
        <v>37</v>
      </c>
      <c r="AS1289" s="20">
        <f t="shared" si="37"/>
        <v>7</v>
      </c>
      <c r="AT1289" s="165">
        <v>3.5</v>
      </c>
      <c r="AU1289" s="167">
        <v>7.0298769771529006</v>
      </c>
      <c r="AV1289" s="168">
        <v>-1.5</v>
      </c>
      <c r="AW1289" s="169">
        <v>2</v>
      </c>
      <c r="AX1289" s="170">
        <v>35</v>
      </c>
      <c r="BK1289" s="20">
        <f t="shared" si="35"/>
        <v>42</v>
      </c>
      <c r="BL1289" s="165">
        <v>4.2</v>
      </c>
      <c r="BM1289" s="167">
        <v>7.3321554770318018</v>
      </c>
      <c r="BN1289" s="168">
        <v>-1.5</v>
      </c>
      <c r="BO1289" s="169">
        <v>2</v>
      </c>
      <c r="BP1289" s="170">
        <v>35</v>
      </c>
      <c r="BX1289" s="165">
        <v>508</v>
      </c>
      <c r="BY1289" s="167">
        <v>0.79225352112676051</v>
      </c>
      <c r="BZ1289" s="168">
        <v>-2.4</v>
      </c>
      <c r="CA1289" s="169">
        <v>0.2</v>
      </c>
      <c r="CB1289" s="170">
        <v>26</v>
      </c>
      <c r="CP1289" s="165">
        <v>322</v>
      </c>
      <c r="CQ1289" s="167">
        <v>1.5817223198594026</v>
      </c>
      <c r="CR1289" s="168">
        <v>-2.2000000000000002</v>
      </c>
      <c r="CS1289" s="169">
        <v>0.6</v>
      </c>
      <c r="CT1289" s="170">
        <v>28</v>
      </c>
      <c r="CV1289" s="165">
        <v>75</v>
      </c>
      <c r="CW1289" s="167">
        <v>0.2640845070422535</v>
      </c>
      <c r="CX1289" s="168">
        <v>-2.8</v>
      </c>
      <c r="CY1289" s="169">
        <v>-0.6</v>
      </c>
      <c r="CZ1289" s="170">
        <v>22</v>
      </c>
      <c r="DB1289" s="165">
        <v>58</v>
      </c>
      <c r="DC1289" s="167">
        <v>36.707317073170728</v>
      </c>
      <c r="DD1289" s="168">
        <v>-0.3</v>
      </c>
      <c r="DE1289" s="169">
        <v>4.4000000000000004</v>
      </c>
      <c r="DF1289" s="170">
        <v>47</v>
      </c>
    </row>
    <row r="1290" spans="28:110" hidden="1" x14ac:dyDescent="0.2">
      <c r="AB1290" s="165">
        <v>18</v>
      </c>
      <c r="AC1290" s="167">
        <v>0.44014084507042256</v>
      </c>
      <c r="AD1290" s="168">
        <v>-2.6</v>
      </c>
      <c r="AE1290" s="169">
        <v>-0.2</v>
      </c>
      <c r="AF1290" s="170">
        <v>24</v>
      </c>
      <c r="AM1290" s="20">
        <f t="shared" si="36"/>
        <v>17</v>
      </c>
      <c r="AN1290" s="165">
        <v>8.5</v>
      </c>
      <c r="AO1290" s="167">
        <v>11.883802816901408</v>
      </c>
      <c r="AP1290" s="168">
        <v>-1.2</v>
      </c>
      <c r="AQ1290" s="169">
        <v>2.6</v>
      </c>
      <c r="AR1290" s="170">
        <v>38</v>
      </c>
      <c r="AS1290" s="20">
        <f t="shared" si="37"/>
        <v>6</v>
      </c>
      <c r="AT1290" s="165">
        <v>3</v>
      </c>
      <c r="AU1290" s="167">
        <v>9.8418277680140598</v>
      </c>
      <c r="AV1290" s="168">
        <v>-1.3</v>
      </c>
      <c r="AW1290" s="169">
        <v>2.4</v>
      </c>
      <c r="AX1290" s="170">
        <v>37</v>
      </c>
      <c r="BK1290" s="20">
        <f t="shared" si="35"/>
        <v>41</v>
      </c>
      <c r="BL1290" s="165">
        <v>4.0999999999999996</v>
      </c>
      <c r="BM1290" s="167">
        <v>7.3321554770318018</v>
      </c>
      <c r="BN1290" s="168">
        <v>-1.5</v>
      </c>
      <c r="BO1290" s="169">
        <v>2</v>
      </c>
      <c r="BP1290" s="170">
        <v>35</v>
      </c>
      <c r="BX1290" s="165">
        <v>507</v>
      </c>
      <c r="BY1290" s="167">
        <v>0.79225352112676051</v>
      </c>
      <c r="BZ1290" s="168">
        <v>-2.4</v>
      </c>
      <c r="CA1290" s="169">
        <v>0.2</v>
      </c>
      <c r="CB1290" s="170">
        <v>26</v>
      </c>
      <c r="CP1290" s="165">
        <v>321</v>
      </c>
      <c r="CQ1290" s="167">
        <v>1.5817223198594026</v>
      </c>
      <c r="CR1290" s="168">
        <v>-2.2000000000000002</v>
      </c>
      <c r="CS1290" s="169">
        <v>0.6</v>
      </c>
      <c r="CT1290" s="170">
        <v>28</v>
      </c>
      <c r="CV1290" s="165">
        <v>74</v>
      </c>
      <c r="CW1290" s="167">
        <v>0.2640845070422535</v>
      </c>
      <c r="CX1290" s="168">
        <v>-2.8</v>
      </c>
      <c r="CY1290" s="169">
        <v>-0.6</v>
      </c>
      <c r="CZ1290" s="170">
        <v>22</v>
      </c>
      <c r="DB1290" s="165">
        <v>59</v>
      </c>
      <c r="DC1290" s="167">
        <v>40.243902439024396</v>
      </c>
      <c r="DD1290" s="168">
        <v>-0.2</v>
      </c>
      <c r="DE1290" s="169">
        <v>4.5999999999999996</v>
      </c>
      <c r="DF1290" s="170">
        <v>48</v>
      </c>
    </row>
    <row r="1291" spans="28:110" hidden="1" x14ac:dyDescent="0.2">
      <c r="AB1291" s="165">
        <v>17</v>
      </c>
      <c r="AC1291" s="167">
        <v>0.44014084507042256</v>
      </c>
      <c r="AD1291" s="168">
        <v>-2.6</v>
      </c>
      <c r="AE1291" s="169">
        <v>-0.2</v>
      </c>
      <c r="AF1291" s="170">
        <v>24</v>
      </c>
      <c r="AM1291" s="20">
        <f t="shared" si="36"/>
        <v>18</v>
      </c>
      <c r="AN1291" s="165">
        <v>9</v>
      </c>
      <c r="AO1291" s="167">
        <v>14.788732394366196</v>
      </c>
      <c r="AP1291" s="168">
        <v>-1</v>
      </c>
      <c r="AQ1291" s="169">
        <v>3</v>
      </c>
      <c r="AR1291" s="170">
        <v>40</v>
      </c>
      <c r="AS1291" s="20">
        <f t="shared" si="37"/>
        <v>5</v>
      </c>
      <c r="AT1291" s="165">
        <v>2.5</v>
      </c>
      <c r="AU1291" s="167">
        <v>11.775043936731107</v>
      </c>
      <c r="AV1291" s="168">
        <v>-1.2</v>
      </c>
      <c r="AW1291" s="169">
        <v>2.6</v>
      </c>
      <c r="AX1291" s="170">
        <v>38</v>
      </c>
      <c r="BK1291" s="20">
        <f t="shared" si="35"/>
        <v>40</v>
      </c>
      <c r="BL1291" s="165">
        <v>4</v>
      </c>
      <c r="BM1291" s="167">
        <v>7.3321554770318018</v>
      </c>
      <c r="BN1291" s="168">
        <v>-1.5</v>
      </c>
      <c r="BO1291" s="169">
        <v>2</v>
      </c>
      <c r="BP1291" s="170">
        <v>35</v>
      </c>
      <c r="BX1291" s="165">
        <v>506</v>
      </c>
      <c r="BY1291" s="167">
        <v>0.79225352112676051</v>
      </c>
      <c r="BZ1291" s="168">
        <v>-2.4</v>
      </c>
      <c r="CA1291" s="169">
        <v>0.2</v>
      </c>
      <c r="CB1291" s="170">
        <v>26</v>
      </c>
      <c r="CP1291" s="165">
        <v>320</v>
      </c>
      <c r="CQ1291" s="167">
        <v>1.5817223198594026</v>
      </c>
      <c r="CR1291" s="168">
        <v>-2.2000000000000002</v>
      </c>
      <c r="CS1291" s="169">
        <v>0.6</v>
      </c>
      <c r="CT1291" s="170">
        <v>28</v>
      </c>
      <c r="CV1291" s="165">
        <v>73</v>
      </c>
      <c r="CW1291" s="167">
        <v>0.2640845070422535</v>
      </c>
      <c r="CX1291" s="168">
        <v>-2.8</v>
      </c>
      <c r="CY1291" s="169">
        <v>-0.6</v>
      </c>
      <c r="CZ1291" s="170">
        <v>22</v>
      </c>
      <c r="DB1291" s="165">
        <v>60</v>
      </c>
      <c r="DC1291" s="167">
        <v>42.804878048780488</v>
      </c>
      <c r="DD1291" s="168">
        <v>-0.2</v>
      </c>
      <c r="DE1291" s="169">
        <v>4.5999999999999996</v>
      </c>
      <c r="DF1291" s="170">
        <v>48</v>
      </c>
    </row>
    <row r="1292" spans="28:110" hidden="1" x14ac:dyDescent="0.2">
      <c r="AB1292" s="165">
        <v>16</v>
      </c>
      <c r="AC1292" s="167">
        <v>0.96830985915492951</v>
      </c>
      <c r="AD1292" s="168">
        <v>-2.2999999999999998</v>
      </c>
      <c r="AE1292" s="169">
        <v>0.4</v>
      </c>
      <c r="AF1292" s="170">
        <v>27</v>
      </c>
      <c r="AM1292" s="20">
        <f t="shared" si="36"/>
        <v>19</v>
      </c>
      <c r="AN1292" s="165">
        <v>9.5</v>
      </c>
      <c r="AO1292" s="167">
        <v>17.95774647887324</v>
      </c>
      <c r="AP1292" s="168">
        <v>-0.9</v>
      </c>
      <c r="AQ1292" s="169">
        <v>3.2</v>
      </c>
      <c r="AR1292" s="170">
        <v>41</v>
      </c>
      <c r="AS1292" s="20">
        <f t="shared" si="37"/>
        <v>4</v>
      </c>
      <c r="AT1292" s="165">
        <v>2</v>
      </c>
      <c r="AU1292" s="167">
        <v>16.080843585237258</v>
      </c>
      <c r="AV1292" s="168">
        <v>-1</v>
      </c>
      <c r="AW1292" s="169">
        <v>3</v>
      </c>
      <c r="AX1292" s="170">
        <v>40</v>
      </c>
      <c r="BK1292" s="20">
        <f t="shared" si="35"/>
        <v>39</v>
      </c>
      <c r="BL1292" s="165">
        <v>3.9</v>
      </c>
      <c r="BM1292" s="167">
        <v>9.7173144876325086</v>
      </c>
      <c r="BN1292" s="168">
        <v>-1.3</v>
      </c>
      <c r="BO1292" s="169">
        <v>2.4</v>
      </c>
      <c r="BP1292" s="170">
        <v>37</v>
      </c>
      <c r="BX1292" s="165">
        <v>505</v>
      </c>
      <c r="BY1292" s="167">
        <v>0.79225352112676051</v>
      </c>
      <c r="BZ1292" s="168">
        <v>-2.4</v>
      </c>
      <c r="CA1292" s="169">
        <v>0.2</v>
      </c>
      <c r="CB1292" s="170">
        <v>26</v>
      </c>
      <c r="CP1292" s="165">
        <v>319</v>
      </c>
      <c r="CQ1292" s="167">
        <v>1.845342706502636</v>
      </c>
      <c r="CR1292" s="168">
        <v>-2.1</v>
      </c>
      <c r="CS1292" s="169">
        <v>0.8</v>
      </c>
      <c r="CT1292" s="170">
        <v>29</v>
      </c>
      <c r="CV1292" s="165">
        <v>72</v>
      </c>
      <c r="CW1292" s="167">
        <v>0.2640845070422535</v>
      </c>
      <c r="CX1292" s="168">
        <v>-2.8</v>
      </c>
      <c r="CY1292" s="169">
        <v>-0.6</v>
      </c>
      <c r="CZ1292" s="170">
        <v>22</v>
      </c>
      <c r="DB1292" s="165">
        <v>61</v>
      </c>
      <c r="DC1292" s="167">
        <v>45.243902439024389</v>
      </c>
      <c r="DD1292" s="168">
        <v>-0.1</v>
      </c>
      <c r="DE1292" s="169">
        <v>4.8</v>
      </c>
      <c r="DF1292" s="170">
        <v>49</v>
      </c>
    </row>
    <row r="1293" spans="28:110" hidden="1" x14ac:dyDescent="0.2">
      <c r="AB1293" s="165">
        <v>15</v>
      </c>
      <c r="AC1293" s="167">
        <v>2.024647887323944</v>
      </c>
      <c r="AD1293" s="168">
        <v>-2.1</v>
      </c>
      <c r="AE1293" s="169">
        <v>0.8</v>
      </c>
      <c r="AF1293" s="170">
        <v>29</v>
      </c>
      <c r="AM1293" s="20">
        <f t="shared" si="36"/>
        <v>20</v>
      </c>
      <c r="AN1293" s="165">
        <v>10</v>
      </c>
      <c r="AO1293" s="167">
        <v>22.183098591549296</v>
      </c>
      <c r="AP1293" s="168">
        <v>-0.8</v>
      </c>
      <c r="AQ1293" s="169">
        <v>3.4</v>
      </c>
      <c r="AR1293" s="170">
        <v>42</v>
      </c>
      <c r="AS1293" s="20">
        <f t="shared" si="37"/>
        <v>3</v>
      </c>
      <c r="AT1293" s="165">
        <v>1.5</v>
      </c>
      <c r="AU1293" s="167">
        <v>19.947275922671352</v>
      </c>
      <c r="AV1293" s="168">
        <v>-0.8</v>
      </c>
      <c r="AW1293" s="169">
        <v>3.4</v>
      </c>
      <c r="AX1293" s="170">
        <v>42</v>
      </c>
      <c r="BK1293" s="20">
        <f t="shared" si="35"/>
        <v>38</v>
      </c>
      <c r="BL1293" s="165">
        <v>3.8</v>
      </c>
      <c r="BM1293" s="167">
        <v>9.7173144876325086</v>
      </c>
      <c r="BN1293" s="168">
        <v>-1.3</v>
      </c>
      <c r="BO1293" s="169">
        <v>2.4</v>
      </c>
      <c r="BP1293" s="170">
        <v>37</v>
      </c>
      <c r="BX1293" s="165">
        <v>504</v>
      </c>
      <c r="BY1293" s="167">
        <v>0.79225352112676051</v>
      </c>
      <c r="BZ1293" s="168">
        <v>-2.4</v>
      </c>
      <c r="CA1293" s="169">
        <v>0.2</v>
      </c>
      <c r="CB1293" s="170">
        <v>26</v>
      </c>
      <c r="CP1293" s="165">
        <v>318</v>
      </c>
      <c r="CQ1293" s="167">
        <v>1.845342706502636</v>
      </c>
      <c r="CR1293" s="168">
        <v>-2.1</v>
      </c>
      <c r="CS1293" s="169">
        <v>0.8</v>
      </c>
      <c r="CT1293" s="170">
        <v>29</v>
      </c>
      <c r="CV1293" s="165">
        <v>71</v>
      </c>
      <c r="CW1293" s="167">
        <v>0.44014084507042256</v>
      </c>
      <c r="CX1293" s="168">
        <v>-2.6</v>
      </c>
      <c r="CY1293" s="169">
        <v>-0.2</v>
      </c>
      <c r="CZ1293" s="170">
        <v>24</v>
      </c>
      <c r="DB1293" s="165">
        <v>62</v>
      </c>
      <c r="DC1293" s="167">
        <v>48.414634146341463</v>
      </c>
      <c r="DD1293" s="168">
        <v>0</v>
      </c>
      <c r="DE1293" s="169">
        <v>5</v>
      </c>
      <c r="DF1293" s="170">
        <v>50</v>
      </c>
    </row>
    <row r="1294" spans="28:110" hidden="1" x14ac:dyDescent="0.2">
      <c r="AB1294" s="165">
        <v>14</v>
      </c>
      <c r="AC1294" s="167">
        <v>2.7288732394366195</v>
      </c>
      <c r="AD1294" s="168">
        <v>-1.9</v>
      </c>
      <c r="AE1294" s="169">
        <v>1.2</v>
      </c>
      <c r="AF1294" s="170">
        <v>31</v>
      </c>
      <c r="AM1294" s="20">
        <f t="shared" si="36"/>
        <v>21</v>
      </c>
      <c r="AN1294" s="165">
        <v>10.5</v>
      </c>
      <c r="AO1294" s="167">
        <v>25.968309859154932</v>
      </c>
      <c r="AP1294" s="168">
        <v>-0.6</v>
      </c>
      <c r="AQ1294" s="169">
        <v>3.8</v>
      </c>
      <c r="AR1294" s="170">
        <v>44</v>
      </c>
      <c r="AS1294" s="20">
        <f t="shared" si="37"/>
        <v>2</v>
      </c>
      <c r="AT1294" s="165">
        <v>1</v>
      </c>
      <c r="AU1294" s="167">
        <v>20.738137082601053</v>
      </c>
      <c r="AV1294" s="168">
        <v>-0.8</v>
      </c>
      <c r="AW1294" s="169">
        <v>3.4</v>
      </c>
      <c r="AX1294" s="170">
        <v>42</v>
      </c>
      <c r="BK1294" s="20">
        <f t="shared" si="35"/>
        <v>37</v>
      </c>
      <c r="BL1294" s="165">
        <v>3.7</v>
      </c>
      <c r="BM1294" s="167">
        <v>9.7173144876325086</v>
      </c>
      <c r="BN1294" s="168">
        <v>-1.3</v>
      </c>
      <c r="BO1294" s="169">
        <v>2.4</v>
      </c>
      <c r="BP1294" s="170">
        <v>37</v>
      </c>
      <c r="BX1294" s="165">
        <v>503</v>
      </c>
      <c r="BY1294" s="167">
        <v>0.79225352112676051</v>
      </c>
      <c r="BZ1294" s="168">
        <v>-2.4</v>
      </c>
      <c r="CA1294" s="169">
        <v>0.2</v>
      </c>
      <c r="CB1294" s="170">
        <v>26</v>
      </c>
      <c r="CP1294" s="165">
        <v>317</v>
      </c>
      <c r="CQ1294" s="167">
        <v>1.845342706502636</v>
      </c>
      <c r="CR1294" s="168">
        <v>-2.1</v>
      </c>
      <c r="CS1294" s="169">
        <v>0.8</v>
      </c>
      <c r="CT1294" s="170">
        <v>29</v>
      </c>
      <c r="CV1294" s="165">
        <v>70</v>
      </c>
      <c r="CW1294" s="167">
        <v>0.44014084507042256</v>
      </c>
      <c r="CX1294" s="168">
        <v>-2.6</v>
      </c>
      <c r="CY1294" s="169">
        <v>-0.2</v>
      </c>
      <c r="CZ1294" s="170">
        <v>24</v>
      </c>
      <c r="DB1294" s="165">
        <v>63</v>
      </c>
      <c r="DC1294" s="167">
        <v>52.195121951219512</v>
      </c>
      <c r="DD1294" s="168">
        <v>0.1</v>
      </c>
      <c r="DE1294" s="169">
        <v>5.2</v>
      </c>
      <c r="DF1294" s="170">
        <v>51</v>
      </c>
    </row>
    <row r="1295" spans="28:110" hidden="1" x14ac:dyDescent="0.2">
      <c r="AB1295" s="165">
        <v>13</v>
      </c>
      <c r="AC1295" s="167">
        <v>3.169014084507042</v>
      </c>
      <c r="AD1295" s="168">
        <v>-1.9</v>
      </c>
      <c r="AE1295" s="169">
        <v>1.2</v>
      </c>
      <c r="AF1295" s="170">
        <v>31</v>
      </c>
      <c r="AM1295" s="20">
        <f t="shared" si="36"/>
        <v>22</v>
      </c>
      <c r="AN1295" s="165">
        <v>11</v>
      </c>
      <c r="AO1295" s="167">
        <v>29.313380281690144</v>
      </c>
      <c r="AP1295" s="168">
        <v>-0.5</v>
      </c>
      <c r="AQ1295" s="169">
        <v>4</v>
      </c>
      <c r="AR1295" s="170">
        <v>45</v>
      </c>
      <c r="AS1295" s="20">
        <f t="shared" si="37"/>
        <v>1</v>
      </c>
      <c r="AT1295" s="165">
        <v>0.5</v>
      </c>
      <c r="AU1295" s="167">
        <v>21.353251318101936</v>
      </c>
      <c r="AV1295" s="168">
        <v>-0.8</v>
      </c>
      <c r="AW1295" s="169">
        <v>3.4</v>
      </c>
      <c r="AX1295" s="170">
        <v>42</v>
      </c>
      <c r="BK1295" s="20">
        <f t="shared" si="35"/>
        <v>36</v>
      </c>
      <c r="BL1295" s="165">
        <v>3.6</v>
      </c>
      <c r="BM1295" s="167">
        <v>9.7173144876325086</v>
      </c>
      <c r="BN1295" s="168">
        <v>-1.3</v>
      </c>
      <c r="BO1295" s="169">
        <v>2.4</v>
      </c>
      <c r="BP1295" s="170">
        <v>37</v>
      </c>
      <c r="BX1295" s="165">
        <v>502</v>
      </c>
      <c r="BY1295" s="167">
        <v>0.79225352112676051</v>
      </c>
      <c r="BZ1295" s="168">
        <v>-2.4</v>
      </c>
      <c r="CA1295" s="169">
        <v>0.2</v>
      </c>
      <c r="CB1295" s="170">
        <v>26</v>
      </c>
      <c r="CP1295" s="165">
        <v>316</v>
      </c>
      <c r="CQ1295" s="167">
        <v>1.845342706502636</v>
      </c>
      <c r="CR1295" s="168">
        <v>-2.1</v>
      </c>
      <c r="CS1295" s="169">
        <v>0.8</v>
      </c>
      <c r="CT1295" s="170">
        <v>29</v>
      </c>
      <c r="CV1295" s="165">
        <v>69</v>
      </c>
      <c r="CW1295" s="167">
        <v>0.44014084507042256</v>
      </c>
      <c r="CX1295" s="168">
        <v>-2.6</v>
      </c>
      <c r="CY1295" s="169">
        <v>-0.2</v>
      </c>
      <c r="CZ1295" s="170">
        <v>24</v>
      </c>
      <c r="DB1295" s="165">
        <v>64</v>
      </c>
      <c r="DC1295" s="167">
        <v>55.243902439024396</v>
      </c>
      <c r="DD1295" s="168">
        <v>0.1</v>
      </c>
      <c r="DE1295" s="169">
        <v>5.2</v>
      </c>
      <c r="DF1295" s="170">
        <v>51</v>
      </c>
    </row>
    <row r="1296" spans="28:110" hidden="1" x14ac:dyDescent="0.2">
      <c r="AB1296" s="165">
        <v>12</v>
      </c>
      <c r="AC1296" s="167">
        <v>4.313380281690141</v>
      </c>
      <c r="AD1296" s="168">
        <v>-1.7</v>
      </c>
      <c r="AE1296" s="169">
        <v>1.6</v>
      </c>
      <c r="AF1296" s="170">
        <v>33</v>
      </c>
      <c r="AM1296" s="20">
        <f t="shared" si="36"/>
        <v>23</v>
      </c>
      <c r="AN1296" s="165">
        <v>11.5</v>
      </c>
      <c r="AO1296" s="167">
        <v>32.922535211267608</v>
      </c>
      <c r="AP1296" s="168">
        <v>-0.4</v>
      </c>
      <c r="AQ1296" s="169">
        <v>4.2</v>
      </c>
      <c r="AR1296" s="170">
        <v>46</v>
      </c>
      <c r="AS1296" s="20">
        <f t="shared" si="37"/>
        <v>0</v>
      </c>
      <c r="AT1296" s="165">
        <v>0</v>
      </c>
      <c r="AU1296" s="167">
        <v>58.87521968365553</v>
      </c>
      <c r="AV1296" s="168">
        <v>0.2</v>
      </c>
      <c r="AW1296" s="169">
        <v>5.4</v>
      </c>
      <c r="AX1296" s="170">
        <v>52</v>
      </c>
      <c r="BK1296" s="20">
        <f t="shared" si="35"/>
        <v>35</v>
      </c>
      <c r="BL1296" s="165">
        <v>3.5</v>
      </c>
      <c r="BM1296" s="167">
        <v>9.7173144876325086</v>
      </c>
      <c r="BN1296" s="168">
        <v>-1.3</v>
      </c>
      <c r="BO1296" s="169">
        <v>2.4</v>
      </c>
      <c r="BP1296" s="170">
        <v>37</v>
      </c>
      <c r="BX1296" s="165">
        <v>501</v>
      </c>
      <c r="BY1296" s="167">
        <v>0.79225352112676051</v>
      </c>
      <c r="BZ1296" s="168">
        <v>-2.4</v>
      </c>
      <c r="CA1296" s="169">
        <v>0.2</v>
      </c>
      <c r="CB1296" s="170">
        <v>26</v>
      </c>
      <c r="CP1296" s="165">
        <v>315</v>
      </c>
      <c r="CQ1296" s="167">
        <v>1.845342706502636</v>
      </c>
      <c r="CR1296" s="168">
        <v>-2.1</v>
      </c>
      <c r="CS1296" s="169">
        <v>0.8</v>
      </c>
      <c r="CT1296" s="170">
        <v>29</v>
      </c>
      <c r="CV1296" s="165">
        <v>68</v>
      </c>
      <c r="CW1296" s="167">
        <v>0.44014084507042256</v>
      </c>
      <c r="CX1296" s="168">
        <v>-2.6</v>
      </c>
      <c r="CY1296" s="169">
        <v>-0.2</v>
      </c>
      <c r="CZ1296" s="170">
        <v>24</v>
      </c>
      <c r="DB1296" s="165">
        <v>65</v>
      </c>
      <c r="DC1296" s="167">
        <v>58.658536585365852</v>
      </c>
      <c r="DD1296" s="168">
        <v>0.2</v>
      </c>
      <c r="DE1296" s="169">
        <v>5.4</v>
      </c>
      <c r="DF1296" s="170">
        <v>52</v>
      </c>
    </row>
    <row r="1297" spans="28:110" hidden="1" x14ac:dyDescent="0.2">
      <c r="AB1297" s="165">
        <v>11</v>
      </c>
      <c r="AC1297" s="167">
        <v>5.369718309859155</v>
      </c>
      <c r="AD1297" s="168">
        <v>-1.6</v>
      </c>
      <c r="AE1297" s="169">
        <v>1.8</v>
      </c>
      <c r="AF1297" s="170">
        <v>34</v>
      </c>
      <c r="AM1297" s="20">
        <f t="shared" si="36"/>
        <v>24</v>
      </c>
      <c r="AN1297" s="165">
        <v>12</v>
      </c>
      <c r="AO1297" s="167">
        <v>39.524647887323944</v>
      </c>
      <c r="AP1297" s="168">
        <v>-0.3</v>
      </c>
      <c r="AQ1297" s="169">
        <v>4.4000000000000004</v>
      </c>
      <c r="AR1297" s="170">
        <v>47</v>
      </c>
      <c r="AS1297" s="20">
        <f t="shared" si="37"/>
        <v>-1</v>
      </c>
      <c r="AT1297" s="165">
        <v>-0.5</v>
      </c>
      <c r="AU1297" s="167">
        <v>96.485061511423552</v>
      </c>
      <c r="AV1297" s="168">
        <v>1.8</v>
      </c>
      <c r="AW1297" s="169">
        <v>8.6</v>
      </c>
      <c r="AX1297" s="170">
        <v>68</v>
      </c>
      <c r="BK1297" s="20">
        <f t="shared" si="35"/>
        <v>34</v>
      </c>
      <c r="BL1297" s="165">
        <v>3.4</v>
      </c>
      <c r="BM1297" s="167">
        <v>13.162544169611307</v>
      </c>
      <c r="BN1297" s="168">
        <v>-1.1000000000000001</v>
      </c>
      <c r="BO1297" s="169">
        <v>2.8</v>
      </c>
      <c r="BP1297" s="170">
        <v>39</v>
      </c>
      <c r="BX1297" s="165">
        <v>500</v>
      </c>
      <c r="BY1297" s="167">
        <v>0.79225352112676051</v>
      </c>
      <c r="BZ1297" s="168">
        <v>-2.4</v>
      </c>
      <c r="CA1297" s="169">
        <v>0.2</v>
      </c>
      <c r="CB1297" s="170">
        <v>26</v>
      </c>
      <c r="CP1297" s="165">
        <v>314</v>
      </c>
      <c r="CQ1297" s="167">
        <v>1.845342706502636</v>
      </c>
      <c r="CR1297" s="168">
        <v>-2.1</v>
      </c>
      <c r="CS1297" s="169">
        <v>0.8</v>
      </c>
      <c r="CT1297" s="170">
        <v>29</v>
      </c>
      <c r="CV1297" s="165">
        <v>67</v>
      </c>
      <c r="CW1297" s="167">
        <v>0.44014084507042256</v>
      </c>
      <c r="CX1297" s="168">
        <v>-2.6</v>
      </c>
      <c r="CY1297" s="169">
        <v>-0.2</v>
      </c>
      <c r="CZ1297" s="170">
        <v>24</v>
      </c>
      <c r="DB1297" s="165">
        <v>66</v>
      </c>
      <c r="DC1297" s="167">
        <v>63.048780487804876</v>
      </c>
      <c r="DD1297" s="168">
        <v>0.3</v>
      </c>
      <c r="DE1297" s="169">
        <v>5.6</v>
      </c>
      <c r="DF1297" s="170">
        <v>53</v>
      </c>
    </row>
    <row r="1298" spans="28:110" hidden="1" x14ac:dyDescent="0.2">
      <c r="AB1298" s="165">
        <v>10</v>
      </c>
      <c r="AC1298" s="167">
        <v>6.426056338028169</v>
      </c>
      <c r="AD1298" s="168">
        <v>-1.5</v>
      </c>
      <c r="AE1298" s="169">
        <v>2</v>
      </c>
      <c r="AF1298" s="170">
        <v>35</v>
      </c>
      <c r="AM1298" s="20">
        <f t="shared" si="36"/>
        <v>25</v>
      </c>
      <c r="AN1298" s="165">
        <v>12.5</v>
      </c>
      <c r="AO1298" s="167">
        <v>46.390845070422536</v>
      </c>
      <c r="AP1298" s="168">
        <v>-0.1</v>
      </c>
      <c r="AQ1298" s="169">
        <v>4.8</v>
      </c>
      <c r="AR1298" s="170">
        <v>49</v>
      </c>
      <c r="AS1298" s="20">
        <f t="shared" si="37"/>
        <v>-2</v>
      </c>
      <c r="AT1298" s="165">
        <v>-1</v>
      </c>
      <c r="AU1298" s="167">
        <v>97.100175746924435</v>
      </c>
      <c r="AV1298" s="168">
        <v>1.9</v>
      </c>
      <c r="AW1298" s="169">
        <v>8.8000000000000007</v>
      </c>
      <c r="AX1298" s="170">
        <v>69</v>
      </c>
      <c r="BK1298" s="20">
        <f t="shared" si="35"/>
        <v>33</v>
      </c>
      <c r="BL1298" s="165">
        <v>3.3</v>
      </c>
      <c r="BM1298" s="167">
        <v>13.162544169611307</v>
      </c>
      <c r="BN1298" s="168">
        <v>-1.1000000000000001</v>
      </c>
      <c r="BO1298" s="169">
        <v>2.8</v>
      </c>
      <c r="BP1298" s="170">
        <v>39</v>
      </c>
      <c r="BX1298" s="165">
        <v>499</v>
      </c>
      <c r="BY1298" s="167">
        <v>0.96830985915492951</v>
      </c>
      <c r="BZ1298" s="168">
        <v>-2.2999999999999998</v>
      </c>
      <c r="CA1298" s="169">
        <v>0.4</v>
      </c>
      <c r="CB1298" s="170">
        <v>27</v>
      </c>
      <c r="CP1298" s="165">
        <v>313</v>
      </c>
      <c r="CQ1298" s="167">
        <v>1.845342706502636</v>
      </c>
      <c r="CR1298" s="168">
        <v>-2.1</v>
      </c>
      <c r="CS1298" s="169">
        <v>0.8</v>
      </c>
      <c r="CT1298" s="170">
        <v>29</v>
      </c>
      <c r="CV1298" s="165">
        <v>66</v>
      </c>
      <c r="CW1298" s="167">
        <v>0.44014084507042256</v>
      </c>
      <c r="CX1298" s="168">
        <v>-2.6</v>
      </c>
      <c r="CY1298" s="169">
        <v>-0.2</v>
      </c>
      <c r="CZ1298" s="170">
        <v>24</v>
      </c>
      <c r="DB1298" s="165">
        <v>67</v>
      </c>
      <c r="DC1298" s="167">
        <v>67.195121951219519</v>
      </c>
      <c r="DD1298" s="168">
        <v>0.4</v>
      </c>
      <c r="DE1298" s="169">
        <v>5.8</v>
      </c>
      <c r="DF1298" s="170">
        <v>54</v>
      </c>
    </row>
    <row r="1299" spans="28:110" hidden="1" x14ac:dyDescent="0.2">
      <c r="AB1299" s="165">
        <v>9</v>
      </c>
      <c r="AC1299" s="167">
        <v>9.2429577464788739</v>
      </c>
      <c r="AD1299" s="168">
        <v>-1.3</v>
      </c>
      <c r="AE1299" s="169">
        <v>2.4</v>
      </c>
      <c r="AF1299" s="170">
        <v>37</v>
      </c>
      <c r="AM1299" s="20">
        <f t="shared" si="36"/>
        <v>26</v>
      </c>
      <c r="AN1299" s="165">
        <v>13</v>
      </c>
      <c r="AO1299" s="167">
        <v>53.697183098591552</v>
      </c>
      <c r="AP1299" s="168">
        <v>0.1</v>
      </c>
      <c r="AQ1299" s="169">
        <v>5.2</v>
      </c>
      <c r="AR1299" s="170">
        <v>51</v>
      </c>
      <c r="AS1299" s="20">
        <f t="shared" si="37"/>
        <v>-3</v>
      </c>
      <c r="AT1299" s="165">
        <v>-1.5</v>
      </c>
      <c r="AU1299" s="167">
        <v>98.154657293497365</v>
      </c>
      <c r="AV1299" s="168">
        <v>2.1</v>
      </c>
      <c r="AW1299" s="169">
        <v>9.1999999999999993</v>
      </c>
      <c r="AX1299" s="170">
        <v>71</v>
      </c>
      <c r="BK1299" s="20">
        <f t="shared" si="35"/>
        <v>32</v>
      </c>
      <c r="BL1299" s="165">
        <v>3.2</v>
      </c>
      <c r="BM1299" s="167">
        <v>13.162544169611307</v>
      </c>
      <c r="BN1299" s="168">
        <v>-1.1000000000000001</v>
      </c>
      <c r="BO1299" s="169">
        <v>2.8</v>
      </c>
      <c r="BP1299" s="170">
        <v>39</v>
      </c>
      <c r="BX1299" s="165">
        <v>498</v>
      </c>
      <c r="BY1299" s="167">
        <v>0.96830985915492951</v>
      </c>
      <c r="BZ1299" s="168">
        <v>-2.2999999999999998</v>
      </c>
      <c r="CA1299" s="169">
        <v>0.4</v>
      </c>
      <c r="CB1299" s="170">
        <v>27</v>
      </c>
      <c r="CP1299" s="165">
        <v>312</v>
      </c>
      <c r="CQ1299" s="167">
        <v>1.845342706502636</v>
      </c>
      <c r="CR1299" s="168">
        <v>-2.1</v>
      </c>
      <c r="CS1299" s="169">
        <v>0.8</v>
      </c>
      <c r="CT1299" s="170">
        <v>29</v>
      </c>
      <c r="CV1299" s="165">
        <v>65</v>
      </c>
      <c r="CW1299" s="167">
        <v>0.44014084507042256</v>
      </c>
      <c r="CX1299" s="168">
        <v>-2.6</v>
      </c>
      <c r="CY1299" s="169">
        <v>-0.2</v>
      </c>
      <c r="CZ1299" s="170">
        <v>24</v>
      </c>
      <c r="DB1299" s="165">
        <v>68</v>
      </c>
      <c r="DC1299" s="167">
        <v>70.731707317073173</v>
      </c>
      <c r="DD1299" s="168">
        <v>0.5</v>
      </c>
      <c r="DE1299" s="169">
        <v>6</v>
      </c>
      <c r="DF1299" s="170">
        <v>55</v>
      </c>
    </row>
    <row r="1300" spans="28:110" hidden="1" x14ac:dyDescent="0.2">
      <c r="AB1300" s="165">
        <v>8</v>
      </c>
      <c r="AC1300" s="167">
        <v>13.732394366197184</v>
      </c>
      <c r="AD1300" s="168">
        <v>-1.1000000000000001</v>
      </c>
      <c r="AE1300" s="169">
        <v>2.8</v>
      </c>
      <c r="AF1300" s="170">
        <v>39</v>
      </c>
      <c r="AM1300" s="20">
        <f t="shared" si="36"/>
        <v>27</v>
      </c>
      <c r="AN1300" s="165">
        <v>13.5</v>
      </c>
      <c r="AO1300" s="167">
        <v>60.475352112676063</v>
      </c>
      <c r="AP1300" s="168">
        <v>0.3</v>
      </c>
      <c r="AQ1300" s="169">
        <v>5.6</v>
      </c>
      <c r="AR1300" s="170">
        <v>53</v>
      </c>
      <c r="AS1300" s="20">
        <f t="shared" si="37"/>
        <v>-4</v>
      </c>
      <c r="AT1300" s="165">
        <v>-2</v>
      </c>
      <c r="AU1300" s="167">
        <v>98.154657293497365</v>
      </c>
      <c r="AV1300" s="168">
        <v>2.1</v>
      </c>
      <c r="AW1300" s="169">
        <v>9.1999999999999993</v>
      </c>
      <c r="AX1300" s="170">
        <v>71</v>
      </c>
      <c r="BK1300" s="20">
        <f t="shared" si="35"/>
        <v>31</v>
      </c>
      <c r="BL1300" s="165">
        <v>3.1</v>
      </c>
      <c r="BM1300" s="167">
        <v>13.162544169611307</v>
      </c>
      <c r="BN1300" s="168">
        <v>-1.1000000000000001</v>
      </c>
      <c r="BO1300" s="169">
        <v>2.8</v>
      </c>
      <c r="BP1300" s="170">
        <v>39</v>
      </c>
      <c r="BX1300" s="165">
        <v>497</v>
      </c>
      <c r="BY1300" s="167">
        <v>0.96830985915492951</v>
      </c>
      <c r="BZ1300" s="168">
        <v>-2.2999999999999998</v>
      </c>
      <c r="CA1300" s="169">
        <v>0.4</v>
      </c>
      <c r="CB1300" s="170">
        <v>27</v>
      </c>
      <c r="CP1300" s="165">
        <v>311</v>
      </c>
      <c r="CQ1300" s="167">
        <v>1.845342706502636</v>
      </c>
      <c r="CR1300" s="168">
        <v>-2.1</v>
      </c>
      <c r="CS1300" s="169">
        <v>0.8</v>
      </c>
      <c r="CT1300" s="170">
        <v>29</v>
      </c>
      <c r="CV1300" s="165">
        <v>64</v>
      </c>
      <c r="CW1300" s="167">
        <v>0.61619718309859151</v>
      </c>
      <c r="CX1300" s="168">
        <v>-2.5</v>
      </c>
      <c r="CY1300" s="169">
        <v>0</v>
      </c>
      <c r="CZ1300" s="170">
        <v>25</v>
      </c>
      <c r="DB1300" s="165">
        <v>69</v>
      </c>
      <c r="DC1300" s="167">
        <v>73.414634146341456</v>
      </c>
      <c r="DD1300" s="168">
        <v>0.6</v>
      </c>
      <c r="DE1300" s="169">
        <v>6.2</v>
      </c>
      <c r="DF1300" s="170">
        <v>56</v>
      </c>
    </row>
    <row r="1301" spans="28:110" hidden="1" x14ac:dyDescent="0.2">
      <c r="AB1301" s="165">
        <v>7</v>
      </c>
      <c r="AC1301" s="167">
        <v>18.926056338028168</v>
      </c>
      <c r="AD1301" s="168">
        <v>-0.9</v>
      </c>
      <c r="AE1301" s="169">
        <v>3.2</v>
      </c>
      <c r="AF1301" s="170">
        <v>41</v>
      </c>
      <c r="AM1301" s="20">
        <f t="shared" si="36"/>
        <v>28</v>
      </c>
      <c r="AN1301" s="165">
        <v>14</v>
      </c>
      <c r="AO1301" s="167">
        <v>70.510563380281681</v>
      </c>
      <c r="AP1301" s="168">
        <v>0.5</v>
      </c>
      <c r="AQ1301" s="169">
        <v>6</v>
      </c>
      <c r="AR1301" s="170">
        <v>55</v>
      </c>
      <c r="AS1301" s="20">
        <f t="shared" si="37"/>
        <v>-5</v>
      </c>
      <c r="AT1301" s="165">
        <v>-2.5</v>
      </c>
      <c r="AU1301" s="167">
        <v>98.857644991212652</v>
      </c>
      <c r="AV1301" s="168">
        <v>2.2999999999999998</v>
      </c>
      <c r="AW1301" s="169">
        <v>9.6</v>
      </c>
      <c r="AX1301" s="170">
        <v>73</v>
      </c>
      <c r="BK1301" s="20">
        <f t="shared" si="35"/>
        <v>30</v>
      </c>
      <c r="BL1301" s="165">
        <v>3</v>
      </c>
      <c r="BM1301" s="167">
        <v>13.162544169611307</v>
      </c>
      <c r="BN1301" s="168">
        <v>-1.1000000000000001</v>
      </c>
      <c r="BO1301" s="169">
        <v>2.8</v>
      </c>
      <c r="BP1301" s="170">
        <v>39</v>
      </c>
      <c r="BX1301" s="165">
        <v>496</v>
      </c>
      <c r="BY1301" s="167">
        <v>0.96830985915492951</v>
      </c>
      <c r="BZ1301" s="168">
        <v>-2.2999999999999998</v>
      </c>
      <c r="CA1301" s="169">
        <v>0.4</v>
      </c>
      <c r="CB1301" s="170">
        <v>27</v>
      </c>
      <c r="CP1301" s="165">
        <v>310</v>
      </c>
      <c r="CQ1301" s="167">
        <v>1.845342706502636</v>
      </c>
      <c r="CR1301" s="168">
        <v>-2.1</v>
      </c>
      <c r="CS1301" s="169">
        <v>0.8</v>
      </c>
      <c r="CT1301" s="170">
        <v>29</v>
      </c>
      <c r="CV1301" s="165">
        <v>63</v>
      </c>
      <c r="CW1301" s="167">
        <v>0.61619718309859151</v>
      </c>
      <c r="CX1301" s="168">
        <v>-2.5</v>
      </c>
      <c r="CY1301" s="169">
        <v>0</v>
      </c>
      <c r="CZ1301" s="170">
        <v>25</v>
      </c>
      <c r="DB1301" s="165">
        <v>70</v>
      </c>
      <c r="DC1301" s="167">
        <v>75.975609756097555</v>
      </c>
      <c r="DD1301" s="168">
        <v>0.7</v>
      </c>
      <c r="DE1301" s="169">
        <v>6.4</v>
      </c>
      <c r="DF1301" s="170">
        <v>57</v>
      </c>
    </row>
    <row r="1302" spans="28:110" hidden="1" x14ac:dyDescent="0.2">
      <c r="AB1302" s="165">
        <v>6</v>
      </c>
      <c r="AC1302" s="167">
        <v>24.20774647887324</v>
      </c>
      <c r="AD1302" s="168">
        <v>-0.7</v>
      </c>
      <c r="AE1302" s="169">
        <v>3.6</v>
      </c>
      <c r="AF1302" s="170">
        <v>43</v>
      </c>
      <c r="AM1302" s="20">
        <f t="shared" si="36"/>
        <v>29</v>
      </c>
      <c r="AN1302" s="165">
        <v>14.5</v>
      </c>
      <c r="AO1302" s="167">
        <v>80.193661971830991</v>
      </c>
      <c r="AP1302" s="168">
        <v>0.8</v>
      </c>
      <c r="AQ1302" s="169">
        <v>6.6</v>
      </c>
      <c r="AR1302" s="170">
        <v>58</v>
      </c>
      <c r="AS1302" s="20">
        <f t="shared" si="37"/>
        <v>-6</v>
      </c>
      <c r="AT1302" s="165">
        <v>-3</v>
      </c>
      <c r="AU1302" s="167">
        <v>99.209138840070295</v>
      </c>
      <c r="AV1302" s="168">
        <v>2.4</v>
      </c>
      <c r="AW1302" s="169">
        <v>9.8000000000000007</v>
      </c>
      <c r="AX1302" s="170">
        <v>74</v>
      </c>
      <c r="BK1302" s="20">
        <f t="shared" si="35"/>
        <v>29</v>
      </c>
      <c r="BL1302" s="165">
        <v>2.9</v>
      </c>
      <c r="BM1302" s="167">
        <v>19.257950530035338</v>
      </c>
      <c r="BN1302" s="168">
        <v>-0.9</v>
      </c>
      <c r="BO1302" s="169">
        <v>3.2</v>
      </c>
      <c r="BP1302" s="170">
        <v>41</v>
      </c>
      <c r="BX1302" s="165">
        <v>495</v>
      </c>
      <c r="BY1302" s="167">
        <v>0.96830985915492951</v>
      </c>
      <c r="BZ1302" s="168">
        <v>-2.2999999999999998</v>
      </c>
      <c r="CA1302" s="169">
        <v>0.4</v>
      </c>
      <c r="CB1302" s="170">
        <v>27</v>
      </c>
      <c r="CP1302" s="165">
        <v>309</v>
      </c>
      <c r="CQ1302" s="167">
        <v>1.845342706502636</v>
      </c>
      <c r="CR1302" s="168">
        <v>-2.1</v>
      </c>
      <c r="CS1302" s="169">
        <v>0.8</v>
      </c>
      <c r="CT1302" s="170">
        <v>29</v>
      </c>
      <c r="CV1302" s="165">
        <v>62</v>
      </c>
      <c r="CW1302" s="167">
        <v>0.61619718309859151</v>
      </c>
      <c r="CX1302" s="168">
        <v>-2.5</v>
      </c>
      <c r="CY1302" s="169">
        <v>0</v>
      </c>
      <c r="CZ1302" s="170">
        <v>25</v>
      </c>
      <c r="DB1302" s="165">
        <v>71</v>
      </c>
      <c r="DC1302" s="167">
        <v>79.268292682926827</v>
      </c>
      <c r="DD1302" s="168">
        <v>0.8</v>
      </c>
      <c r="DE1302" s="169">
        <v>6.6</v>
      </c>
      <c r="DF1302" s="170">
        <v>58</v>
      </c>
    </row>
    <row r="1303" spans="28:110" ht="13.15" hidden="1" thickBot="1" x14ac:dyDescent="0.25">
      <c r="AB1303" s="165">
        <v>5</v>
      </c>
      <c r="AC1303" s="167">
        <v>30.281690140845068</v>
      </c>
      <c r="AD1303" s="168">
        <v>-0.5</v>
      </c>
      <c r="AE1303" s="169">
        <v>4</v>
      </c>
      <c r="AF1303" s="170">
        <v>45</v>
      </c>
      <c r="AM1303" s="20">
        <f t="shared" si="36"/>
        <v>30</v>
      </c>
      <c r="AN1303" s="172">
        <v>15</v>
      </c>
      <c r="AO1303" s="173">
        <v>90.228873239436624</v>
      </c>
      <c r="AP1303" s="174">
        <v>1.3</v>
      </c>
      <c r="AQ1303" s="175">
        <v>7.6</v>
      </c>
      <c r="AR1303" s="176">
        <v>63</v>
      </c>
      <c r="AS1303" s="20">
        <f t="shared" si="37"/>
        <v>-7</v>
      </c>
      <c r="AT1303" s="165">
        <v>-3.5</v>
      </c>
      <c r="AU1303" s="167">
        <v>99.560632688927939</v>
      </c>
      <c r="AV1303" s="168">
        <v>2.6</v>
      </c>
      <c r="AW1303" s="169">
        <v>10.199999999999999</v>
      </c>
      <c r="AX1303" s="170">
        <v>76</v>
      </c>
      <c r="BK1303" s="20">
        <f t="shared" si="35"/>
        <v>28</v>
      </c>
      <c r="BL1303" s="165">
        <v>2.8</v>
      </c>
      <c r="BM1303" s="167">
        <v>19.257950530035338</v>
      </c>
      <c r="BN1303" s="168">
        <v>-0.9</v>
      </c>
      <c r="BO1303" s="169">
        <v>3.2</v>
      </c>
      <c r="BP1303" s="170">
        <v>41</v>
      </c>
      <c r="BX1303" s="165">
        <v>494</v>
      </c>
      <c r="BY1303" s="167">
        <v>0.96830985915492951</v>
      </c>
      <c r="BZ1303" s="168">
        <v>-2.2999999999999998</v>
      </c>
      <c r="CA1303" s="169">
        <v>0.4</v>
      </c>
      <c r="CB1303" s="170">
        <v>27</v>
      </c>
      <c r="CP1303" s="165">
        <v>308</v>
      </c>
      <c r="CQ1303" s="167">
        <v>1.845342706502636</v>
      </c>
      <c r="CR1303" s="168">
        <v>-2.1</v>
      </c>
      <c r="CS1303" s="169">
        <v>0.8</v>
      </c>
      <c r="CT1303" s="170">
        <v>29</v>
      </c>
      <c r="CV1303" s="165">
        <v>61</v>
      </c>
      <c r="CW1303" s="167">
        <v>0.61619718309859151</v>
      </c>
      <c r="CX1303" s="168">
        <v>-2.5</v>
      </c>
      <c r="CY1303" s="169">
        <v>0</v>
      </c>
      <c r="CZ1303" s="170">
        <v>25</v>
      </c>
      <c r="DB1303" s="165">
        <v>72</v>
      </c>
      <c r="DC1303" s="167">
        <v>82.073170731707307</v>
      </c>
      <c r="DD1303" s="168">
        <v>0.9</v>
      </c>
      <c r="DE1303" s="169">
        <v>6.8</v>
      </c>
      <c r="DF1303" s="170">
        <v>59</v>
      </c>
    </row>
    <row r="1304" spans="28:110" hidden="1" x14ac:dyDescent="0.2">
      <c r="AB1304" s="165">
        <v>4</v>
      </c>
      <c r="AC1304" s="167">
        <v>39.348591549295776</v>
      </c>
      <c r="AD1304" s="168">
        <v>-0.3</v>
      </c>
      <c r="AE1304" s="169">
        <v>4.4000000000000004</v>
      </c>
      <c r="AF1304" s="170">
        <v>47</v>
      </c>
      <c r="AS1304" s="20">
        <f t="shared" si="37"/>
        <v>-8</v>
      </c>
      <c r="AT1304" s="165">
        <v>-4</v>
      </c>
      <c r="AU1304" s="167">
        <v>99.560632688927939</v>
      </c>
      <c r="AV1304" s="168">
        <v>2.6</v>
      </c>
      <c r="AW1304" s="169">
        <v>10.199999999999999</v>
      </c>
      <c r="AX1304" s="170">
        <v>76</v>
      </c>
      <c r="BK1304" s="20">
        <f t="shared" si="35"/>
        <v>27</v>
      </c>
      <c r="BL1304" s="165">
        <v>2.7</v>
      </c>
      <c r="BM1304" s="167">
        <v>19.257950530035338</v>
      </c>
      <c r="BN1304" s="168">
        <v>-0.9</v>
      </c>
      <c r="BO1304" s="169">
        <v>3.2</v>
      </c>
      <c r="BP1304" s="170">
        <v>41</v>
      </c>
      <c r="BX1304" s="165">
        <v>493</v>
      </c>
      <c r="BY1304" s="167">
        <v>0.96830985915492951</v>
      </c>
      <c r="BZ1304" s="168">
        <v>-2.2999999999999998</v>
      </c>
      <c r="CA1304" s="169">
        <v>0.4</v>
      </c>
      <c r="CB1304" s="170">
        <v>27</v>
      </c>
      <c r="CP1304" s="165">
        <v>307</v>
      </c>
      <c r="CQ1304" s="167">
        <v>1.845342706502636</v>
      </c>
      <c r="CR1304" s="168">
        <v>-2.1</v>
      </c>
      <c r="CS1304" s="169">
        <v>0.8</v>
      </c>
      <c r="CT1304" s="170">
        <v>29</v>
      </c>
      <c r="CV1304" s="165">
        <v>60</v>
      </c>
      <c r="CW1304" s="167">
        <v>0.61619718309859151</v>
      </c>
      <c r="CX1304" s="168">
        <v>-2.5</v>
      </c>
      <c r="CY1304" s="169">
        <v>0</v>
      </c>
      <c r="CZ1304" s="170">
        <v>25</v>
      </c>
      <c r="DB1304" s="165">
        <v>73</v>
      </c>
      <c r="DC1304" s="167">
        <v>83.658536585365852</v>
      </c>
      <c r="DD1304" s="168">
        <v>1</v>
      </c>
      <c r="DE1304" s="169">
        <v>7</v>
      </c>
      <c r="DF1304" s="170">
        <v>60</v>
      </c>
    </row>
    <row r="1305" spans="28:110" ht="13.15" hidden="1" thickBot="1" x14ac:dyDescent="0.25">
      <c r="AB1305" s="165">
        <v>3</v>
      </c>
      <c r="AC1305" s="167">
        <v>50.880281690140848</v>
      </c>
      <c r="AD1305" s="168">
        <v>0</v>
      </c>
      <c r="AE1305" s="169">
        <v>5</v>
      </c>
      <c r="AF1305" s="170">
        <v>50</v>
      </c>
      <c r="AS1305" s="20">
        <f t="shared" si="37"/>
        <v>-9</v>
      </c>
      <c r="AT1305" s="165">
        <v>-4.5</v>
      </c>
      <c r="AU1305" s="167">
        <v>99.560632688927939</v>
      </c>
      <c r="AV1305" s="168">
        <v>2.6</v>
      </c>
      <c r="AW1305" s="169">
        <v>10.199999999999999</v>
      </c>
      <c r="AX1305" s="170">
        <v>76</v>
      </c>
      <c r="BK1305" s="20">
        <f t="shared" si="35"/>
        <v>26</v>
      </c>
      <c r="BL1305" s="165">
        <v>2.6</v>
      </c>
      <c r="BM1305" s="167">
        <v>19.257950530035338</v>
      </c>
      <c r="BN1305" s="168">
        <v>-0.9</v>
      </c>
      <c r="BO1305" s="169">
        <v>3.2</v>
      </c>
      <c r="BP1305" s="170">
        <v>41</v>
      </c>
      <c r="BX1305" s="165">
        <v>492</v>
      </c>
      <c r="BY1305" s="167">
        <v>0.96830985915492951</v>
      </c>
      <c r="BZ1305" s="168">
        <v>-2.2999999999999998</v>
      </c>
      <c r="CA1305" s="169">
        <v>0.4</v>
      </c>
      <c r="CB1305" s="170">
        <v>27</v>
      </c>
      <c r="CP1305" s="165">
        <v>306</v>
      </c>
      <c r="CQ1305" s="167">
        <v>1.845342706502636</v>
      </c>
      <c r="CR1305" s="168">
        <v>-2.1</v>
      </c>
      <c r="CS1305" s="169">
        <v>0.8</v>
      </c>
      <c r="CT1305" s="170">
        <v>29</v>
      </c>
      <c r="CV1305" s="165">
        <v>59</v>
      </c>
      <c r="CW1305" s="167">
        <v>0.61619718309859151</v>
      </c>
      <c r="CX1305" s="168">
        <v>-2.5</v>
      </c>
      <c r="CY1305" s="169">
        <v>0</v>
      </c>
      <c r="CZ1305" s="170">
        <v>25</v>
      </c>
      <c r="DB1305" s="165">
        <v>74</v>
      </c>
      <c r="DC1305" s="167">
        <v>85.487804878048777</v>
      </c>
      <c r="DD1305" s="168">
        <v>1.1000000000000001</v>
      </c>
      <c r="DE1305" s="169">
        <v>7.2</v>
      </c>
      <c r="DF1305" s="170">
        <v>61</v>
      </c>
    </row>
    <row r="1306" spans="28:110" ht="13.15" hidden="1" x14ac:dyDescent="0.25">
      <c r="AB1306" s="165">
        <v>2</v>
      </c>
      <c r="AC1306" s="167">
        <v>64.260563380281681</v>
      </c>
      <c r="AD1306" s="168">
        <v>0.4</v>
      </c>
      <c r="AE1306" s="169">
        <v>5.8</v>
      </c>
      <c r="AF1306" s="170">
        <v>54</v>
      </c>
      <c r="AN1306" s="138" t="s">
        <v>186</v>
      </c>
      <c r="AO1306" s="139"/>
      <c r="AP1306" s="139"/>
      <c r="AQ1306" s="140" t="s">
        <v>180</v>
      </c>
      <c r="AR1306" s="141">
        <v>568</v>
      </c>
      <c r="AS1306" s="20">
        <f t="shared" si="37"/>
        <v>-10</v>
      </c>
      <c r="AT1306" s="165">
        <v>-5</v>
      </c>
      <c r="AU1306" s="167">
        <v>99.73637961335676</v>
      </c>
      <c r="AV1306" s="168">
        <v>2.8</v>
      </c>
      <c r="AW1306" s="169">
        <v>10.6</v>
      </c>
      <c r="AX1306" s="170">
        <v>78</v>
      </c>
      <c r="BK1306" s="20">
        <f t="shared" si="35"/>
        <v>25</v>
      </c>
      <c r="BL1306" s="165">
        <v>2.5</v>
      </c>
      <c r="BM1306" s="167">
        <v>19.257950530035338</v>
      </c>
      <c r="BN1306" s="168">
        <v>-0.9</v>
      </c>
      <c r="BO1306" s="169">
        <v>3.2</v>
      </c>
      <c r="BP1306" s="170">
        <v>41</v>
      </c>
      <c r="BX1306" s="165">
        <v>491</v>
      </c>
      <c r="BY1306" s="167">
        <v>0.96830985915492951</v>
      </c>
      <c r="BZ1306" s="168">
        <v>-2.2999999999999998</v>
      </c>
      <c r="CA1306" s="169">
        <v>0.4</v>
      </c>
      <c r="CB1306" s="170">
        <v>27</v>
      </c>
      <c r="CP1306" s="165">
        <v>305</v>
      </c>
      <c r="CQ1306" s="167">
        <v>1.845342706502636</v>
      </c>
      <c r="CR1306" s="168">
        <v>-2.1</v>
      </c>
      <c r="CS1306" s="169">
        <v>0.8</v>
      </c>
      <c r="CT1306" s="170">
        <v>29</v>
      </c>
      <c r="CV1306" s="165">
        <v>58</v>
      </c>
      <c r="CW1306" s="167">
        <v>0.61619718309859151</v>
      </c>
      <c r="CX1306" s="168">
        <v>-2.5</v>
      </c>
      <c r="CY1306" s="169">
        <v>0</v>
      </c>
      <c r="CZ1306" s="170">
        <v>25</v>
      </c>
      <c r="DB1306" s="165">
        <v>75</v>
      </c>
      <c r="DC1306" s="167">
        <v>86.951219512195124</v>
      </c>
      <c r="DD1306" s="168">
        <v>1.1000000000000001</v>
      </c>
      <c r="DE1306" s="169">
        <v>7.2</v>
      </c>
      <c r="DF1306" s="170">
        <v>61</v>
      </c>
    </row>
    <row r="1307" spans="28:110" hidden="1" x14ac:dyDescent="0.2">
      <c r="AB1307" s="165">
        <v>1</v>
      </c>
      <c r="AC1307" s="167">
        <v>78.873239436619713</v>
      </c>
      <c r="AD1307" s="168">
        <v>0.8</v>
      </c>
      <c r="AE1307" s="169">
        <v>6.6</v>
      </c>
      <c r="AF1307" s="170">
        <v>58</v>
      </c>
      <c r="AN1307" s="144" t="s">
        <v>161</v>
      </c>
      <c r="AP1307" s="20" t="s">
        <v>162</v>
      </c>
      <c r="AR1307" s="145"/>
      <c r="AS1307" s="20">
        <f t="shared" si="37"/>
        <v>-11</v>
      </c>
      <c r="AT1307" s="165">
        <v>-5.5</v>
      </c>
      <c r="AU1307" s="167">
        <v>99.73637961335676</v>
      </c>
      <c r="AV1307" s="168">
        <v>2.8</v>
      </c>
      <c r="AW1307" s="169">
        <v>10.6</v>
      </c>
      <c r="AX1307" s="170">
        <v>78</v>
      </c>
      <c r="BK1307" s="20">
        <f t="shared" si="35"/>
        <v>24</v>
      </c>
      <c r="BL1307" s="165">
        <v>2.4</v>
      </c>
      <c r="BM1307" s="167">
        <v>21.113074204946997</v>
      </c>
      <c r="BN1307" s="168">
        <v>-0.8</v>
      </c>
      <c r="BO1307" s="169">
        <v>3.4</v>
      </c>
      <c r="BP1307" s="170">
        <v>42</v>
      </c>
      <c r="BX1307" s="165">
        <v>490</v>
      </c>
      <c r="BY1307" s="167">
        <v>0.96830985915492951</v>
      </c>
      <c r="BZ1307" s="168">
        <v>-2.2999999999999998</v>
      </c>
      <c r="CA1307" s="169">
        <v>0.4</v>
      </c>
      <c r="CB1307" s="170">
        <v>27</v>
      </c>
      <c r="CP1307" s="165">
        <v>304</v>
      </c>
      <c r="CQ1307" s="167">
        <v>1.845342706502636</v>
      </c>
      <c r="CR1307" s="168">
        <v>-2.1</v>
      </c>
      <c r="CS1307" s="169">
        <v>0.8</v>
      </c>
      <c r="CT1307" s="170">
        <v>29</v>
      </c>
      <c r="CV1307" s="165">
        <v>57</v>
      </c>
      <c r="CW1307" s="167">
        <v>0.61619718309859151</v>
      </c>
      <c r="CX1307" s="168">
        <v>-2.5</v>
      </c>
      <c r="CY1307" s="169">
        <v>0</v>
      </c>
      <c r="CZ1307" s="170">
        <v>25</v>
      </c>
      <c r="DB1307" s="165">
        <v>76</v>
      </c>
      <c r="DC1307" s="167">
        <v>88.170731707317074</v>
      </c>
      <c r="DD1307" s="168">
        <v>1.2</v>
      </c>
      <c r="DE1307" s="169">
        <v>7.4</v>
      </c>
      <c r="DF1307" s="170">
        <v>62</v>
      </c>
    </row>
    <row r="1308" spans="28:110" ht="13.15" hidden="1" thickBot="1" x14ac:dyDescent="0.25">
      <c r="AB1308" s="172">
        <v>0</v>
      </c>
      <c r="AC1308" s="173">
        <v>93.045774647887328</v>
      </c>
      <c r="AD1308" s="174">
        <v>1.5</v>
      </c>
      <c r="AE1308" s="175">
        <v>8</v>
      </c>
      <c r="AF1308" s="176">
        <v>65</v>
      </c>
      <c r="AN1308" s="147" t="s">
        <v>195</v>
      </c>
      <c r="AO1308" s="148"/>
      <c r="AP1308" s="148"/>
      <c r="AQ1308" s="148"/>
      <c r="AR1308" s="149"/>
      <c r="AS1308" s="20">
        <f t="shared" si="37"/>
        <v>-12</v>
      </c>
      <c r="AT1308" s="165">
        <v>-6</v>
      </c>
      <c r="AU1308" s="167">
        <v>99.912126537785582</v>
      </c>
      <c r="AV1308" s="168">
        <v>3</v>
      </c>
      <c r="AW1308" s="169">
        <v>11</v>
      </c>
      <c r="AX1308" s="170">
        <v>80</v>
      </c>
      <c r="BK1308" s="20">
        <f t="shared" si="35"/>
        <v>23</v>
      </c>
      <c r="BL1308" s="165">
        <v>2.2999999999999998</v>
      </c>
      <c r="BM1308" s="167">
        <v>23.233215547703182</v>
      </c>
      <c r="BN1308" s="168">
        <v>-0.7</v>
      </c>
      <c r="BO1308" s="169">
        <v>3.6</v>
      </c>
      <c r="BP1308" s="170">
        <v>43</v>
      </c>
      <c r="BX1308" s="165">
        <v>489</v>
      </c>
      <c r="BY1308" s="167">
        <v>0.96830985915492951</v>
      </c>
      <c r="BZ1308" s="168">
        <v>-2.2999999999999998</v>
      </c>
      <c r="CA1308" s="169">
        <v>0.4</v>
      </c>
      <c r="CB1308" s="170">
        <v>27</v>
      </c>
      <c r="CP1308" s="165">
        <v>303</v>
      </c>
      <c r="CQ1308" s="167">
        <v>1.845342706502636</v>
      </c>
      <c r="CR1308" s="168">
        <v>-2.1</v>
      </c>
      <c r="CS1308" s="169">
        <v>0.8</v>
      </c>
      <c r="CT1308" s="170">
        <v>29</v>
      </c>
      <c r="CV1308" s="165">
        <v>56</v>
      </c>
      <c r="CW1308" s="167">
        <v>0.61619718309859151</v>
      </c>
      <c r="CX1308" s="168">
        <v>-2.5</v>
      </c>
      <c r="CY1308" s="169">
        <v>0</v>
      </c>
      <c r="CZ1308" s="170">
        <v>25</v>
      </c>
      <c r="DB1308" s="165">
        <v>77</v>
      </c>
      <c r="DC1308" s="167">
        <v>90</v>
      </c>
      <c r="DD1308" s="168">
        <v>1.3</v>
      </c>
      <c r="DE1308" s="169">
        <v>7.6</v>
      </c>
      <c r="DF1308" s="170">
        <v>63</v>
      </c>
    </row>
    <row r="1309" spans="28:110" ht="13.15" hidden="1" thickBot="1" x14ac:dyDescent="0.25">
      <c r="AN1309" s="150" t="s">
        <v>164</v>
      </c>
      <c r="AO1309" s="151" t="s">
        <v>30</v>
      </c>
      <c r="AP1309" s="152"/>
      <c r="AQ1309" s="152"/>
      <c r="AR1309" s="153"/>
      <c r="AS1309" s="20">
        <f t="shared" si="37"/>
        <v>-13</v>
      </c>
      <c r="AT1309" s="172">
        <v>-6.5</v>
      </c>
      <c r="AU1309" s="173">
        <v>99.912126537785582</v>
      </c>
      <c r="AV1309" s="174">
        <v>3</v>
      </c>
      <c r="AW1309" s="175">
        <v>11</v>
      </c>
      <c r="AX1309" s="176">
        <v>80</v>
      </c>
      <c r="BK1309" s="20">
        <f t="shared" si="35"/>
        <v>22</v>
      </c>
      <c r="BL1309" s="165">
        <v>2.2000000000000002</v>
      </c>
      <c r="BM1309" s="167">
        <v>25.441696113074201</v>
      </c>
      <c r="BN1309" s="168">
        <v>-0.7</v>
      </c>
      <c r="BO1309" s="169">
        <v>3.6</v>
      </c>
      <c r="BP1309" s="170">
        <v>43</v>
      </c>
      <c r="BX1309" s="165">
        <v>488</v>
      </c>
      <c r="BY1309" s="167">
        <v>0.96830985915492951</v>
      </c>
      <c r="BZ1309" s="168">
        <v>-2.2999999999999998</v>
      </c>
      <c r="CA1309" s="169">
        <v>0.4</v>
      </c>
      <c r="CB1309" s="170">
        <v>27</v>
      </c>
      <c r="CP1309" s="165">
        <v>302</v>
      </c>
      <c r="CQ1309" s="167">
        <v>1.845342706502636</v>
      </c>
      <c r="CR1309" s="168">
        <v>-2.1</v>
      </c>
      <c r="CS1309" s="169">
        <v>0.8</v>
      </c>
      <c r="CT1309" s="170">
        <v>29</v>
      </c>
      <c r="CV1309" s="165">
        <v>55</v>
      </c>
      <c r="CW1309" s="167">
        <v>0.61619718309859151</v>
      </c>
      <c r="CX1309" s="168">
        <v>-2.5</v>
      </c>
      <c r="CY1309" s="169">
        <v>0</v>
      </c>
      <c r="CZ1309" s="170">
        <v>25</v>
      </c>
      <c r="DB1309" s="165">
        <v>78</v>
      </c>
      <c r="DC1309" s="167">
        <v>91.585365853658544</v>
      </c>
      <c r="DD1309" s="168">
        <v>1.4</v>
      </c>
      <c r="DE1309" s="169">
        <v>7.8</v>
      </c>
      <c r="DF1309" s="170">
        <v>64</v>
      </c>
    </row>
    <row r="1310" spans="28:110" ht="13.15" hidden="1" thickBot="1" x14ac:dyDescent="0.25">
      <c r="AN1310" s="155" t="s">
        <v>10</v>
      </c>
      <c r="AO1310" s="158" t="s">
        <v>13</v>
      </c>
      <c r="AP1310" s="156" t="s">
        <v>14</v>
      </c>
      <c r="AQ1310" s="156" t="s">
        <v>15</v>
      </c>
      <c r="AR1310" s="159" t="s">
        <v>16</v>
      </c>
      <c r="BK1310" s="20">
        <f t="shared" ref="BK1310:BK1331" si="38">BL1310*10</f>
        <v>21</v>
      </c>
      <c r="BL1310" s="165">
        <v>2.1</v>
      </c>
      <c r="BM1310" s="167">
        <v>27.738515901060069</v>
      </c>
      <c r="BN1310" s="168">
        <v>-0.6</v>
      </c>
      <c r="BO1310" s="169">
        <v>3.8</v>
      </c>
      <c r="BP1310" s="170">
        <v>44</v>
      </c>
      <c r="BX1310" s="165">
        <v>487</v>
      </c>
      <c r="BY1310" s="167">
        <v>0.96830985915492951</v>
      </c>
      <c r="BZ1310" s="168">
        <v>-2.2999999999999998</v>
      </c>
      <c r="CA1310" s="169">
        <v>0.4</v>
      </c>
      <c r="CB1310" s="170">
        <v>27</v>
      </c>
      <c r="CP1310" s="165">
        <v>301</v>
      </c>
      <c r="CQ1310" s="167">
        <v>1.845342706502636</v>
      </c>
      <c r="CR1310" s="168">
        <v>-2.1</v>
      </c>
      <c r="CS1310" s="169">
        <v>0.8</v>
      </c>
      <c r="CT1310" s="170">
        <v>29</v>
      </c>
      <c r="CV1310" s="165">
        <v>54</v>
      </c>
      <c r="CW1310" s="167">
        <v>0.61619718309859151</v>
      </c>
      <c r="CX1310" s="168">
        <v>-2.5</v>
      </c>
      <c r="CY1310" s="169">
        <v>0</v>
      </c>
      <c r="CZ1310" s="170">
        <v>25</v>
      </c>
      <c r="DB1310" s="165">
        <v>79</v>
      </c>
      <c r="DC1310" s="167">
        <v>93.048780487804876</v>
      </c>
      <c r="DD1310" s="168">
        <v>1.5</v>
      </c>
      <c r="DE1310" s="169">
        <v>8</v>
      </c>
      <c r="DF1310" s="170">
        <v>65</v>
      </c>
    </row>
    <row r="1311" spans="28:110" ht="13.8" hidden="1" thickBot="1" x14ac:dyDescent="0.3">
      <c r="AB1311" s="138" t="s">
        <v>159</v>
      </c>
      <c r="AC1311" s="139"/>
      <c r="AD1311" s="139"/>
      <c r="AE1311" s="140"/>
      <c r="AF1311" s="141" t="s">
        <v>167</v>
      </c>
      <c r="AM1311" s="20">
        <f t="shared" ref="AM1311:AM1327" si="39">AN1311*2</f>
        <v>10</v>
      </c>
      <c r="AN1311" s="160">
        <v>5</v>
      </c>
      <c r="AO1311" s="161">
        <v>8.8028169014084515E-2</v>
      </c>
      <c r="AP1311" s="162">
        <v>-3</v>
      </c>
      <c r="AQ1311" s="163">
        <v>-1</v>
      </c>
      <c r="AR1311" s="164">
        <v>20</v>
      </c>
      <c r="BK1311" s="20">
        <f t="shared" si="38"/>
        <v>20</v>
      </c>
      <c r="BL1311" s="165">
        <v>2</v>
      </c>
      <c r="BM1311" s="167">
        <v>29.593639575971732</v>
      </c>
      <c r="BN1311" s="168">
        <v>-0.5</v>
      </c>
      <c r="BO1311" s="169">
        <v>4</v>
      </c>
      <c r="BP1311" s="170">
        <v>45</v>
      </c>
      <c r="BX1311" s="165">
        <v>486</v>
      </c>
      <c r="BY1311" s="167">
        <v>0.96830985915492951</v>
      </c>
      <c r="BZ1311" s="168">
        <v>-2.2999999999999998</v>
      </c>
      <c r="CA1311" s="169">
        <v>0.4</v>
      </c>
      <c r="CB1311" s="170">
        <v>27</v>
      </c>
      <c r="CP1311" s="165">
        <v>300</v>
      </c>
      <c r="CQ1311" s="167">
        <v>1.845342706502636</v>
      </c>
      <c r="CR1311" s="168">
        <v>-2.1</v>
      </c>
      <c r="CS1311" s="169">
        <v>0.8</v>
      </c>
      <c r="CT1311" s="170">
        <v>29</v>
      </c>
      <c r="CV1311" s="165">
        <v>53</v>
      </c>
      <c r="CW1311" s="167">
        <v>0.61619718309859151</v>
      </c>
      <c r="CX1311" s="168">
        <v>-2.5</v>
      </c>
      <c r="CY1311" s="169">
        <v>0</v>
      </c>
      <c r="CZ1311" s="170">
        <v>25</v>
      </c>
      <c r="DB1311" s="165">
        <v>80</v>
      </c>
      <c r="DC1311" s="167">
        <v>94.146341463414629</v>
      </c>
      <c r="DD1311" s="168">
        <v>1.6</v>
      </c>
      <c r="DE1311" s="169">
        <v>8.1999999999999993</v>
      </c>
      <c r="DF1311" s="170">
        <v>66</v>
      </c>
    </row>
    <row r="1312" spans="28:110" ht="13.15" hidden="1" x14ac:dyDescent="0.25">
      <c r="AB1312" s="144" t="s">
        <v>161</v>
      </c>
      <c r="AD1312" s="20" t="s">
        <v>162</v>
      </c>
      <c r="AF1312" s="145"/>
      <c r="AM1312" s="20">
        <f t="shared" si="39"/>
        <v>9</v>
      </c>
      <c r="AN1312" s="165">
        <v>4.5</v>
      </c>
      <c r="AO1312" s="167">
        <v>0.2640845070422535</v>
      </c>
      <c r="AP1312" s="168">
        <v>-2.8</v>
      </c>
      <c r="AQ1312" s="169">
        <v>-0.6</v>
      </c>
      <c r="AR1312" s="170">
        <v>22</v>
      </c>
      <c r="AT1312" s="138" t="s">
        <v>203</v>
      </c>
      <c r="AU1312" s="139"/>
      <c r="AV1312" s="139"/>
      <c r="AW1312" s="140"/>
      <c r="AX1312" s="141" t="s">
        <v>160</v>
      </c>
      <c r="BK1312" s="20">
        <f t="shared" si="38"/>
        <v>19</v>
      </c>
      <c r="BL1312" s="165">
        <v>1.9</v>
      </c>
      <c r="BM1312" s="167">
        <v>30.918727915194346</v>
      </c>
      <c r="BN1312" s="168">
        <v>-0.5</v>
      </c>
      <c r="BO1312" s="169">
        <v>4</v>
      </c>
      <c r="BP1312" s="170">
        <v>45</v>
      </c>
      <c r="BX1312" s="165">
        <v>485</v>
      </c>
      <c r="BY1312" s="167">
        <v>0.96830985915492951</v>
      </c>
      <c r="BZ1312" s="168">
        <v>-2.2999999999999998</v>
      </c>
      <c r="CA1312" s="169">
        <v>0.4</v>
      </c>
      <c r="CB1312" s="170">
        <v>27</v>
      </c>
      <c r="CP1312" s="165">
        <v>299</v>
      </c>
      <c r="CQ1312" s="167">
        <v>2.1089630931458698</v>
      </c>
      <c r="CR1312" s="168">
        <v>-2</v>
      </c>
      <c r="CS1312" s="169">
        <v>1</v>
      </c>
      <c r="CT1312" s="170">
        <v>30</v>
      </c>
      <c r="CV1312" s="165">
        <v>52</v>
      </c>
      <c r="CW1312" s="167">
        <v>0.61619718309859151</v>
      </c>
      <c r="CX1312" s="168">
        <v>-2.5</v>
      </c>
      <c r="CY1312" s="169">
        <v>0</v>
      </c>
      <c r="CZ1312" s="170">
        <v>25</v>
      </c>
      <c r="DB1312" s="165">
        <v>81</v>
      </c>
      <c r="DC1312" s="167">
        <v>95</v>
      </c>
      <c r="DD1312" s="168">
        <v>1.6</v>
      </c>
      <c r="DE1312" s="169">
        <v>8.1999999999999993</v>
      </c>
      <c r="DF1312" s="170">
        <v>66</v>
      </c>
    </row>
    <row r="1313" spans="28:110" ht="13.15" hidden="1" thickBot="1" x14ac:dyDescent="0.25">
      <c r="AB1313" s="147" t="s">
        <v>178</v>
      </c>
      <c r="AC1313" s="148"/>
      <c r="AD1313" s="148"/>
      <c r="AE1313" s="148"/>
      <c r="AF1313" s="149"/>
      <c r="AM1313" s="20">
        <f t="shared" si="39"/>
        <v>8</v>
      </c>
      <c r="AN1313" s="165">
        <v>4</v>
      </c>
      <c r="AO1313" s="167">
        <v>0.96830985915492951</v>
      </c>
      <c r="AP1313" s="168">
        <v>-2.2999999999999998</v>
      </c>
      <c r="AQ1313" s="169">
        <v>0.4</v>
      </c>
      <c r="AR1313" s="170">
        <v>27</v>
      </c>
      <c r="AT1313" s="144" t="s">
        <v>161</v>
      </c>
      <c r="AV1313" s="20" t="s">
        <v>162</v>
      </c>
      <c r="AX1313" s="145"/>
      <c r="BK1313" s="20">
        <f t="shared" si="38"/>
        <v>18</v>
      </c>
      <c r="BL1313" s="165">
        <v>1.8</v>
      </c>
      <c r="BM1313" s="167">
        <v>33.303886925795048</v>
      </c>
      <c r="BN1313" s="168">
        <v>-0.4</v>
      </c>
      <c r="BO1313" s="169">
        <v>4.2</v>
      </c>
      <c r="BP1313" s="170">
        <v>46</v>
      </c>
      <c r="BX1313" s="165">
        <v>484</v>
      </c>
      <c r="BY1313" s="167">
        <v>0.96830985915492951</v>
      </c>
      <c r="BZ1313" s="168">
        <v>-2.2999999999999998</v>
      </c>
      <c r="CA1313" s="169">
        <v>0.4</v>
      </c>
      <c r="CB1313" s="170">
        <v>27</v>
      </c>
      <c r="CP1313" s="165">
        <v>298</v>
      </c>
      <c r="CQ1313" s="167">
        <v>2.1089630931458698</v>
      </c>
      <c r="CR1313" s="168">
        <v>-2</v>
      </c>
      <c r="CS1313" s="169">
        <v>1</v>
      </c>
      <c r="CT1313" s="170">
        <v>30</v>
      </c>
      <c r="CV1313" s="165">
        <v>51</v>
      </c>
      <c r="CW1313" s="167">
        <v>0.61619718309859151</v>
      </c>
      <c r="CX1313" s="168">
        <v>-2.5</v>
      </c>
      <c r="CY1313" s="169">
        <v>0</v>
      </c>
      <c r="CZ1313" s="170">
        <v>25</v>
      </c>
      <c r="DB1313" s="165">
        <v>82</v>
      </c>
      <c r="DC1313" s="167">
        <v>95.731707317073173</v>
      </c>
      <c r="DD1313" s="168">
        <v>1.7</v>
      </c>
      <c r="DE1313" s="169">
        <v>8.4</v>
      </c>
      <c r="DF1313" s="170">
        <v>67</v>
      </c>
    </row>
    <row r="1314" spans="28:110" ht="13.15" hidden="1" thickBot="1" x14ac:dyDescent="0.25">
      <c r="AB1314" s="150" t="s">
        <v>164</v>
      </c>
      <c r="AC1314" s="151" t="s">
        <v>34</v>
      </c>
      <c r="AD1314" s="152"/>
      <c r="AE1314" s="152"/>
      <c r="AF1314" s="153"/>
      <c r="AM1314" s="20">
        <f t="shared" si="39"/>
        <v>7</v>
      </c>
      <c r="AN1314" s="165">
        <v>3.5</v>
      </c>
      <c r="AO1314" s="167">
        <v>1.8485915492957745</v>
      </c>
      <c r="AP1314" s="168">
        <v>-2.1</v>
      </c>
      <c r="AQ1314" s="169">
        <v>0.8</v>
      </c>
      <c r="AR1314" s="170">
        <v>29</v>
      </c>
      <c r="AT1314" s="147" t="s">
        <v>211</v>
      </c>
      <c r="AU1314" s="148"/>
      <c r="AV1314" s="148"/>
      <c r="AW1314" s="148"/>
      <c r="AX1314" s="149"/>
      <c r="BK1314" s="20">
        <f t="shared" si="38"/>
        <v>17</v>
      </c>
      <c r="BL1314" s="165">
        <v>1.7</v>
      </c>
      <c r="BM1314" s="167">
        <v>36.660777385159008</v>
      </c>
      <c r="BN1314" s="168">
        <v>-0.3</v>
      </c>
      <c r="BO1314" s="169">
        <v>4.4000000000000004</v>
      </c>
      <c r="BP1314" s="170">
        <v>47</v>
      </c>
      <c r="BX1314" s="165">
        <v>483</v>
      </c>
      <c r="BY1314" s="167">
        <v>0.96830985915492951</v>
      </c>
      <c r="BZ1314" s="168">
        <v>-2.2999999999999998</v>
      </c>
      <c r="CA1314" s="169">
        <v>0.4</v>
      </c>
      <c r="CB1314" s="170">
        <v>27</v>
      </c>
      <c r="CP1314" s="165">
        <v>297</v>
      </c>
      <c r="CQ1314" s="167">
        <v>2.1089630931458698</v>
      </c>
      <c r="CR1314" s="168">
        <v>-2</v>
      </c>
      <c r="CS1314" s="169">
        <v>1</v>
      </c>
      <c r="CT1314" s="170">
        <v>30</v>
      </c>
      <c r="CV1314" s="165">
        <v>50</v>
      </c>
      <c r="CW1314" s="167">
        <v>0.61619718309859151</v>
      </c>
      <c r="CX1314" s="168">
        <v>-2.5</v>
      </c>
      <c r="CY1314" s="169">
        <v>0</v>
      </c>
      <c r="CZ1314" s="170">
        <v>25</v>
      </c>
      <c r="DB1314" s="165">
        <v>83</v>
      </c>
      <c r="DC1314" s="167">
        <v>96.219512195121951</v>
      </c>
      <c r="DD1314" s="168">
        <v>1.8</v>
      </c>
      <c r="DE1314" s="169">
        <v>8.6</v>
      </c>
      <c r="DF1314" s="170">
        <v>68</v>
      </c>
    </row>
    <row r="1315" spans="28:110" ht="13.15" hidden="1" thickBot="1" x14ac:dyDescent="0.25">
      <c r="AB1315" s="155" t="s">
        <v>10</v>
      </c>
      <c r="AC1315" s="158" t="s">
        <v>13</v>
      </c>
      <c r="AD1315" s="156" t="s">
        <v>14</v>
      </c>
      <c r="AE1315" s="156" t="s">
        <v>15</v>
      </c>
      <c r="AF1315" s="159" t="s">
        <v>16</v>
      </c>
      <c r="AM1315" s="20">
        <f t="shared" si="39"/>
        <v>6</v>
      </c>
      <c r="AN1315" s="165">
        <v>3</v>
      </c>
      <c r="AO1315" s="167">
        <v>4.0492957746478879</v>
      </c>
      <c r="AP1315" s="168">
        <v>-1.7</v>
      </c>
      <c r="AQ1315" s="169">
        <v>1.6</v>
      </c>
      <c r="AR1315" s="170">
        <v>33</v>
      </c>
      <c r="AT1315" s="150" t="s">
        <v>164</v>
      </c>
      <c r="AU1315" s="151" t="s">
        <v>32</v>
      </c>
      <c r="AV1315" s="152"/>
      <c r="AW1315" s="152"/>
      <c r="AX1315" s="153"/>
      <c r="BK1315" s="20">
        <f t="shared" si="38"/>
        <v>16</v>
      </c>
      <c r="BL1315" s="165">
        <v>1.6</v>
      </c>
      <c r="BM1315" s="167">
        <v>39.399293286219084</v>
      </c>
      <c r="BN1315" s="168">
        <v>-0.3</v>
      </c>
      <c r="BO1315" s="169">
        <v>4.4000000000000004</v>
      </c>
      <c r="BP1315" s="170">
        <v>47</v>
      </c>
      <c r="BX1315" s="165">
        <v>482</v>
      </c>
      <c r="BY1315" s="167">
        <v>0.96830985915492951</v>
      </c>
      <c r="BZ1315" s="168">
        <v>-2.2999999999999998</v>
      </c>
      <c r="CA1315" s="169">
        <v>0.4</v>
      </c>
      <c r="CB1315" s="170">
        <v>27</v>
      </c>
      <c r="CP1315" s="165">
        <v>296</v>
      </c>
      <c r="CQ1315" s="167">
        <v>2.1089630931458698</v>
      </c>
      <c r="CR1315" s="168">
        <v>-2</v>
      </c>
      <c r="CS1315" s="169">
        <v>1</v>
      </c>
      <c r="CT1315" s="170">
        <v>30</v>
      </c>
      <c r="CV1315" s="165">
        <v>49</v>
      </c>
      <c r="CW1315" s="167">
        <v>0.79225352112676051</v>
      </c>
      <c r="CX1315" s="168">
        <v>-2.4</v>
      </c>
      <c r="CY1315" s="169">
        <v>0.2</v>
      </c>
      <c r="CZ1315" s="170">
        <v>26</v>
      </c>
      <c r="DB1315" s="165">
        <v>84</v>
      </c>
      <c r="DC1315" s="167">
        <v>96.951219512195124</v>
      </c>
      <c r="DD1315" s="168">
        <v>1.9</v>
      </c>
      <c r="DE1315" s="169">
        <v>8.8000000000000007</v>
      </c>
      <c r="DF1315" s="170">
        <v>69</v>
      </c>
    </row>
    <row r="1316" spans="28:110" ht="13.15" hidden="1" thickBot="1" x14ac:dyDescent="0.25">
      <c r="AB1316" s="160">
        <v>17</v>
      </c>
      <c r="AC1316" s="161">
        <v>8.8028169014084515E-2</v>
      </c>
      <c r="AD1316" s="162">
        <v>-3</v>
      </c>
      <c r="AE1316" s="163">
        <v>-1</v>
      </c>
      <c r="AF1316" s="164">
        <v>20</v>
      </c>
      <c r="AM1316" s="20">
        <f t="shared" si="39"/>
        <v>5</v>
      </c>
      <c r="AN1316" s="165">
        <v>2.5</v>
      </c>
      <c r="AO1316" s="167">
        <v>6.7781690140845079</v>
      </c>
      <c r="AP1316" s="168">
        <v>-1.5</v>
      </c>
      <c r="AQ1316" s="169">
        <v>2</v>
      </c>
      <c r="AR1316" s="170">
        <v>35</v>
      </c>
      <c r="AT1316" s="155" t="s">
        <v>10</v>
      </c>
      <c r="AU1316" s="158" t="s">
        <v>13</v>
      </c>
      <c r="AV1316" s="156" t="s">
        <v>14</v>
      </c>
      <c r="AW1316" s="156" t="s">
        <v>15</v>
      </c>
      <c r="AX1316" s="159" t="s">
        <v>16</v>
      </c>
      <c r="BK1316" s="20">
        <f t="shared" si="38"/>
        <v>15</v>
      </c>
      <c r="BL1316" s="165">
        <v>1.5</v>
      </c>
      <c r="BM1316" s="167">
        <v>42.049469964664311</v>
      </c>
      <c r="BN1316" s="168">
        <v>-0.2</v>
      </c>
      <c r="BO1316" s="169">
        <v>4.5999999999999996</v>
      </c>
      <c r="BP1316" s="170">
        <v>48</v>
      </c>
      <c r="BX1316" s="165">
        <v>481</v>
      </c>
      <c r="BY1316" s="167">
        <v>0.96830985915492951</v>
      </c>
      <c r="BZ1316" s="168">
        <v>-2.2999999999999998</v>
      </c>
      <c r="CA1316" s="169">
        <v>0.4</v>
      </c>
      <c r="CB1316" s="170">
        <v>27</v>
      </c>
      <c r="CP1316" s="165">
        <v>295</v>
      </c>
      <c r="CQ1316" s="167">
        <v>2.1089630931458698</v>
      </c>
      <c r="CR1316" s="168">
        <v>-2</v>
      </c>
      <c r="CS1316" s="169">
        <v>1</v>
      </c>
      <c r="CT1316" s="170">
        <v>30</v>
      </c>
      <c r="CV1316" s="165">
        <v>48</v>
      </c>
      <c r="CW1316" s="167">
        <v>0.79225352112676051</v>
      </c>
      <c r="CX1316" s="168">
        <v>-2.4</v>
      </c>
      <c r="CY1316" s="169">
        <v>0.2</v>
      </c>
      <c r="CZ1316" s="170">
        <v>26</v>
      </c>
      <c r="DB1316" s="165">
        <v>85</v>
      </c>
      <c r="DC1316" s="167">
        <v>97.682926829268297</v>
      </c>
      <c r="DD1316" s="168">
        <v>2</v>
      </c>
      <c r="DE1316" s="169">
        <v>9</v>
      </c>
      <c r="DF1316" s="170">
        <v>70</v>
      </c>
    </row>
    <row r="1317" spans="28:110" hidden="1" x14ac:dyDescent="0.2">
      <c r="AB1317" s="165">
        <v>16</v>
      </c>
      <c r="AC1317" s="167">
        <v>0.35211267605633806</v>
      </c>
      <c r="AD1317" s="168">
        <v>-2.7</v>
      </c>
      <c r="AE1317" s="169">
        <v>-0.4</v>
      </c>
      <c r="AF1317" s="170">
        <v>23</v>
      </c>
      <c r="AM1317" s="20">
        <f t="shared" si="39"/>
        <v>4</v>
      </c>
      <c r="AN1317" s="165">
        <v>2</v>
      </c>
      <c r="AO1317" s="167">
        <v>11.883802816901408</v>
      </c>
      <c r="AP1317" s="168">
        <v>-1.2</v>
      </c>
      <c r="AQ1317" s="169">
        <v>2.6</v>
      </c>
      <c r="AR1317" s="170">
        <v>38</v>
      </c>
      <c r="AS1317" s="20">
        <f t="shared" ref="AS1317:AS1347" si="40">AT1317*2</f>
        <v>18</v>
      </c>
      <c r="AT1317" s="165">
        <v>9</v>
      </c>
      <c r="AU1317" s="167">
        <v>8.7873462214411238E-2</v>
      </c>
      <c r="AV1317" s="168">
        <v>-3</v>
      </c>
      <c r="AW1317" s="169">
        <v>-1</v>
      </c>
      <c r="AX1317" s="170">
        <v>20</v>
      </c>
      <c r="BK1317" s="20">
        <f t="shared" si="38"/>
        <v>14</v>
      </c>
      <c r="BL1317" s="165">
        <v>1.4</v>
      </c>
      <c r="BM1317" s="167">
        <v>45.141342756183747</v>
      </c>
      <c r="BN1317" s="168">
        <v>-0.1</v>
      </c>
      <c r="BO1317" s="169">
        <v>4.8</v>
      </c>
      <c r="BP1317" s="170">
        <v>49</v>
      </c>
      <c r="BX1317" s="165">
        <v>480</v>
      </c>
      <c r="BY1317" s="167">
        <v>0.96830985915492951</v>
      </c>
      <c r="BZ1317" s="168">
        <v>-2.2999999999999998</v>
      </c>
      <c r="CA1317" s="169">
        <v>0.4</v>
      </c>
      <c r="CB1317" s="170">
        <v>27</v>
      </c>
      <c r="CP1317" s="165">
        <v>294</v>
      </c>
      <c r="CQ1317" s="167">
        <v>2.1089630931458698</v>
      </c>
      <c r="CR1317" s="168">
        <v>-2</v>
      </c>
      <c r="CS1317" s="169">
        <v>1</v>
      </c>
      <c r="CT1317" s="170">
        <v>30</v>
      </c>
      <c r="CV1317" s="165">
        <v>47</v>
      </c>
      <c r="CW1317" s="167">
        <v>0.96830985915492951</v>
      </c>
      <c r="CX1317" s="168">
        <v>-2.2999999999999998</v>
      </c>
      <c r="CY1317" s="169">
        <v>0.4</v>
      </c>
      <c r="CZ1317" s="170">
        <v>27</v>
      </c>
      <c r="DB1317" s="165">
        <v>86</v>
      </c>
      <c r="DC1317" s="167">
        <v>98.292682926829272</v>
      </c>
      <c r="DD1317" s="168">
        <v>2.1</v>
      </c>
      <c r="DE1317" s="169">
        <v>9.1999999999999993</v>
      </c>
      <c r="DF1317" s="170">
        <v>71</v>
      </c>
    </row>
    <row r="1318" spans="28:110" hidden="1" x14ac:dyDescent="0.2">
      <c r="AB1318" s="165">
        <v>15</v>
      </c>
      <c r="AC1318" s="167">
        <v>0.35211267605633806</v>
      </c>
      <c r="AD1318" s="168">
        <v>-2.7</v>
      </c>
      <c r="AE1318" s="169">
        <v>-0.4</v>
      </c>
      <c r="AF1318" s="170">
        <v>23</v>
      </c>
      <c r="AM1318" s="20">
        <f t="shared" si="39"/>
        <v>3</v>
      </c>
      <c r="AN1318" s="165">
        <v>1.5</v>
      </c>
      <c r="AO1318" s="167">
        <v>17.6056338028169</v>
      </c>
      <c r="AP1318" s="168">
        <v>-0.9</v>
      </c>
      <c r="AQ1318" s="169">
        <v>3.2</v>
      </c>
      <c r="AR1318" s="170">
        <v>41</v>
      </c>
      <c r="AS1318" s="20">
        <f t="shared" si="40"/>
        <v>17</v>
      </c>
      <c r="AT1318" s="165">
        <v>8.5</v>
      </c>
      <c r="AU1318" s="167">
        <v>0.26362038664323373</v>
      </c>
      <c r="AV1318" s="168">
        <v>-2.8</v>
      </c>
      <c r="AW1318" s="169">
        <v>-0.6</v>
      </c>
      <c r="AX1318" s="170">
        <v>22</v>
      </c>
      <c r="BK1318" s="20">
        <f t="shared" si="38"/>
        <v>13</v>
      </c>
      <c r="BL1318" s="165">
        <v>1.3</v>
      </c>
      <c r="BM1318" s="167">
        <v>48.67491166077739</v>
      </c>
      <c r="BN1318" s="168">
        <v>0</v>
      </c>
      <c r="BO1318" s="169">
        <v>5</v>
      </c>
      <c r="BP1318" s="170">
        <v>50</v>
      </c>
      <c r="BX1318" s="165">
        <v>479</v>
      </c>
      <c r="BY1318" s="167">
        <v>1.1443661971830987</v>
      </c>
      <c r="BZ1318" s="168">
        <v>-2.2999999999999998</v>
      </c>
      <c r="CA1318" s="169">
        <v>0.4</v>
      </c>
      <c r="CB1318" s="170">
        <v>27</v>
      </c>
      <c r="CP1318" s="165">
        <v>293</v>
      </c>
      <c r="CQ1318" s="167">
        <v>2.1089630931458698</v>
      </c>
      <c r="CR1318" s="168">
        <v>-2</v>
      </c>
      <c r="CS1318" s="169">
        <v>1</v>
      </c>
      <c r="CT1318" s="170">
        <v>30</v>
      </c>
      <c r="CV1318" s="165">
        <v>46</v>
      </c>
      <c r="CW1318" s="167">
        <v>0.96830985915492951</v>
      </c>
      <c r="CX1318" s="168">
        <v>-2.2999999999999998</v>
      </c>
      <c r="CY1318" s="169">
        <v>0.4</v>
      </c>
      <c r="CZ1318" s="170">
        <v>27</v>
      </c>
      <c r="DB1318" s="165">
        <v>87</v>
      </c>
      <c r="DC1318" s="167">
        <v>98.658536585365852</v>
      </c>
      <c r="DD1318" s="168">
        <v>2.2000000000000002</v>
      </c>
      <c r="DE1318" s="169">
        <v>9.4</v>
      </c>
      <c r="DF1318" s="170">
        <v>72</v>
      </c>
    </row>
    <row r="1319" spans="28:110" hidden="1" x14ac:dyDescent="0.2">
      <c r="AB1319" s="165">
        <v>14</v>
      </c>
      <c r="AC1319" s="167">
        <v>0.35211267605633806</v>
      </c>
      <c r="AD1319" s="168">
        <v>-2.7</v>
      </c>
      <c r="AE1319" s="169">
        <v>-0.4</v>
      </c>
      <c r="AF1319" s="170">
        <v>23</v>
      </c>
      <c r="AM1319" s="20">
        <f t="shared" si="39"/>
        <v>2</v>
      </c>
      <c r="AN1319" s="165">
        <v>1</v>
      </c>
      <c r="AO1319" s="167">
        <v>30.633802816901408</v>
      </c>
      <c r="AP1319" s="168">
        <v>-0.5</v>
      </c>
      <c r="AQ1319" s="169">
        <v>4</v>
      </c>
      <c r="AR1319" s="170">
        <v>45</v>
      </c>
      <c r="AS1319" s="20">
        <f t="shared" si="40"/>
        <v>16</v>
      </c>
      <c r="AT1319" s="165">
        <v>8</v>
      </c>
      <c r="AU1319" s="167">
        <v>0.26362038664323373</v>
      </c>
      <c r="AV1319" s="168">
        <v>-2.8</v>
      </c>
      <c r="AW1319" s="169">
        <v>-0.6</v>
      </c>
      <c r="AX1319" s="170">
        <v>22</v>
      </c>
      <c r="BK1319" s="20">
        <f t="shared" si="38"/>
        <v>12</v>
      </c>
      <c r="BL1319" s="165">
        <v>1.2</v>
      </c>
      <c r="BM1319" s="167">
        <v>52.738515901060069</v>
      </c>
      <c r="BN1319" s="168">
        <v>0.1</v>
      </c>
      <c r="BO1319" s="169">
        <v>5.2</v>
      </c>
      <c r="BP1319" s="170">
        <v>51</v>
      </c>
      <c r="BX1319" s="165">
        <v>478</v>
      </c>
      <c r="BY1319" s="167">
        <v>1.1443661971830987</v>
      </c>
      <c r="BZ1319" s="168">
        <v>-2.2999999999999998</v>
      </c>
      <c r="CA1319" s="169">
        <v>0.4</v>
      </c>
      <c r="CB1319" s="170">
        <v>27</v>
      </c>
      <c r="CP1319" s="165">
        <v>292</v>
      </c>
      <c r="CQ1319" s="167">
        <v>2.1089630931458698</v>
      </c>
      <c r="CR1319" s="168">
        <v>-2</v>
      </c>
      <c r="CS1319" s="169">
        <v>1</v>
      </c>
      <c r="CT1319" s="170">
        <v>30</v>
      </c>
      <c r="CV1319" s="165">
        <v>45</v>
      </c>
      <c r="CW1319" s="167">
        <v>0.96830985915492951</v>
      </c>
      <c r="CX1319" s="168">
        <v>-2.2999999999999998</v>
      </c>
      <c r="CY1319" s="169">
        <v>0.4</v>
      </c>
      <c r="CZ1319" s="170">
        <v>27</v>
      </c>
      <c r="DB1319" s="165">
        <v>88</v>
      </c>
      <c r="DC1319" s="167">
        <v>98.902439024390247</v>
      </c>
      <c r="DD1319" s="168">
        <v>2.2999999999999998</v>
      </c>
      <c r="DE1319" s="169">
        <v>9.6</v>
      </c>
      <c r="DF1319" s="170">
        <v>73</v>
      </c>
    </row>
    <row r="1320" spans="28:110" hidden="1" x14ac:dyDescent="0.2">
      <c r="AB1320" s="165">
        <v>13</v>
      </c>
      <c r="AC1320" s="167">
        <v>0.35211267605633806</v>
      </c>
      <c r="AD1320" s="168">
        <v>-2.7</v>
      </c>
      <c r="AE1320" s="169">
        <v>-0.4</v>
      </c>
      <c r="AF1320" s="170">
        <v>23</v>
      </c>
      <c r="AM1320" s="20">
        <f t="shared" si="39"/>
        <v>1</v>
      </c>
      <c r="AN1320" s="165">
        <v>0.5</v>
      </c>
      <c r="AO1320" s="167">
        <v>44.014084507042256</v>
      </c>
      <c r="AP1320" s="168">
        <v>-0.2</v>
      </c>
      <c r="AQ1320" s="169">
        <v>4.5999999999999996</v>
      </c>
      <c r="AR1320" s="170">
        <v>48</v>
      </c>
      <c r="AS1320" s="20">
        <f t="shared" si="40"/>
        <v>15</v>
      </c>
      <c r="AT1320" s="165">
        <v>7.5</v>
      </c>
      <c r="AU1320" s="167">
        <v>0.43936731107205629</v>
      </c>
      <c r="AV1320" s="168">
        <v>-2.6</v>
      </c>
      <c r="AW1320" s="169">
        <v>-0.2</v>
      </c>
      <c r="AX1320" s="170">
        <v>24</v>
      </c>
      <c r="BK1320" s="20">
        <f t="shared" si="38"/>
        <v>11</v>
      </c>
      <c r="BL1320" s="165">
        <v>1.1000000000000001</v>
      </c>
      <c r="BM1320" s="167">
        <v>56.71378091872792</v>
      </c>
      <c r="BN1320" s="168">
        <v>0.2</v>
      </c>
      <c r="BO1320" s="169">
        <v>5.4</v>
      </c>
      <c r="BP1320" s="170">
        <v>52</v>
      </c>
      <c r="BX1320" s="165">
        <v>477</v>
      </c>
      <c r="BY1320" s="167">
        <v>1.1443661971830987</v>
      </c>
      <c r="BZ1320" s="168">
        <v>-2.2999999999999998</v>
      </c>
      <c r="CA1320" s="169">
        <v>0.4</v>
      </c>
      <c r="CB1320" s="170">
        <v>27</v>
      </c>
      <c r="CP1320" s="165">
        <v>291</v>
      </c>
      <c r="CQ1320" s="167">
        <v>2.1089630931458698</v>
      </c>
      <c r="CR1320" s="168">
        <v>-2</v>
      </c>
      <c r="CS1320" s="169">
        <v>1</v>
      </c>
      <c r="CT1320" s="170">
        <v>30</v>
      </c>
      <c r="CV1320" s="165">
        <v>44</v>
      </c>
      <c r="CW1320" s="167">
        <v>1.1443661971830987</v>
      </c>
      <c r="CX1320" s="168">
        <v>-2.2999999999999998</v>
      </c>
      <c r="CY1320" s="169">
        <v>0.4</v>
      </c>
      <c r="CZ1320" s="170">
        <v>27</v>
      </c>
      <c r="DB1320" s="165">
        <v>89</v>
      </c>
      <c r="DC1320" s="167">
        <v>99.146341463414629</v>
      </c>
      <c r="DD1320" s="168">
        <v>2.4</v>
      </c>
      <c r="DE1320" s="169">
        <v>9.8000000000000007</v>
      </c>
      <c r="DF1320" s="170">
        <v>74</v>
      </c>
    </row>
    <row r="1321" spans="28:110" hidden="1" x14ac:dyDescent="0.2">
      <c r="AB1321" s="165">
        <v>12</v>
      </c>
      <c r="AC1321" s="167">
        <v>0.70422535211267612</v>
      </c>
      <c r="AD1321" s="168">
        <v>-2.5</v>
      </c>
      <c r="AE1321" s="169">
        <v>0</v>
      </c>
      <c r="AF1321" s="170">
        <v>25</v>
      </c>
      <c r="AM1321" s="20">
        <f t="shared" si="39"/>
        <v>0</v>
      </c>
      <c r="AN1321" s="165">
        <v>0</v>
      </c>
      <c r="AO1321" s="167">
        <v>64.612676056338032</v>
      </c>
      <c r="AP1321" s="168">
        <v>0.4</v>
      </c>
      <c r="AQ1321" s="169">
        <v>5.8</v>
      </c>
      <c r="AR1321" s="170">
        <v>54</v>
      </c>
      <c r="AS1321" s="20">
        <f t="shared" si="40"/>
        <v>14</v>
      </c>
      <c r="AT1321" s="165">
        <v>7</v>
      </c>
      <c r="AU1321" s="167">
        <v>0.43936731107205629</v>
      </c>
      <c r="AV1321" s="168">
        <v>-2.6</v>
      </c>
      <c r="AW1321" s="169">
        <v>-0.2</v>
      </c>
      <c r="AX1321" s="170">
        <v>24</v>
      </c>
      <c r="BK1321" s="20">
        <f t="shared" si="38"/>
        <v>10</v>
      </c>
      <c r="BL1321" s="165">
        <v>1</v>
      </c>
      <c r="BM1321" s="167">
        <v>61.307420494699649</v>
      </c>
      <c r="BN1321" s="168">
        <v>0.3</v>
      </c>
      <c r="BO1321" s="169">
        <v>5.6</v>
      </c>
      <c r="BP1321" s="170">
        <v>53</v>
      </c>
      <c r="BX1321" s="165">
        <v>476</v>
      </c>
      <c r="BY1321" s="167">
        <v>1.1443661971830987</v>
      </c>
      <c r="BZ1321" s="168">
        <v>-2.2999999999999998</v>
      </c>
      <c r="CA1321" s="169">
        <v>0.4</v>
      </c>
      <c r="CB1321" s="170">
        <v>27</v>
      </c>
      <c r="CP1321" s="165">
        <v>290</v>
      </c>
      <c r="CQ1321" s="167">
        <v>2.1089630931458698</v>
      </c>
      <c r="CR1321" s="168">
        <v>-2</v>
      </c>
      <c r="CS1321" s="169">
        <v>1</v>
      </c>
      <c r="CT1321" s="170">
        <v>30</v>
      </c>
      <c r="CV1321" s="165">
        <v>43</v>
      </c>
      <c r="CW1321" s="167">
        <v>1.3204225352112675</v>
      </c>
      <c r="CX1321" s="168">
        <v>-2.2000000000000002</v>
      </c>
      <c r="CY1321" s="169">
        <v>0.6</v>
      </c>
      <c r="CZ1321" s="170">
        <v>28</v>
      </c>
      <c r="DB1321" s="165">
        <v>90</v>
      </c>
      <c r="DC1321" s="167">
        <v>99.512195121951223</v>
      </c>
      <c r="DD1321" s="168">
        <v>2.6</v>
      </c>
      <c r="DE1321" s="169">
        <v>10.199999999999999</v>
      </c>
      <c r="DF1321" s="170">
        <v>76</v>
      </c>
    </row>
    <row r="1322" spans="28:110" hidden="1" x14ac:dyDescent="0.2">
      <c r="AB1322" s="165">
        <v>11</v>
      </c>
      <c r="AC1322" s="167">
        <v>0.96830985915492951</v>
      </c>
      <c r="AD1322" s="168">
        <v>-2.2999999999999998</v>
      </c>
      <c r="AE1322" s="169">
        <v>0.4</v>
      </c>
      <c r="AF1322" s="170">
        <v>27</v>
      </c>
      <c r="AM1322" s="20">
        <f t="shared" si="39"/>
        <v>-1</v>
      </c>
      <c r="AN1322" s="165">
        <v>-0.5</v>
      </c>
      <c r="AO1322" s="167">
        <v>84.683098591549296</v>
      </c>
      <c r="AP1322" s="168">
        <v>1</v>
      </c>
      <c r="AQ1322" s="169">
        <v>7</v>
      </c>
      <c r="AR1322" s="170">
        <v>60</v>
      </c>
      <c r="AS1322" s="20">
        <f t="shared" si="40"/>
        <v>13</v>
      </c>
      <c r="AT1322" s="165">
        <v>6.5</v>
      </c>
      <c r="AU1322" s="167">
        <v>0.43936731107205629</v>
      </c>
      <c r="AV1322" s="168">
        <v>-2.6</v>
      </c>
      <c r="AW1322" s="169">
        <v>-0.2</v>
      </c>
      <c r="AX1322" s="170">
        <v>24</v>
      </c>
      <c r="BK1322" s="20">
        <f t="shared" si="38"/>
        <v>9</v>
      </c>
      <c r="BL1322" s="165">
        <v>0.9</v>
      </c>
      <c r="BM1322" s="167">
        <v>66.519434628975262</v>
      </c>
      <c r="BN1322" s="168">
        <v>0.4</v>
      </c>
      <c r="BO1322" s="169">
        <v>5.8</v>
      </c>
      <c r="BP1322" s="170">
        <v>54</v>
      </c>
      <c r="BX1322" s="165">
        <v>475</v>
      </c>
      <c r="BY1322" s="167">
        <v>1.1443661971830987</v>
      </c>
      <c r="BZ1322" s="168">
        <v>-2.2999999999999998</v>
      </c>
      <c r="CA1322" s="169">
        <v>0.4</v>
      </c>
      <c r="CB1322" s="170">
        <v>27</v>
      </c>
      <c r="CP1322" s="165">
        <v>289</v>
      </c>
      <c r="CQ1322" s="167">
        <v>2.4604569420035149</v>
      </c>
      <c r="CR1322" s="168">
        <v>-2</v>
      </c>
      <c r="CS1322" s="169">
        <v>1</v>
      </c>
      <c r="CT1322" s="170">
        <v>30</v>
      </c>
      <c r="CV1322" s="165">
        <v>42</v>
      </c>
      <c r="CW1322" s="167">
        <v>1.3204225352112675</v>
      </c>
      <c r="CX1322" s="168">
        <v>-2.2000000000000002</v>
      </c>
      <c r="CY1322" s="169">
        <v>0.6</v>
      </c>
      <c r="CZ1322" s="170">
        <v>28</v>
      </c>
      <c r="DB1322" s="165">
        <v>91</v>
      </c>
      <c r="DC1322" s="167">
        <v>99.878048780487802</v>
      </c>
      <c r="DD1322" s="168">
        <v>3</v>
      </c>
      <c r="DE1322" s="169">
        <v>11</v>
      </c>
      <c r="DF1322" s="170">
        <v>80</v>
      </c>
    </row>
    <row r="1323" spans="28:110" hidden="1" x14ac:dyDescent="0.2">
      <c r="AB1323" s="165">
        <v>10</v>
      </c>
      <c r="AC1323" s="167">
        <v>1.4084507042253522</v>
      </c>
      <c r="AD1323" s="168">
        <v>-2.2000000000000002</v>
      </c>
      <c r="AE1323" s="169">
        <v>0.6</v>
      </c>
      <c r="AF1323" s="170">
        <v>28</v>
      </c>
      <c r="AM1323" s="20">
        <f t="shared" si="39"/>
        <v>-2</v>
      </c>
      <c r="AN1323" s="165">
        <v>-1</v>
      </c>
      <c r="AO1323" s="167">
        <v>91.021126760563376</v>
      </c>
      <c r="AP1323" s="168">
        <v>1.3</v>
      </c>
      <c r="AQ1323" s="169">
        <v>7.6</v>
      </c>
      <c r="AR1323" s="170">
        <v>63</v>
      </c>
      <c r="AS1323" s="20">
        <f t="shared" si="40"/>
        <v>12</v>
      </c>
      <c r="AT1323" s="165">
        <v>6</v>
      </c>
      <c r="AU1323" s="167">
        <v>0.7908611599297013</v>
      </c>
      <c r="AV1323" s="168">
        <v>-2.4</v>
      </c>
      <c r="AW1323" s="169">
        <v>0.2</v>
      </c>
      <c r="AX1323" s="170">
        <v>26</v>
      </c>
      <c r="BK1323" s="20">
        <f t="shared" si="38"/>
        <v>8</v>
      </c>
      <c r="BL1323" s="165">
        <v>0.8</v>
      </c>
      <c r="BM1323" s="167">
        <v>71.289752650176681</v>
      </c>
      <c r="BN1323" s="168">
        <v>0.6</v>
      </c>
      <c r="BO1323" s="169">
        <v>6.2</v>
      </c>
      <c r="BP1323" s="170">
        <v>56</v>
      </c>
      <c r="BX1323" s="165">
        <v>474</v>
      </c>
      <c r="BY1323" s="167">
        <v>1.1443661971830987</v>
      </c>
      <c r="BZ1323" s="168">
        <v>-2.2999999999999998</v>
      </c>
      <c r="CA1323" s="169">
        <v>0.4</v>
      </c>
      <c r="CB1323" s="170">
        <v>27</v>
      </c>
      <c r="CP1323" s="165">
        <v>288</v>
      </c>
      <c r="CQ1323" s="167">
        <v>2.4604569420035149</v>
      </c>
      <c r="CR1323" s="168">
        <v>-2</v>
      </c>
      <c r="CS1323" s="169">
        <v>1</v>
      </c>
      <c r="CT1323" s="170">
        <v>30</v>
      </c>
      <c r="CV1323" s="165">
        <v>41</v>
      </c>
      <c r="CW1323" s="167">
        <v>1.3204225352112675</v>
      </c>
      <c r="CX1323" s="168">
        <v>-2.2000000000000002</v>
      </c>
      <c r="CY1323" s="169">
        <v>0.6</v>
      </c>
      <c r="CZ1323" s="170">
        <v>28</v>
      </c>
      <c r="DB1323" s="165">
        <v>92</v>
      </c>
      <c r="DC1323" s="167">
        <v>99.878048780487802</v>
      </c>
      <c r="DD1323" s="168">
        <v>3</v>
      </c>
      <c r="DE1323" s="169">
        <v>11</v>
      </c>
      <c r="DF1323" s="170">
        <v>80</v>
      </c>
    </row>
    <row r="1324" spans="28:110" hidden="1" x14ac:dyDescent="0.2">
      <c r="AB1324" s="165">
        <v>9</v>
      </c>
      <c r="AC1324" s="167">
        <v>2.3767605633802815</v>
      </c>
      <c r="AD1324" s="168">
        <v>-2</v>
      </c>
      <c r="AE1324" s="169">
        <v>1</v>
      </c>
      <c r="AF1324" s="170">
        <v>30</v>
      </c>
      <c r="AM1324" s="20">
        <f t="shared" si="39"/>
        <v>-3</v>
      </c>
      <c r="AN1324" s="165">
        <v>-1.5</v>
      </c>
      <c r="AO1324" s="167">
        <v>96.654929577464785</v>
      </c>
      <c r="AP1324" s="168">
        <v>1.8</v>
      </c>
      <c r="AQ1324" s="169">
        <v>8.6</v>
      </c>
      <c r="AR1324" s="170">
        <v>68</v>
      </c>
      <c r="AS1324" s="20">
        <f t="shared" si="40"/>
        <v>11</v>
      </c>
      <c r="AT1324" s="165">
        <v>5.5</v>
      </c>
      <c r="AU1324" s="167">
        <v>1.2302284710017575</v>
      </c>
      <c r="AV1324" s="168">
        <v>-2.2000000000000002</v>
      </c>
      <c r="AW1324" s="169">
        <v>0.6</v>
      </c>
      <c r="AX1324" s="170">
        <v>28</v>
      </c>
      <c r="BK1324" s="20">
        <f t="shared" si="38"/>
        <v>7</v>
      </c>
      <c r="BL1324" s="165">
        <v>0.7</v>
      </c>
      <c r="BM1324" s="167">
        <v>76.413427561837452</v>
      </c>
      <c r="BN1324" s="168">
        <v>0.7</v>
      </c>
      <c r="BO1324" s="169">
        <v>6.4</v>
      </c>
      <c r="BP1324" s="170">
        <v>57</v>
      </c>
      <c r="BX1324" s="165">
        <v>473</v>
      </c>
      <c r="BY1324" s="167">
        <v>1.1443661971830987</v>
      </c>
      <c r="BZ1324" s="168">
        <v>-2.2999999999999998</v>
      </c>
      <c r="CA1324" s="169">
        <v>0.4</v>
      </c>
      <c r="CB1324" s="170">
        <v>27</v>
      </c>
      <c r="CP1324" s="165">
        <v>287</v>
      </c>
      <c r="CQ1324" s="167">
        <v>2.4604569420035149</v>
      </c>
      <c r="CR1324" s="168">
        <v>-2</v>
      </c>
      <c r="CS1324" s="169">
        <v>1</v>
      </c>
      <c r="CT1324" s="170">
        <v>30</v>
      </c>
      <c r="CV1324" s="165">
        <v>40</v>
      </c>
      <c r="CW1324" s="167">
        <v>1.584507042253521</v>
      </c>
      <c r="CX1324" s="168">
        <v>-2.2000000000000002</v>
      </c>
      <c r="CY1324" s="169">
        <v>0.6</v>
      </c>
      <c r="CZ1324" s="170">
        <v>28</v>
      </c>
      <c r="DB1324" s="165">
        <v>93</v>
      </c>
      <c r="DC1324" s="167">
        <v>99.878048780487802</v>
      </c>
      <c r="DD1324" s="168">
        <v>3</v>
      </c>
      <c r="DE1324" s="169">
        <v>11</v>
      </c>
      <c r="DF1324" s="170">
        <v>80</v>
      </c>
    </row>
    <row r="1325" spans="28:110" ht="13.15" hidden="1" thickBot="1" x14ac:dyDescent="0.25">
      <c r="AB1325" s="165">
        <v>8</v>
      </c>
      <c r="AC1325" s="167">
        <v>3.2570422535211265</v>
      </c>
      <c r="AD1325" s="168">
        <v>-1.8</v>
      </c>
      <c r="AE1325" s="169">
        <v>1.4</v>
      </c>
      <c r="AF1325" s="170">
        <v>32</v>
      </c>
      <c r="AM1325" s="20">
        <f t="shared" si="39"/>
        <v>-4</v>
      </c>
      <c r="AN1325" s="165">
        <v>-2</v>
      </c>
      <c r="AO1325" s="167">
        <v>98.151408450704224</v>
      </c>
      <c r="AP1325" s="168">
        <v>2.1</v>
      </c>
      <c r="AQ1325" s="169">
        <v>9.1999999999999993</v>
      </c>
      <c r="AR1325" s="170">
        <v>71</v>
      </c>
      <c r="AS1325" s="20">
        <f t="shared" si="40"/>
        <v>10</v>
      </c>
      <c r="AT1325" s="165">
        <v>5</v>
      </c>
      <c r="AU1325" s="167">
        <v>2.1089630931458698</v>
      </c>
      <c r="AV1325" s="168">
        <v>-2</v>
      </c>
      <c r="AW1325" s="169">
        <v>1</v>
      </c>
      <c r="AX1325" s="170">
        <v>30</v>
      </c>
      <c r="BK1325" s="20">
        <f t="shared" si="38"/>
        <v>6</v>
      </c>
      <c r="BL1325" s="165">
        <v>0.6</v>
      </c>
      <c r="BM1325" s="167">
        <v>81.360424028268554</v>
      </c>
      <c r="BN1325" s="168">
        <v>0.9</v>
      </c>
      <c r="BO1325" s="169">
        <v>6.8</v>
      </c>
      <c r="BP1325" s="170">
        <v>59</v>
      </c>
      <c r="BX1325" s="165">
        <v>472</v>
      </c>
      <c r="BY1325" s="167">
        <v>1.1443661971830987</v>
      </c>
      <c r="BZ1325" s="168">
        <v>-2.2999999999999998</v>
      </c>
      <c r="CA1325" s="169">
        <v>0.4</v>
      </c>
      <c r="CB1325" s="170">
        <v>27</v>
      </c>
      <c r="CP1325" s="165">
        <v>286</v>
      </c>
      <c r="CQ1325" s="167">
        <v>2.4604569420035149</v>
      </c>
      <c r="CR1325" s="168">
        <v>-2</v>
      </c>
      <c r="CS1325" s="169">
        <v>1</v>
      </c>
      <c r="CT1325" s="170">
        <v>30</v>
      </c>
      <c r="CV1325" s="165">
        <v>39</v>
      </c>
      <c r="CW1325" s="167">
        <v>1.584507042253521</v>
      </c>
      <c r="CX1325" s="168">
        <v>-2.2000000000000002</v>
      </c>
      <c r="CY1325" s="169">
        <v>0.6</v>
      </c>
      <c r="CZ1325" s="170">
        <v>28</v>
      </c>
      <c r="DB1325" s="172">
        <v>94</v>
      </c>
      <c r="DC1325" s="173">
        <v>99.878048780487802</v>
      </c>
      <c r="DD1325" s="174">
        <v>3</v>
      </c>
      <c r="DE1325" s="175">
        <v>11</v>
      </c>
      <c r="DF1325" s="176">
        <v>80</v>
      </c>
    </row>
    <row r="1326" spans="28:110" hidden="1" x14ac:dyDescent="0.2">
      <c r="AB1326" s="165">
        <v>7</v>
      </c>
      <c r="AC1326" s="167">
        <v>4.5774647887323949</v>
      </c>
      <c r="AD1326" s="168">
        <v>-1.7</v>
      </c>
      <c r="AE1326" s="169">
        <v>1.6</v>
      </c>
      <c r="AF1326" s="170">
        <v>33</v>
      </c>
      <c r="AM1326" s="20">
        <f t="shared" si="39"/>
        <v>-5</v>
      </c>
      <c r="AN1326" s="165">
        <v>-2.5</v>
      </c>
      <c r="AO1326" s="167">
        <v>99.471830985915489</v>
      </c>
      <c r="AP1326" s="168">
        <v>2.6</v>
      </c>
      <c r="AQ1326" s="169">
        <v>10.199999999999999</v>
      </c>
      <c r="AR1326" s="170">
        <v>76</v>
      </c>
      <c r="AS1326" s="20">
        <f t="shared" si="40"/>
        <v>9</v>
      </c>
      <c r="AT1326" s="165">
        <v>4.5</v>
      </c>
      <c r="AU1326" s="167">
        <v>3.3391915641476277</v>
      </c>
      <c r="AV1326" s="168">
        <v>-1.8</v>
      </c>
      <c r="AW1326" s="169">
        <v>1.4</v>
      </c>
      <c r="AX1326" s="170">
        <v>32</v>
      </c>
      <c r="BK1326" s="20">
        <f t="shared" si="38"/>
        <v>5</v>
      </c>
      <c r="BL1326" s="165">
        <v>0.5</v>
      </c>
      <c r="BM1326" s="167">
        <v>85.335689045936391</v>
      </c>
      <c r="BN1326" s="168">
        <v>1.1000000000000001</v>
      </c>
      <c r="BO1326" s="169">
        <v>7.2</v>
      </c>
      <c r="BP1326" s="170">
        <v>61</v>
      </c>
      <c r="BX1326" s="165">
        <v>471</v>
      </c>
      <c r="BY1326" s="167">
        <v>1.1443661971830987</v>
      </c>
      <c r="BZ1326" s="168">
        <v>-2.2999999999999998</v>
      </c>
      <c r="CA1326" s="169">
        <v>0.4</v>
      </c>
      <c r="CB1326" s="170">
        <v>27</v>
      </c>
      <c r="CP1326" s="165">
        <v>285</v>
      </c>
      <c r="CQ1326" s="167">
        <v>2.4604569420035149</v>
      </c>
      <c r="CR1326" s="168">
        <v>-2</v>
      </c>
      <c r="CS1326" s="169">
        <v>1</v>
      </c>
      <c r="CT1326" s="170">
        <v>30</v>
      </c>
      <c r="CV1326" s="165">
        <v>38</v>
      </c>
      <c r="CW1326" s="167">
        <v>1.936619718309859</v>
      </c>
      <c r="CX1326" s="168">
        <v>-2.1</v>
      </c>
      <c r="CY1326" s="169">
        <v>0.8</v>
      </c>
      <c r="CZ1326" s="170">
        <v>29</v>
      </c>
    </row>
    <row r="1327" spans="28:110" ht="13.15" hidden="1" thickBot="1" x14ac:dyDescent="0.25">
      <c r="AB1327" s="165">
        <v>6</v>
      </c>
      <c r="AC1327" s="167">
        <v>6.426056338028169</v>
      </c>
      <c r="AD1327" s="168">
        <v>-1.5</v>
      </c>
      <c r="AE1327" s="169">
        <v>2</v>
      </c>
      <c r="AF1327" s="170">
        <v>35</v>
      </c>
      <c r="AM1327" s="20">
        <f t="shared" si="39"/>
        <v>-6</v>
      </c>
      <c r="AN1327" s="172">
        <v>-3</v>
      </c>
      <c r="AO1327" s="173">
        <v>99.911971830985919</v>
      </c>
      <c r="AP1327" s="174">
        <v>3</v>
      </c>
      <c r="AQ1327" s="175">
        <v>11</v>
      </c>
      <c r="AR1327" s="176">
        <v>80</v>
      </c>
      <c r="AS1327" s="20">
        <f t="shared" si="40"/>
        <v>8</v>
      </c>
      <c r="AT1327" s="165">
        <v>4</v>
      </c>
      <c r="AU1327" s="167">
        <v>4.7451669595782073</v>
      </c>
      <c r="AV1327" s="168">
        <v>-1.7</v>
      </c>
      <c r="AW1327" s="169">
        <v>1.6</v>
      </c>
      <c r="AX1327" s="170">
        <v>33</v>
      </c>
      <c r="BK1327" s="20">
        <f t="shared" si="38"/>
        <v>4</v>
      </c>
      <c r="BL1327" s="165">
        <v>0.4</v>
      </c>
      <c r="BM1327" s="167">
        <v>89.310954063604242</v>
      </c>
      <c r="BN1327" s="168">
        <v>1.2</v>
      </c>
      <c r="BO1327" s="169">
        <v>7.4</v>
      </c>
      <c r="BP1327" s="170">
        <v>62</v>
      </c>
      <c r="BX1327" s="165">
        <v>470</v>
      </c>
      <c r="BY1327" s="167">
        <v>1.1443661971830987</v>
      </c>
      <c r="BZ1327" s="168">
        <v>-2.2999999999999998</v>
      </c>
      <c r="CA1327" s="169">
        <v>0.4</v>
      </c>
      <c r="CB1327" s="170">
        <v>27</v>
      </c>
      <c r="CP1327" s="165">
        <v>284</v>
      </c>
      <c r="CQ1327" s="167">
        <v>2.4604569420035149</v>
      </c>
      <c r="CR1327" s="168">
        <v>-2</v>
      </c>
      <c r="CS1327" s="169">
        <v>1</v>
      </c>
      <c r="CT1327" s="170">
        <v>30</v>
      </c>
      <c r="CV1327" s="165">
        <v>37</v>
      </c>
      <c r="CW1327" s="167">
        <v>2.552816901408451</v>
      </c>
      <c r="CX1327" s="168">
        <v>-2</v>
      </c>
      <c r="CY1327" s="169">
        <v>1</v>
      </c>
      <c r="CZ1327" s="170">
        <v>30</v>
      </c>
    </row>
    <row r="1328" spans="28:110" ht="13.15" hidden="1" x14ac:dyDescent="0.25">
      <c r="AB1328" s="165">
        <v>5</v>
      </c>
      <c r="AC1328" s="167">
        <v>8.714788732394366</v>
      </c>
      <c r="AD1328" s="168">
        <v>-1.4</v>
      </c>
      <c r="AE1328" s="169">
        <v>2.2000000000000002</v>
      </c>
      <c r="AF1328" s="170">
        <v>36</v>
      </c>
      <c r="AS1328" s="20">
        <f t="shared" si="40"/>
        <v>7</v>
      </c>
      <c r="AT1328" s="165">
        <v>3.5</v>
      </c>
      <c r="AU1328" s="167">
        <v>6.942003514938488</v>
      </c>
      <c r="AV1328" s="168">
        <v>-1.5</v>
      </c>
      <c r="AW1328" s="169">
        <v>2</v>
      </c>
      <c r="AX1328" s="170">
        <v>35</v>
      </c>
      <c r="BK1328" s="20">
        <f t="shared" si="38"/>
        <v>3</v>
      </c>
      <c r="BL1328" s="165">
        <v>0.3</v>
      </c>
      <c r="BM1328" s="167">
        <v>92.667844522968196</v>
      </c>
      <c r="BN1328" s="168">
        <v>1.5</v>
      </c>
      <c r="BO1328" s="169">
        <v>8</v>
      </c>
      <c r="BP1328" s="170">
        <v>65</v>
      </c>
      <c r="BX1328" s="165">
        <v>469</v>
      </c>
      <c r="BY1328" s="167">
        <v>1.1443661971830987</v>
      </c>
      <c r="BZ1328" s="168">
        <v>-2.2999999999999998</v>
      </c>
      <c r="CA1328" s="169">
        <v>0.4</v>
      </c>
      <c r="CB1328" s="170">
        <v>27</v>
      </c>
      <c r="CP1328" s="165">
        <v>283</v>
      </c>
      <c r="CQ1328" s="167">
        <v>2.4604569420035149</v>
      </c>
      <c r="CR1328" s="168">
        <v>-2</v>
      </c>
      <c r="CS1328" s="169">
        <v>1</v>
      </c>
      <c r="CT1328" s="170">
        <v>30</v>
      </c>
      <c r="CV1328" s="165">
        <v>36</v>
      </c>
      <c r="CW1328" s="167">
        <v>3.169014084507042</v>
      </c>
      <c r="CX1328" s="168">
        <v>-1.9</v>
      </c>
      <c r="CY1328" s="169">
        <v>1.2</v>
      </c>
      <c r="CZ1328" s="170">
        <v>31</v>
      </c>
      <c r="DB1328" s="138" t="s">
        <v>114</v>
      </c>
      <c r="DC1328" s="139"/>
      <c r="DD1328" s="139"/>
      <c r="DE1328" s="140" t="s">
        <v>215</v>
      </c>
      <c r="DF1328" s="141">
        <v>409</v>
      </c>
    </row>
    <row r="1329" spans="28:110" ht="13.15" hidden="1" thickBot="1" x14ac:dyDescent="0.25">
      <c r="AB1329" s="165">
        <v>4</v>
      </c>
      <c r="AC1329" s="167">
        <v>12.147887323943662</v>
      </c>
      <c r="AD1329" s="168">
        <v>-1.2</v>
      </c>
      <c r="AE1329" s="169">
        <v>2.6</v>
      </c>
      <c r="AF1329" s="170">
        <v>38</v>
      </c>
      <c r="AS1329" s="20">
        <f t="shared" si="40"/>
        <v>6</v>
      </c>
      <c r="AT1329" s="165">
        <v>3</v>
      </c>
      <c r="AU1329" s="167">
        <v>9.4903339191564147</v>
      </c>
      <c r="AV1329" s="168">
        <v>-1.3</v>
      </c>
      <c r="AW1329" s="169">
        <v>2.4</v>
      </c>
      <c r="AX1329" s="170">
        <v>37</v>
      </c>
      <c r="BK1329" s="20">
        <f t="shared" si="38"/>
        <v>2</v>
      </c>
      <c r="BL1329" s="165">
        <v>0.2</v>
      </c>
      <c r="BM1329" s="167">
        <v>95.671378091872796</v>
      </c>
      <c r="BN1329" s="168">
        <v>1.7</v>
      </c>
      <c r="BO1329" s="169">
        <v>8.4</v>
      </c>
      <c r="BP1329" s="170">
        <v>67</v>
      </c>
      <c r="BX1329" s="165">
        <v>468</v>
      </c>
      <c r="BY1329" s="167">
        <v>1.1443661971830987</v>
      </c>
      <c r="BZ1329" s="168">
        <v>-2.2999999999999998</v>
      </c>
      <c r="CA1329" s="169">
        <v>0.4</v>
      </c>
      <c r="CB1329" s="170">
        <v>27</v>
      </c>
      <c r="CP1329" s="165">
        <v>282</v>
      </c>
      <c r="CQ1329" s="167">
        <v>2.4604569420035149</v>
      </c>
      <c r="CR1329" s="168">
        <v>-2</v>
      </c>
      <c r="CS1329" s="169">
        <v>1</v>
      </c>
      <c r="CT1329" s="170">
        <v>30</v>
      </c>
      <c r="CV1329" s="165">
        <v>35</v>
      </c>
      <c r="CW1329" s="167">
        <v>3.7852112676056335</v>
      </c>
      <c r="CX1329" s="168">
        <v>-1.8</v>
      </c>
      <c r="CY1329" s="169">
        <v>1.4</v>
      </c>
      <c r="CZ1329" s="170">
        <v>32</v>
      </c>
      <c r="DB1329" s="144" t="s">
        <v>161</v>
      </c>
      <c r="DD1329" s="20" t="s">
        <v>162</v>
      </c>
      <c r="DF1329" s="145"/>
    </row>
    <row r="1330" spans="28:110" ht="13.8" hidden="1" thickBot="1" x14ac:dyDescent="0.3">
      <c r="AB1330" s="165">
        <v>3</v>
      </c>
      <c r="AC1330" s="167">
        <v>17.517605633802816</v>
      </c>
      <c r="AD1330" s="168">
        <v>-0.9</v>
      </c>
      <c r="AE1330" s="169">
        <v>3.2</v>
      </c>
      <c r="AF1330" s="170">
        <v>41</v>
      </c>
      <c r="AN1330" s="138" t="s">
        <v>186</v>
      </c>
      <c r="AO1330" s="139"/>
      <c r="AP1330" s="139"/>
      <c r="AQ1330" s="140" t="s">
        <v>180</v>
      </c>
      <c r="AR1330" s="141">
        <v>568</v>
      </c>
      <c r="AS1330" s="20">
        <f t="shared" si="40"/>
        <v>5</v>
      </c>
      <c r="AT1330" s="165">
        <v>2.5</v>
      </c>
      <c r="AU1330" s="167">
        <v>11.775043936731107</v>
      </c>
      <c r="AV1330" s="168">
        <v>-1.2</v>
      </c>
      <c r="AW1330" s="169">
        <v>2.6</v>
      </c>
      <c r="AX1330" s="170">
        <v>38</v>
      </c>
      <c r="BK1330" s="20">
        <f t="shared" si="38"/>
        <v>1</v>
      </c>
      <c r="BL1330" s="165">
        <v>0.1</v>
      </c>
      <c r="BM1330" s="167">
        <v>98.409893992932865</v>
      </c>
      <c r="BN1330" s="168">
        <v>2.1</v>
      </c>
      <c r="BO1330" s="169">
        <v>9.1999999999999993</v>
      </c>
      <c r="BP1330" s="170">
        <v>71</v>
      </c>
      <c r="BX1330" s="165">
        <v>467</v>
      </c>
      <c r="BY1330" s="167">
        <v>1.1443661971830987</v>
      </c>
      <c r="BZ1330" s="168">
        <v>-2.2999999999999998</v>
      </c>
      <c r="CA1330" s="169">
        <v>0.4</v>
      </c>
      <c r="CB1330" s="170">
        <v>27</v>
      </c>
      <c r="CP1330" s="165">
        <v>281</v>
      </c>
      <c r="CQ1330" s="167">
        <v>2.4604569420035149</v>
      </c>
      <c r="CR1330" s="168">
        <v>-2</v>
      </c>
      <c r="CS1330" s="169">
        <v>1</v>
      </c>
      <c r="CT1330" s="170">
        <v>30</v>
      </c>
      <c r="CV1330" s="165">
        <v>34</v>
      </c>
      <c r="CW1330" s="167">
        <v>4.841549295774648</v>
      </c>
      <c r="CX1330" s="168">
        <v>-1.7</v>
      </c>
      <c r="CY1330" s="169">
        <v>1.6</v>
      </c>
      <c r="CZ1330" s="170">
        <v>33</v>
      </c>
      <c r="DB1330" s="181" t="s">
        <v>262</v>
      </c>
      <c r="DC1330" s="148"/>
      <c r="DD1330" s="148"/>
      <c r="DE1330" s="148"/>
      <c r="DF1330" s="149"/>
    </row>
    <row r="1331" spans="28:110" ht="13.15" hidden="1" thickBot="1" x14ac:dyDescent="0.25">
      <c r="AB1331" s="165">
        <v>2</v>
      </c>
      <c r="AC1331" s="167">
        <v>27.200704225352112</v>
      </c>
      <c r="AD1331" s="168">
        <v>-0.6</v>
      </c>
      <c r="AE1331" s="169">
        <v>3.8</v>
      </c>
      <c r="AF1331" s="170">
        <v>44</v>
      </c>
      <c r="AN1331" s="144" t="s">
        <v>161</v>
      </c>
      <c r="AP1331" s="20" t="s">
        <v>162</v>
      </c>
      <c r="AR1331" s="145"/>
      <c r="AS1331" s="20">
        <f t="shared" si="40"/>
        <v>4</v>
      </c>
      <c r="AT1331" s="165">
        <v>2</v>
      </c>
      <c r="AU1331" s="167">
        <v>15.729349736379614</v>
      </c>
      <c r="AV1331" s="168">
        <v>-1</v>
      </c>
      <c r="AW1331" s="169">
        <v>3</v>
      </c>
      <c r="AX1331" s="170">
        <v>40</v>
      </c>
      <c r="BK1331" s="20">
        <f t="shared" si="38"/>
        <v>0</v>
      </c>
      <c r="BL1331" s="172">
        <v>0</v>
      </c>
      <c r="BM1331" s="173">
        <v>99.734982332155482</v>
      </c>
      <c r="BN1331" s="174">
        <v>2.8</v>
      </c>
      <c r="BO1331" s="175">
        <v>10.6</v>
      </c>
      <c r="BP1331" s="176">
        <v>78</v>
      </c>
      <c r="BX1331" s="165">
        <v>466</v>
      </c>
      <c r="BY1331" s="167">
        <v>1.1443661971830987</v>
      </c>
      <c r="BZ1331" s="168">
        <v>-2.2999999999999998</v>
      </c>
      <c r="CA1331" s="169">
        <v>0.4</v>
      </c>
      <c r="CB1331" s="170">
        <v>27</v>
      </c>
      <c r="CP1331" s="165">
        <v>280</v>
      </c>
      <c r="CQ1331" s="167">
        <v>2.4604569420035149</v>
      </c>
      <c r="CR1331" s="168">
        <v>-2</v>
      </c>
      <c r="CS1331" s="169">
        <v>1</v>
      </c>
      <c r="CT1331" s="170">
        <v>30</v>
      </c>
      <c r="CV1331" s="165">
        <v>33</v>
      </c>
      <c r="CW1331" s="167">
        <v>5.897887323943662</v>
      </c>
      <c r="CX1331" s="168">
        <v>-1.6</v>
      </c>
      <c r="CY1331" s="169">
        <v>1.8</v>
      </c>
      <c r="CZ1331" s="170">
        <v>34</v>
      </c>
      <c r="DB1331" s="150" t="s">
        <v>164</v>
      </c>
      <c r="DC1331" s="151" t="s">
        <v>263</v>
      </c>
      <c r="DD1331" s="152"/>
      <c r="DE1331" s="152"/>
      <c r="DF1331" s="153"/>
    </row>
    <row r="1332" spans="28:110" ht="13.15" hidden="1" thickBot="1" x14ac:dyDescent="0.25">
      <c r="AB1332" s="165">
        <v>1</v>
      </c>
      <c r="AC1332" s="167">
        <v>46.0387323943662</v>
      </c>
      <c r="AD1332" s="168">
        <v>-0.1</v>
      </c>
      <c r="AE1332" s="169">
        <v>4.8</v>
      </c>
      <c r="AF1332" s="170">
        <v>49</v>
      </c>
      <c r="AN1332" s="147" t="s">
        <v>195</v>
      </c>
      <c r="AO1332" s="148"/>
      <c r="AP1332" s="148"/>
      <c r="AQ1332" s="148"/>
      <c r="AR1332" s="149"/>
      <c r="AS1332" s="20">
        <f t="shared" si="40"/>
        <v>3</v>
      </c>
      <c r="AT1332" s="165">
        <v>1.5</v>
      </c>
      <c r="AU1332" s="167">
        <v>18.892794376098418</v>
      </c>
      <c r="AV1332" s="168">
        <v>-0.9</v>
      </c>
      <c r="AW1332" s="169">
        <v>3.2</v>
      </c>
      <c r="AX1332" s="170">
        <v>41</v>
      </c>
      <c r="BX1332" s="165">
        <v>465</v>
      </c>
      <c r="BY1332" s="167">
        <v>1.1443661971830987</v>
      </c>
      <c r="BZ1332" s="168">
        <v>-2.2999999999999998</v>
      </c>
      <c r="CA1332" s="169">
        <v>0.4</v>
      </c>
      <c r="CB1332" s="170">
        <v>27</v>
      </c>
      <c r="CP1332" s="165">
        <v>279</v>
      </c>
      <c r="CQ1332" s="167">
        <v>2.4604569420035149</v>
      </c>
      <c r="CR1332" s="168">
        <v>-2</v>
      </c>
      <c r="CS1332" s="169">
        <v>1</v>
      </c>
      <c r="CT1332" s="170">
        <v>30</v>
      </c>
      <c r="CV1332" s="165">
        <v>32</v>
      </c>
      <c r="CW1332" s="167">
        <v>6.6901408450704221</v>
      </c>
      <c r="CX1332" s="168">
        <v>-1.5</v>
      </c>
      <c r="CY1332" s="169">
        <v>2</v>
      </c>
      <c r="CZ1332" s="170">
        <v>35</v>
      </c>
      <c r="DB1332" s="155" t="s">
        <v>10</v>
      </c>
      <c r="DC1332" s="158" t="s">
        <v>13</v>
      </c>
      <c r="DD1332" s="156" t="s">
        <v>14</v>
      </c>
      <c r="DE1332" s="156" t="s">
        <v>15</v>
      </c>
      <c r="DF1332" s="159" t="s">
        <v>16</v>
      </c>
    </row>
    <row r="1333" spans="28:110" ht="13.15" hidden="1" thickBot="1" x14ac:dyDescent="0.25">
      <c r="AB1333" s="172">
        <v>0</v>
      </c>
      <c r="AC1333" s="173">
        <v>79.313380281690144</v>
      </c>
      <c r="AD1333" s="174">
        <v>0.8</v>
      </c>
      <c r="AE1333" s="175">
        <v>6.6</v>
      </c>
      <c r="AF1333" s="176">
        <v>58</v>
      </c>
      <c r="AN1333" s="150" t="s">
        <v>164</v>
      </c>
      <c r="AO1333" s="151" t="s">
        <v>32</v>
      </c>
      <c r="AP1333" s="152"/>
      <c r="AQ1333" s="152"/>
      <c r="AR1333" s="153"/>
      <c r="AS1333" s="20">
        <f t="shared" si="40"/>
        <v>2</v>
      </c>
      <c r="AT1333" s="165">
        <v>1</v>
      </c>
      <c r="AU1333" s="167">
        <v>19.77152899824253</v>
      </c>
      <c r="AV1333" s="168">
        <v>-0.9</v>
      </c>
      <c r="AW1333" s="169">
        <v>3.2</v>
      </c>
      <c r="AX1333" s="170">
        <v>41</v>
      </c>
      <c r="BX1333" s="165">
        <v>464</v>
      </c>
      <c r="BY1333" s="167">
        <v>1.1443661971830987</v>
      </c>
      <c r="BZ1333" s="168">
        <v>-2.2999999999999998</v>
      </c>
      <c r="CA1333" s="169">
        <v>0.4</v>
      </c>
      <c r="CB1333" s="170">
        <v>27</v>
      </c>
      <c r="CP1333" s="165">
        <v>278</v>
      </c>
      <c r="CQ1333" s="167">
        <v>2.4604569420035149</v>
      </c>
      <c r="CR1333" s="168">
        <v>-2</v>
      </c>
      <c r="CS1333" s="169">
        <v>1</v>
      </c>
      <c r="CT1333" s="170">
        <v>30</v>
      </c>
      <c r="CV1333" s="165">
        <v>31</v>
      </c>
      <c r="CW1333" s="167">
        <v>7.658450704225352</v>
      </c>
      <c r="CX1333" s="168">
        <v>-1.4</v>
      </c>
      <c r="CY1333" s="169">
        <v>2.2000000000000002</v>
      </c>
      <c r="CZ1333" s="170">
        <v>36</v>
      </c>
      <c r="DB1333" s="160">
        <v>11</v>
      </c>
      <c r="DC1333" s="161">
        <v>0.12195121951219512</v>
      </c>
      <c r="DD1333" s="162">
        <v>-3</v>
      </c>
      <c r="DE1333" s="163">
        <v>-1</v>
      </c>
      <c r="DF1333" s="164">
        <v>20</v>
      </c>
    </row>
    <row r="1334" spans="28:110" ht="13.8" hidden="1" thickBot="1" x14ac:dyDescent="0.3">
      <c r="AN1334" s="155" t="s">
        <v>10</v>
      </c>
      <c r="AO1334" s="158" t="s">
        <v>13</v>
      </c>
      <c r="AP1334" s="156" t="s">
        <v>14</v>
      </c>
      <c r="AQ1334" s="156" t="s">
        <v>15</v>
      </c>
      <c r="AR1334" s="159" t="s">
        <v>16</v>
      </c>
      <c r="AS1334" s="20">
        <f t="shared" si="40"/>
        <v>1</v>
      </c>
      <c r="AT1334" s="165">
        <v>0.5</v>
      </c>
      <c r="AU1334" s="167">
        <v>20.650263620386646</v>
      </c>
      <c r="AV1334" s="168">
        <v>-0.8</v>
      </c>
      <c r="AW1334" s="169">
        <v>3.4</v>
      </c>
      <c r="AX1334" s="170">
        <v>42</v>
      </c>
      <c r="BL1334" s="138" t="s">
        <v>223</v>
      </c>
      <c r="BM1334" s="139"/>
      <c r="BN1334" s="139"/>
      <c r="BO1334" s="140" t="s">
        <v>180</v>
      </c>
      <c r="BP1334" s="141">
        <v>566</v>
      </c>
      <c r="BX1334" s="165">
        <v>463</v>
      </c>
      <c r="BY1334" s="167">
        <v>1.1443661971830987</v>
      </c>
      <c r="BZ1334" s="168">
        <v>-2.2999999999999998</v>
      </c>
      <c r="CA1334" s="169">
        <v>0.4</v>
      </c>
      <c r="CB1334" s="170">
        <v>27</v>
      </c>
      <c r="CP1334" s="165">
        <v>277</v>
      </c>
      <c r="CQ1334" s="167">
        <v>2.4604569420035149</v>
      </c>
      <c r="CR1334" s="168">
        <v>-2</v>
      </c>
      <c r="CS1334" s="169">
        <v>1</v>
      </c>
      <c r="CT1334" s="170">
        <v>30</v>
      </c>
      <c r="CV1334" s="165">
        <v>30</v>
      </c>
      <c r="CW1334" s="167">
        <v>9.419014084507042</v>
      </c>
      <c r="CX1334" s="168">
        <v>-1.3</v>
      </c>
      <c r="CY1334" s="169">
        <v>2.4</v>
      </c>
      <c r="CZ1334" s="170">
        <v>37</v>
      </c>
      <c r="DB1334" s="165">
        <v>12</v>
      </c>
      <c r="DC1334" s="167">
        <v>0.48780487804878048</v>
      </c>
      <c r="DD1334" s="168">
        <v>-2.6</v>
      </c>
      <c r="DE1334" s="169">
        <v>-0.2</v>
      </c>
      <c r="DF1334" s="170">
        <v>24</v>
      </c>
    </row>
    <row r="1335" spans="28:110" ht="13.15" hidden="1" thickBot="1" x14ac:dyDescent="0.25">
      <c r="AM1335" s="20">
        <f t="shared" ref="AM1335:AM1355" si="41">AN1335*2</f>
        <v>10</v>
      </c>
      <c r="AN1335" s="160">
        <v>5</v>
      </c>
      <c r="AO1335" s="161">
        <v>0.17605633802816903</v>
      </c>
      <c r="AP1335" s="162">
        <v>-2.9</v>
      </c>
      <c r="AQ1335" s="163">
        <v>-0.8</v>
      </c>
      <c r="AR1335" s="164">
        <v>21</v>
      </c>
      <c r="AS1335" s="20">
        <f t="shared" si="40"/>
        <v>0</v>
      </c>
      <c r="AT1335" s="165">
        <v>0</v>
      </c>
      <c r="AU1335" s="167">
        <v>58.699472759226708</v>
      </c>
      <c r="AV1335" s="168">
        <v>0.2</v>
      </c>
      <c r="AW1335" s="169">
        <v>5.4</v>
      </c>
      <c r="AX1335" s="170">
        <v>52</v>
      </c>
      <c r="BL1335" s="144" t="s">
        <v>161</v>
      </c>
      <c r="BP1335" s="145"/>
      <c r="BX1335" s="165">
        <v>462</v>
      </c>
      <c r="BY1335" s="167">
        <v>1.1443661971830987</v>
      </c>
      <c r="BZ1335" s="168">
        <v>-2.2999999999999998</v>
      </c>
      <c r="CA1335" s="169">
        <v>0.4</v>
      </c>
      <c r="CB1335" s="170">
        <v>27</v>
      </c>
      <c r="CP1335" s="165">
        <v>276</v>
      </c>
      <c r="CQ1335" s="167">
        <v>2.4604569420035149</v>
      </c>
      <c r="CR1335" s="168">
        <v>-2</v>
      </c>
      <c r="CS1335" s="169">
        <v>1</v>
      </c>
      <c r="CT1335" s="170">
        <v>30</v>
      </c>
      <c r="CV1335" s="165">
        <v>29</v>
      </c>
      <c r="CW1335" s="167">
        <v>11.091549295774648</v>
      </c>
      <c r="CX1335" s="168">
        <v>-1.2</v>
      </c>
      <c r="CY1335" s="169">
        <v>2.6</v>
      </c>
      <c r="CZ1335" s="170">
        <v>38</v>
      </c>
      <c r="DB1335" s="165">
        <v>13</v>
      </c>
      <c r="DC1335" s="167">
        <v>0.48780487804878048</v>
      </c>
      <c r="DD1335" s="168">
        <v>-2.6</v>
      </c>
      <c r="DE1335" s="169">
        <v>-0.2</v>
      </c>
      <c r="DF1335" s="170">
        <v>24</v>
      </c>
    </row>
    <row r="1336" spans="28:110" ht="13.8" hidden="1" thickBot="1" x14ac:dyDescent="0.3">
      <c r="AB1336" s="138" t="s">
        <v>159</v>
      </c>
      <c r="AC1336" s="139"/>
      <c r="AD1336" s="139"/>
      <c r="AE1336" s="140"/>
      <c r="AF1336" s="141" t="s">
        <v>167</v>
      </c>
      <c r="AM1336" s="20">
        <f t="shared" si="41"/>
        <v>9</v>
      </c>
      <c r="AN1336" s="165">
        <v>4.5</v>
      </c>
      <c r="AO1336" s="167">
        <v>0.88028169014084512</v>
      </c>
      <c r="AP1336" s="168">
        <v>-2.4</v>
      </c>
      <c r="AQ1336" s="169">
        <v>0.2</v>
      </c>
      <c r="AR1336" s="170">
        <v>26</v>
      </c>
      <c r="AS1336" s="20">
        <f t="shared" si="40"/>
        <v>-1</v>
      </c>
      <c r="AT1336" s="165">
        <v>-0.5</v>
      </c>
      <c r="AU1336" s="167">
        <v>96.748681898066778</v>
      </c>
      <c r="AV1336" s="168">
        <v>1.8</v>
      </c>
      <c r="AW1336" s="169">
        <v>8.6</v>
      </c>
      <c r="AX1336" s="170">
        <v>68</v>
      </c>
      <c r="BL1336" s="147" t="s">
        <v>229</v>
      </c>
      <c r="BM1336" s="148"/>
      <c r="BN1336" s="148"/>
      <c r="BO1336" s="148"/>
      <c r="BP1336" s="149"/>
      <c r="BX1336" s="165">
        <v>461</v>
      </c>
      <c r="BY1336" s="167">
        <v>1.1443661971830987</v>
      </c>
      <c r="BZ1336" s="168">
        <v>-2.2999999999999998</v>
      </c>
      <c r="CA1336" s="169">
        <v>0.4</v>
      </c>
      <c r="CB1336" s="170">
        <v>27</v>
      </c>
      <c r="CP1336" s="165">
        <v>275</v>
      </c>
      <c r="CQ1336" s="167">
        <v>2.4604569420035149</v>
      </c>
      <c r="CR1336" s="168">
        <v>-2</v>
      </c>
      <c r="CS1336" s="169">
        <v>1</v>
      </c>
      <c r="CT1336" s="170">
        <v>30</v>
      </c>
      <c r="CV1336" s="165">
        <v>28</v>
      </c>
      <c r="CW1336" s="167">
        <v>12.676056338028168</v>
      </c>
      <c r="CX1336" s="168">
        <v>-1.1000000000000001</v>
      </c>
      <c r="CY1336" s="169">
        <v>2.8</v>
      </c>
      <c r="CZ1336" s="170">
        <v>39</v>
      </c>
      <c r="DB1336" s="165">
        <v>14</v>
      </c>
      <c r="DC1336" s="167">
        <v>0.48780487804878048</v>
      </c>
      <c r="DD1336" s="168">
        <v>-2.6</v>
      </c>
      <c r="DE1336" s="169">
        <v>-0.2</v>
      </c>
      <c r="DF1336" s="170">
        <v>24</v>
      </c>
    </row>
    <row r="1337" spans="28:110" ht="13.15" hidden="1" thickBot="1" x14ac:dyDescent="0.25">
      <c r="AB1337" s="144" t="s">
        <v>161</v>
      </c>
      <c r="AD1337" s="20" t="s">
        <v>162</v>
      </c>
      <c r="AF1337" s="145"/>
      <c r="AM1337" s="20">
        <f t="shared" si="41"/>
        <v>8</v>
      </c>
      <c r="AN1337" s="165">
        <v>4</v>
      </c>
      <c r="AO1337" s="167">
        <v>0.88028169014084512</v>
      </c>
      <c r="AP1337" s="168">
        <v>-2.4</v>
      </c>
      <c r="AQ1337" s="169">
        <v>0.2</v>
      </c>
      <c r="AR1337" s="170">
        <v>26</v>
      </c>
      <c r="AS1337" s="20">
        <f t="shared" si="40"/>
        <v>-2</v>
      </c>
      <c r="AT1337" s="165">
        <v>-1</v>
      </c>
      <c r="AU1337" s="167">
        <v>97.451669595782079</v>
      </c>
      <c r="AV1337" s="168">
        <v>2</v>
      </c>
      <c r="AW1337" s="169">
        <v>9</v>
      </c>
      <c r="AX1337" s="170">
        <v>70</v>
      </c>
      <c r="BL1337" s="150" t="s">
        <v>164</v>
      </c>
      <c r="BM1337" s="151" t="s">
        <v>230</v>
      </c>
      <c r="BN1337" s="152"/>
      <c r="BO1337" s="152"/>
      <c r="BP1337" s="153"/>
      <c r="BX1337" s="165">
        <v>460</v>
      </c>
      <c r="BY1337" s="167">
        <v>1.1443661971830987</v>
      </c>
      <c r="BZ1337" s="168">
        <v>-2.2999999999999998</v>
      </c>
      <c r="CA1337" s="169">
        <v>0.4</v>
      </c>
      <c r="CB1337" s="170">
        <v>27</v>
      </c>
      <c r="CP1337" s="165">
        <v>274</v>
      </c>
      <c r="CQ1337" s="167">
        <v>2.4604569420035149</v>
      </c>
      <c r="CR1337" s="168">
        <v>-2</v>
      </c>
      <c r="CS1337" s="169">
        <v>1</v>
      </c>
      <c r="CT1337" s="170">
        <v>30</v>
      </c>
      <c r="CV1337" s="165">
        <v>27</v>
      </c>
      <c r="CW1337" s="167">
        <v>14.700704225352112</v>
      </c>
      <c r="CX1337" s="168">
        <v>-1.1000000000000001</v>
      </c>
      <c r="CY1337" s="169">
        <v>2.8</v>
      </c>
      <c r="CZ1337" s="170">
        <v>39</v>
      </c>
      <c r="DB1337" s="165">
        <v>15</v>
      </c>
      <c r="DC1337" s="167">
        <v>0.48780487804878048</v>
      </c>
      <c r="DD1337" s="168">
        <v>-2.6</v>
      </c>
      <c r="DE1337" s="169">
        <v>-0.2</v>
      </c>
      <c r="DF1337" s="170">
        <v>24</v>
      </c>
    </row>
    <row r="1338" spans="28:110" ht="13.15" hidden="1" thickBot="1" x14ac:dyDescent="0.25">
      <c r="AB1338" s="147"/>
      <c r="AC1338" s="148"/>
      <c r="AD1338" s="179" t="s">
        <v>170</v>
      </c>
      <c r="AE1338" s="148"/>
      <c r="AF1338" s="149"/>
      <c r="AM1338" s="20">
        <f t="shared" si="41"/>
        <v>7</v>
      </c>
      <c r="AN1338" s="165">
        <v>3.5</v>
      </c>
      <c r="AO1338" s="167">
        <v>1.584507042253521</v>
      </c>
      <c r="AP1338" s="168">
        <v>-2.2000000000000002</v>
      </c>
      <c r="AQ1338" s="169">
        <v>0.6</v>
      </c>
      <c r="AR1338" s="170">
        <v>28</v>
      </c>
      <c r="AS1338" s="20">
        <f t="shared" si="40"/>
        <v>-3</v>
      </c>
      <c r="AT1338" s="165">
        <v>-1.5</v>
      </c>
      <c r="AU1338" s="167">
        <v>98.506151142355009</v>
      </c>
      <c r="AV1338" s="168">
        <v>2.2000000000000002</v>
      </c>
      <c r="AW1338" s="169">
        <v>9.4</v>
      </c>
      <c r="AX1338" s="170">
        <v>72</v>
      </c>
      <c r="BL1338" s="155" t="s">
        <v>10</v>
      </c>
      <c r="BM1338" s="156" t="s">
        <v>13</v>
      </c>
      <c r="BN1338" s="156" t="s">
        <v>14</v>
      </c>
      <c r="BO1338" s="156" t="s">
        <v>15</v>
      </c>
      <c r="BP1338" s="157" t="s">
        <v>16</v>
      </c>
      <c r="BX1338" s="165">
        <v>459</v>
      </c>
      <c r="BY1338" s="167">
        <v>1.1443661971830987</v>
      </c>
      <c r="BZ1338" s="168">
        <v>-2.2999999999999998</v>
      </c>
      <c r="CA1338" s="169">
        <v>0.4</v>
      </c>
      <c r="CB1338" s="170">
        <v>27</v>
      </c>
      <c r="CP1338" s="165">
        <v>273</v>
      </c>
      <c r="CQ1338" s="167">
        <v>2.4604569420035149</v>
      </c>
      <c r="CR1338" s="168">
        <v>-2</v>
      </c>
      <c r="CS1338" s="169">
        <v>1</v>
      </c>
      <c r="CT1338" s="170">
        <v>30</v>
      </c>
      <c r="CV1338" s="165">
        <v>26</v>
      </c>
      <c r="CW1338" s="167">
        <v>16.725352112676056</v>
      </c>
      <c r="CX1338" s="168">
        <v>-1</v>
      </c>
      <c r="CY1338" s="169">
        <v>3</v>
      </c>
      <c r="CZ1338" s="170">
        <v>40</v>
      </c>
      <c r="DB1338" s="165">
        <v>16</v>
      </c>
      <c r="DC1338" s="167">
        <v>0.48780487804878048</v>
      </c>
      <c r="DD1338" s="168">
        <v>-2.6</v>
      </c>
      <c r="DE1338" s="169">
        <v>-0.2</v>
      </c>
      <c r="DF1338" s="170">
        <v>24</v>
      </c>
    </row>
    <row r="1339" spans="28:110" ht="13.15" hidden="1" thickBot="1" x14ac:dyDescent="0.25">
      <c r="AB1339" s="150" t="s">
        <v>164</v>
      </c>
      <c r="AC1339" s="151" t="s">
        <v>35</v>
      </c>
      <c r="AD1339" s="152"/>
      <c r="AE1339" s="152"/>
      <c r="AF1339" s="153"/>
      <c r="AM1339" s="20">
        <f t="shared" si="41"/>
        <v>6</v>
      </c>
      <c r="AN1339" s="165">
        <v>3</v>
      </c>
      <c r="AO1339" s="167">
        <v>3.433098591549296</v>
      </c>
      <c r="AP1339" s="168">
        <v>-1.8</v>
      </c>
      <c r="AQ1339" s="169">
        <v>1.4</v>
      </c>
      <c r="AR1339" s="170">
        <v>32</v>
      </c>
      <c r="AS1339" s="20">
        <f t="shared" si="40"/>
        <v>-4</v>
      </c>
      <c r="AT1339" s="165">
        <v>-2</v>
      </c>
      <c r="AU1339" s="167">
        <v>98.506151142355009</v>
      </c>
      <c r="AV1339" s="168">
        <v>2.2000000000000002</v>
      </c>
      <c r="AW1339" s="169">
        <v>9.4</v>
      </c>
      <c r="AX1339" s="170">
        <v>72</v>
      </c>
      <c r="BL1339" s="160">
        <v>31</v>
      </c>
      <c r="BM1339" s="161">
        <v>8.8339222614840993E-2</v>
      </c>
      <c r="BN1339" s="162">
        <v>-3</v>
      </c>
      <c r="BO1339" s="163">
        <v>-1</v>
      </c>
      <c r="BP1339" s="164">
        <v>20</v>
      </c>
      <c r="BX1339" s="165">
        <v>458</v>
      </c>
      <c r="BY1339" s="167">
        <v>1.1443661971830987</v>
      </c>
      <c r="BZ1339" s="168">
        <v>-2.2999999999999998</v>
      </c>
      <c r="CA1339" s="169">
        <v>0.4</v>
      </c>
      <c r="CB1339" s="170">
        <v>27</v>
      </c>
      <c r="CP1339" s="165">
        <v>272</v>
      </c>
      <c r="CQ1339" s="167">
        <v>2.4604569420035149</v>
      </c>
      <c r="CR1339" s="168">
        <v>-2</v>
      </c>
      <c r="CS1339" s="169">
        <v>1</v>
      </c>
      <c r="CT1339" s="170">
        <v>30</v>
      </c>
      <c r="CV1339" s="165">
        <v>25</v>
      </c>
      <c r="CW1339" s="167">
        <v>19.014084507042252</v>
      </c>
      <c r="CX1339" s="168">
        <v>-0.9</v>
      </c>
      <c r="CY1339" s="169">
        <v>3.2</v>
      </c>
      <c r="CZ1339" s="170">
        <v>41</v>
      </c>
      <c r="DB1339" s="165">
        <v>17</v>
      </c>
      <c r="DC1339" s="167">
        <v>0.48780487804878048</v>
      </c>
      <c r="DD1339" s="168">
        <v>-2.6</v>
      </c>
      <c r="DE1339" s="169">
        <v>-0.2</v>
      </c>
      <c r="DF1339" s="170">
        <v>24</v>
      </c>
    </row>
    <row r="1340" spans="28:110" ht="13.15" hidden="1" thickBot="1" x14ac:dyDescent="0.25">
      <c r="AB1340" s="155" t="s">
        <v>10</v>
      </c>
      <c r="AC1340" s="156" t="s">
        <v>13</v>
      </c>
      <c r="AD1340" s="156" t="s">
        <v>14</v>
      </c>
      <c r="AE1340" s="156" t="s">
        <v>15</v>
      </c>
      <c r="AF1340" s="159" t="s">
        <v>16</v>
      </c>
      <c r="AM1340" s="20">
        <f t="shared" si="41"/>
        <v>5</v>
      </c>
      <c r="AN1340" s="165">
        <v>2.5</v>
      </c>
      <c r="AO1340" s="167">
        <v>5.457746478873239</v>
      </c>
      <c r="AP1340" s="168">
        <v>-1.6</v>
      </c>
      <c r="AQ1340" s="169">
        <v>1.8</v>
      </c>
      <c r="AR1340" s="170">
        <v>34</v>
      </c>
      <c r="AS1340" s="20">
        <f t="shared" si="40"/>
        <v>-5</v>
      </c>
      <c r="AT1340" s="165">
        <v>-2.5</v>
      </c>
      <c r="AU1340" s="167">
        <v>99.209138840070295</v>
      </c>
      <c r="AV1340" s="168">
        <v>2.4</v>
      </c>
      <c r="AW1340" s="169">
        <v>9.8000000000000007</v>
      </c>
      <c r="AX1340" s="170">
        <v>74</v>
      </c>
      <c r="BL1340" s="165">
        <v>30</v>
      </c>
      <c r="BM1340" s="167">
        <v>0.26501766784452296</v>
      </c>
      <c r="BN1340" s="168">
        <v>-2.8</v>
      </c>
      <c r="BO1340" s="169">
        <v>-0.6</v>
      </c>
      <c r="BP1340" s="170">
        <v>22</v>
      </c>
      <c r="BX1340" s="165">
        <v>457</v>
      </c>
      <c r="BY1340" s="167">
        <v>1.1443661971830987</v>
      </c>
      <c r="BZ1340" s="168">
        <v>-2.2999999999999998</v>
      </c>
      <c r="CA1340" s="169">
        <v>0.4</v>
      </c>
      <c r="CB1340" s="170">
        <v>27</v>
      </c>
      <c r="CP1340" s="165">
        <v>271</v>
      </c>
      <c r="CQ1340" s="167">
        <v>2.4604569420035149</v>
      </c>
      <c r="CR1340" s="168">
        <v>-2</v>
      </c>
      <c r="CS1340" s="169">
        <v>1</v>
      </c>
      <c r="CT1340" s="170">
        <v>30</v>
      </c>
      <c r="CV1340" s="165">
        <v>24</v>
      </c>
      <c r="CW1340" s="167">
        <v>21.47887323943662</v>
      </c>
      <c r="CX1340" s="168">
        <v>-0.8</v>
      </c>
      <c r="CY1340" s="169">
        <v>3.4</v>
      </c>
      <c r="CZ1340" s="170">
        <v>42</v>
      </c>
      <c r="DB1340" s="165">
        <v>18</v>
      </c>
      <c r="DC1340" s="167">
        <v>0.97560975609756095</v>
      </c>
      <c r="DD1340" s="168">
        <v>-2.2999999999999998</v>
      </c>
      <c r="DE1340" s="169">
        <v>0.4</v>
      </c>
      <c r="DF1340" s="170">
        <v>27</v>
      </c>
    </row>
    <row r="1341" spans="28:110" hidden="1" x14ac:dyDescent="0.2">
      <c r="AB1341" s="160">
        <v>7</v>
      </c>
      <c r="AC1341" s="161">
        <v>8.8028169014084515E-2</v>
      </c>
      <c r="AD1341" s="162">
        <v>-3</v>
      </c>
      <c r="AE1341" s="163">
        <v>-1</v>
      </c>
      <c r="AF1341" s="164">
        <v>20</v>
      </c>
      <c r="AM1341" s="20">
        <f t="shared" si="41"/>
        <v>4</v>
      </c>
      <c r="AN1341" s="165">
        <v>2</v>
      </c>
      <c r="AO1341" s="167">
        <v>10.387323943661972</v>
      </c>
      <c r="AP1341" s="168">
        <v>-1.3</v>
      </c>
      <c r="AQ1341" s="169">
        <v>2.4</v>
      </c>
      <c r="AR1341" s="170">
        <v>37</v>
      </c>
      <c r="AS1341" s="20">
        <f t="shared" si="40"/>
        <v>-6</v>
      </c>
      <c r="AT1341" s="165">
        <v>-3</v>
      </c>
      <c r="AU1341" s="167">
        <v>99.209138840070295</v>
      </c>
      <c r="AV1341" s="168">
        <v>2.4</v>
      </c>
      <c r="AW1341" s="169">
        <v>9.8000000000000007</v>
      </c>
      <c r="AX1341" s="170">
        <v>74</v>
      </c>
      <c r="BL1341" s="165">
        <v>29</v>
      </c>
      <c r="BM1341" s="167">
        <v>0.44169611307420498</v>
      </c>
      <c r="BN1341" s="168">
        <v>-2.6</v>
      </c>
      <c r="BO1341" s="169">
        <v>-0.2</v>
      </c>
      <c r="BP1341" s="170">
        <v>24</v>
      </c>
      <c r="BX1341" s="165">
        <v>456</v>
      </c>
      <c r="BY1341" s="167">
        <v>1.1443661971830987</v>
      </c>
      <c r="BZ1341" s="168">
        <v>-2.2999999999999998</v>
      </c>
      <c r="CA1341" s="169">
        <v>0.4</v>
      </c>
      <c r="CB1341" s="170">
        <v>27</v>
      </c>
      <c r="CP1341" s="165">
        <v>270</v>
      </c>
      <c r="CQ1341" s="167">
        <v>2.4604569420035149</v>
      </c>
      <c r="CR1341" s="168">
        <v>-2</v>
      </c>
      <c r="CS1341" s="169">
        <v>1</v>
      </c>
      <c r="CT1341" s="170">
        <v>30</v>
      </c>
      <c r="CV1341" s="165">
        <v>23</v>
      </c>
      <c r="CW1341" s="167">
        <v>24.295774647887324</v>
      </c>
      <c r="CX1341" s="168">
        <v>-0.7</v>
      </c>
      <c r="CY1341" s="169">
        <v>3.6</v>
      </c>
      <c r="CZ1341" s="170">
        <v>43</v>
      </c>
      <c r="DB1341" s="165">
        <v>19</v>
      </c>
      <c r="DC1341" s="167">
        <v>0.97560975609756095</v>
      </c>
      <c r="DD1341" s="168">
        <v>-2.2999999999999998</v>
      </c>
      <c r="DE1341" s="169">
        <v>0.4</v>
      </c>
      <c r="DF1341" s="170">
        <v>27</v>
      </c>
    </row>
    <row r="1342" spans="28:110" hidden="1" x14ac:dyDescent="0.2">
      <c r="AB1342" s="165">
        <v>6</v>
      </c>
      <c r="AC1342" s="167">
        <v>0.35211267605633806</v>
      </c>
      <c r="AD1342" s="168">
        <v>-2.7</v>
      </c>
      <c r="AE1342" s="169">
        <v>-0.4</v>
      </c>
      <c r="AF1342" s="170">
        <v>23</v>
      </c>
      <c r="AM1342" s="20">
        <f t="shared" si="41"/>
        <v>3</v>
      </c>
      <c r="AN1342" s="165">
        <v>1.5</v>
      </c>
      <c r="AO1342" s="167">
        <v>16.637323943661972</v>
      </c>
      <c r="AP1342" s="168">
        <v>-1</v>
      </c>
      <c r="AQ1342" s="169">
        <v>3</v>
      </c>
      <c r="AR1342" s="170">
        <v>40</v>
      </c>
      <c r="AS1342" s="20">
        <f t="shared" si="40"/>
        <v>-7</v>
      </c>
      <c r="AT1342" s="165">
        <v>-3.5</v>
      </c>
      <c r="AU1342" s="167">
        <v>99.209138840070295</v>
      </c>
      <c r="AV1342" s="168">
        <v>2.4</v>
      </c>
      <c r="AW1342" s="169">
        <v>9.8000000000000007</v>
      </c>
      <c r="AX1342" s="170">
        <v>74</v>
      </c>
      <c r="BL1342" s="165">
        <v>28</v>
      </c>
      <c r="BM1342" s="167">
        <v>0.44169611307420498</v>
      </c>
      <c r="BN1342" s="168">
        <v>-2.6</v>
      </c>
      <c r="BO1342" s="169">
        <v>-0.2</v>
      </c>
      <c r="BP1342" s="170">
        <v>24</v>
      </c>
      <c r="BX1342" s="165">
        <v>455</v>
      </c>
      <c r="BY1342" s="167">
        <v>1.1443661971830987</v>
      </c>
      <c r="BZ1342" s="168">
        <v>-2.2999999999999998</v>
      </c>
      <c r="CA1342" s="169">
        <v>0.4</v>
      </c>
      <c r="CB1342" s="170">
        <v>27</v>
      </c>
      <c r="CP1342" s="165">
        <v>269</v>
      </c>
      <c r="CQ1342" s="167">
        <v>2.4604569420035149</v>
      </c>
      <c r="CR1342" s="168">
        <v>-2</v>
      </c>
      <c r="CS1342" s="169">
        <v>1</v>
      </c>
      <c r="CT1342" s="170">
        <v>30</v>
      </c>
      <c r="CV1342" s="165">
        <v>22</v>
      </c>
      <c r="CW1342" s="167">
        <v>27.024647887323944</v>
      </c>
      <c r="CX1342" s="168">
        <v>-0.6</v>
      </c>
      <c r="CY1342" s="169">
        <v>3.8</v>
      </c>
      <c r="CZ1342" s="170">
        <v>44</v>
      </c>
      <c r="DB1342" s="165">
        <v>20</v>
      </c>
      <c r="DC1342" s="167">
        <v>1.4634146341463417</v>
      </c>
      <c r="DD1342" s="168">
        <v>-2.2000000000000002</v>
      </c>
      <c r="DE1342" s="169">
        <v>0.6</v>
      </c>
      <c r="DF1342" s="170">
        <v>28</v>
      </c>
    </row>
    <row r="1343" spans="28:110" hidden="1" x14ac:dyDescent="0.2">
      <c r="AB1343" s="165">
        <v>5</v>
      </c>
      <c r="AC1343" s="167">
        <v>0.35211267605633806</v>
      </c>
      <c r="AD1343" s="168">
        <v>-2.7</v>
      </c>
      <c r="AE1343" s="169">
        <v>-0.4</v>
      </c>
      <c r="AF1343" s="170">
        <v>23</v>
      </c>
      <c r="AM1343" s="20">
        <f t="shared" si="41"/>
        <v>2</v>
      </c>
      <c r="AN1343" s="165">
        <v>1</v>
      </c>
      <c r="AO1343" s="167">
        <v>28.785211267605632</v>
      </c>
      <c r="AP1343" s="168">
        <v>-0.6</v>
      </c>
      <c r="AQ1343" s="169">
        <v>3.8</v>
      </c>
      <c r="AR1343" s="170">
        <v>44</v>
      </c>
      <c r="AS1343" s="20">
        <f t="shared" si="40"/>
        <v>-8</v>
      </c>
      <c r="AT1343" s="165">
        <v>-4</v>
      </c>
      <c r="AU1343" s="167">
        <v>99.209138840070295</v>
      </c>
      <c r="AV1343" s="168">
        <v>2.4</v>
      </c>
      <c r="AW1343" s="169">
        <v>9.8000000000000007</v>
      </c>
      <c r="AX1343" s="170">
        <v>74</v>
      </c>
      <c r="BL1343" s="165">
        <v>27</v>
      </c>
      <c r="BM1343" s="167">
        <v>0.44169611307420498</v>
      </c>
      <c r="BN1343" s="168">
        <v>-2.6</v>
      </c>
      <c r="BO1343" s="169">
        <v>-0.2</v>
      </c>
      <c r="BP1343" s="170">
        <v>24</v>
      </c>
      <c r="BX1343" s="165">
        <v>454</v>
      </c>
      <c r="BY1343" s="167">
        <v>1.1443661971830987</v>
      </c>
      <c r="BZ1343" s="168">
        <v>-2.2999999999999998</v>
      </c>
      <c r="CA1343" s="169">
        <v>0.4</v>
      </c>
      <c r="CB1343" s="170">
        <v>27</v>
      </c>
      <c r="CP1343" s="165">
        <v>268</v>
      </c>
      <c r="CQ1343" s="167">
        <v>2.4604569420035149</v>
      </c>
      <c r="CR1343" s="168">
        <v>-2</v>
      </c>
      <c r="CS1343" s="169">
        <v>1</v>
      </c>
      <c r="CT1343" s="170">
        <v>30</v>
      </c>
      <c r="CV1343" s="165">
        <v>21</v>
      </c>
      <c r="CW1343" s="167">
        <v>29.929577464788732</v>
      </c>
      <c r="CX1343" s="168">
        <v>-0.5</v>
      </c>
      <c r="CY1343" s="169">
        <v>4</v>
      </c>
      <c r="CZ1343" s="170">
        <v>45</v>
      </c>
      <c r="DB1343" s="165">
        <v>21</v>
      </c>
      <c r="DC1343" s="167">
        <v>1.8292682926829267</v>
      </c>
      <c r="DD1343" s="168">
        <v>-2.1</v>
      </c>
      <c r="DE1343" s="169">
        <v>0.8</v>
      </c>
      <c r="DF1343" s="170">
        <v>29</v>
      </c>
    </row>
    <row r="1344" spans="28:110" hidden="1" x14ac:dyDescent="0.2">
      <c r="AB1344" s="165">
        <v>4</v>
      </c>
      <c r="AC1344" s="167">
        <v>0.35211267605633806</v>
      </c>
      <c r="AD1344" s="168">
        <v>-2.7</v>
      </c>
      <c r="AE1344" s="169">
        <v>-0.4</v>
      </c>
      <c r="AF1344" s="170">
        <v>23</v>
      </c>
      <c r="AM1344" s="20">
        <f t="shared" si="41"/>
        <v>1</v>
      </c>
      <c r="AN1344" s="165">
        <v>0.5</v>
      </c>
      <c r="AO1344" s="167">
        <v>40.933098591549296</v>
      </c>
      <c r="AP1344" s="168">
        <v>-0.2</v>
      </c>
      <c r="AQ1344" s="169">
        <v>4.5999999999999996</v>
      </c>
      <c r="AR1344" s="170">
        <v>48</v>
      </c>
      <c r="AS1344" s="20">
        <f t="shared" si="40"/>
        <v>-9</v>
      </c>
      <c r="AT1344" s="165">
        <v>-4.5</v>
      </c>
      <c r="AU1344" s="167">
        <v>99.384885764499117</v>
      </c>
      <c r="AV1344" s="168">
        <v>2.5</v>
      </c>
      <c r="AW1344" s="169">
        <v>10</v>
      </c>
      <c r="AX1344" s="170">
        <v>75</v>
      </c>
      <c r="BL1344" s="165">
        <v>26</v>
      </c>
      <c r="BM1344" s="167">
        <v>0.44169611307420498</v>
      </c>
      <c r="BN1344" s="168">
        <v>-2.6</v>
      </c>
      <c r="BO1344" s="169">
        <v>-0.2</v>
      </c>
      <c r="BP1344" s="170">
        <v>24</v>
      </c>
      <c r="BX1344" s="165">
        <v>453</v>
      </c>
      <c r="BY1344" s="167">
        <v>1.1443661971830987</v>
      </c>
      <c r="BZ1344" s="168">
        <v>-2.2999999999999998</v>
      </c>
      <c r="CA1344" s="169">
        <v>0.4</v>
      </c>
      <c r="CB1344" s="170">
        <v>27</v>
      </c>
      <c r="CP1344" s="165">
        <v>267</v>
      </c>
      <c r="CQ1344" s="167">
        <v>2.4604569420035149</v>
      </c>
      <c r="CR1344" s="168">
        <v>-2</v>
      </c>
      <c r="CS1344" s="169">
        <v>1</v>
      </c>
      <c r="CT1344" s="170">
        <v>30</v>
      </c>
      <c r="CV1344" s="165">
        <v>20</v>
      </c>
      <c r="CW1344" s="167">
        <v>33.098591549295776</v>
      </c>
      <c r="CX1344" s="168">
        <v>-0.4</v>
      </c>
      <c r="CY1344" s="169">
        <v>4.2</v>
      </c>
      <c r="CZ1344" s="170">
        <v>46</v>
      </c>
      <c r="DB1344" s="165">
        <v>22</v>
      </c>
      <c r="DC1344" s="167">
        <v>2.0731707317073171</v>
      </c>
      <c r="DD1344" s="168">
        <v>-2</v>
      </c>
      <c r="DE1344" s="169">
        <v>1</v>
      </c>
      <c r="DF1344" s="170">
        <v>30</v>
      </c>
    </row>
    <row r="1345" spans="28:110" hidden="1" x14ac:dyDescent="0.2">
      <c r="AB1345" s="165">
        <v>3</v>
      </c>
      <c r="AC1345" s="167">
        <v>0.35211267605633806</v>
      </c>
      <c r="AD1345" s="168">
        <v>-2.7</v>
      </c>
      <c r="AE1345" s="169">
        <v>-0.4</v>
      </c>
      <c r="AF1345" s="170">
        <v>23</v>
      </c>
      <c r="AM1345" s="20">
        <f t="shared" si="41"/>
        <v>0</v>
      </c>
      <c r="AN1345" s="165">
        <v>0</v>
      </c>
      <c r="AO1345" s="167">
        <v>60.915492957746473</v>
      </c>
      <c r="AP1345" s="168">
        <v>0.3</v>
      </c>
      <c r="AQ1345" s="169">
        <v>5.6</v>
      </c>
      <c r="AR1345" s="170">
        <v>53</v>
      </c>
      <c r="AS1345" s="20">
        <f t="shared" si="40"/>
        <v>-10</v>
      </c>
      <c r="AT1345" s="165">
        <v>-5</v>
      </c>
      <c r="AU1345" s="167">
        <v>99.384885764499117</v>
      </c>
      <c r="AV1345" s="168">
        <v>2.5</v>
      </c>
      <c r="AW1345" s="169">
        <v>10</v>
      </c>
      <c r="AX1345" s="170">
        <v>75</v>
      </c>
      <c r="BL1345" s="165">
        <v>25</v>
      </c>
      <c r="BM1345" s="167">
        <v>0.70671378091872794</v>
      </c>
      <c r="BN1345" s="168">
        <v>-2.5</v>
      </c>
      <c r="BO1345" s="169">
        <v>0</v>
      </c>
      <c r="BP1345" s="170">
        <v>25</v>
      </c>
      <c r="BX1345" s="165">
        <v>452</v>
      </c>
      <c r="BY1345" s="167">
        <v>1.1443661971830987</v>
      </c>
      <c r="BZ1345" s="168">
        <v>-2.2999999999999998</v>
      </c>
      <c r="CA1345" s="169">
        <v>0.4</v>
      </c>
      <c r="CB1345" s="170">
        <v>27</v>
      </c>
      <c r="CP1345" s="165">
        <v>266</v>
      </c>
      <c r="CQ1345" s="167">
        <v>2.4604569420035149</v>
      </c>
      <c r="CR1345" s="168">
        <v>-2</v>
      </c>
      <c r="CS1345" s="169">
        <v>1</v>
      </c>
      <c r="CT1345" s="170">
        <v>30</v>
      </c>
      <c r="CV1345" s="165">
        <v>19</v>
      </c>
      <c r="CW1345" s="167">
        <v>35.739436619718312</v>
      </c>
      <c r="CX1345" s="168">
        <v>-0.4</v>
      </c>
      <c r="CY1345" s="169">
        <v>4.2</v>
      </c>
      <c r="CZ1345" s="170">
        <v>46</v>
      </c>
      <c r="DB1345" s="165">
        <v>23</v>
      </c>
      <c r="DC1345" s="167">
        <v>2.3170731707317072</v>
      </c>
      <c r="DD1345" s="168">
        <v>-2</v>
      </c>
      <c r="DE1345" s="169">
        <v>1</v>
      </c>
      <c r="DF1345" s="170">
        <v>30</v>
      </c>
    </row>
    <row r="1346" spans="28:110" hidden="1" x14ac:dyDescent="0.2">
      <c r="AB1346" s="165">
        <v>2</v>
      </c>
      <c r="AC1346" s="167">
        <v>1.4964788732394365</v>
      </c>
      <c r="AD1346" s="168">
        <v>-2.2000000000000002</v>
      </c>
      <c r="AE1346" s="169">
        <v>0.6</v>
      </c>
      <c r="AF1346" s="170">
        <v>28</v>
      </c>
      <c r="AM1346" s="20">
        <f t="shared" si="41"/>
        <v>-1</v>
      </c>
      <c r="AN1346" s="165">
        <v>-0.5</v>
      </c>
      <c r="AO1346" s="167">
        <v>80.809859154929569</v>
      </c>
      <c r="AP1346" s="168">
        <v>0.9</v>
      </c>
      <c r="AQ1346" s="169">
        <v>6.8</v>
      </c>
      <c r="AR1346" s="170">
        <v>59</v>
      </c>
      <c r="AS1346" s="20">
        <f t="shared" si="40"/>
        <v>-11</v>
      </c>
      <c r="AT1346" s="165">
        <v>-5.5</v>
      </c>
      <c r="AU1346" s="167">
        <v>99.560632688927939</v>
      </c>
      <c r="AV1346" s="168">
        <v>2.6</v>
      </c>
      <c r="AW1346" s="169">
        <v>10.199999999999999</v>
      </c>
      <c r="AX1346" s="170">
        <v>76</v>
      </c>
      <c r="BL1346" s="165">
        <v>24</v>
      </c>
      <c r="BM1346" s="167">
        <v>0.9717314487632509</v>
      </c>
      <c r="BN1346" s="168">
        <v>-2.2999999999999998</v>
      </c>
      <c r="BO1346" s="169">
        <v>0.4</v>
      </c>
      <c r="BP1346" s="170">
        <v>27</v>
      </c>
      <c r="BX1346" s="165">
        <v>451</v>
      </c>
      <c r="BY1346" s="167">
        <v>1.1443661971830987</v>
      </c>
      <c r="BZ1346" s="168">
        <v>-2.2999999999999998</v>
      </c>
      <c r="CA1346" s="169">
        <v>0.4</v>
      </c>
      <c r="CB1346" s="170">
        <v>27</v>
      </c>
      <c r="CP1346" s="165">
        <v>265</v>
      </c>
      <c r="CQ1346" s="167">
        <v>2.4604569420035149</v>
      </c>
      <c r="CR1346" s="168">
        <v>-2</v>
      </c>
      <c r="CS1346" s="169">
        <v>1</v>
      </c>
      <c r="CT1346" s="170">
        <v>30</v>
      </c>
      <c r="CV1346" s="165">
        <v>18</v>
      </c>
      <c r="CW1346" s="167">
        <v>39.260563380281688</v>
      </c>
      <c r="CX1346" s="168">
        <v>-0.3</v>
      </c>
      <c r="CY1346" s="169">
        <v>4.4000000000000004</v>
      </c>
      <c r="CZ1346" s="170">
        <v>47</v>
      </c>
      <c r="DB1346" s="165">
        <v>24</v>
      </c>
      <c r="DC1346" s="167">
        <v>2.5609756097560976</v>
      </c>
      <c r="DD1346" s="168">
        <v>-2</v>
      </c>
      <c r="DE1346" s="169">
        <v>1</v>
      </c>
      <c r="DF1346" s="170">
        <v>30</v>
      </c>
    </row>
    <row r="1347" spans="28:110" ht="13.15" hidden="1" thickBot="1" x14ac:dyDescent="0.25">
      <c r="AB1347" s="165">
        <v>1</v>
      </c>
      <c r="AC1347" s="167">
        <v>6.7781690140845079</v>
      </c>
      <c r="AD1347" s="168">
        <v>-1.5</v>
      </c>
      <c r="AE1347" s="169">
        <v>2</v>
      </c>
      <c r="AF1347" s="170">
        <v>35</v>
      </c>
      <c r="AM1347" s="20">
        <f t="shared" si="41"/>
        <v>-2</v>
      </c>
      <c r="AN1347" s="165">
        <v>-1</v>
      </c>
      <c r="AO1347" s="167">
        <v>88.820422535211264</v>
      </c>
      <c r="AP1347" s="168">
        <v>1.2</v>
      </c>
      <c r="AQ1347" s="169">
        <v>7.4</v>
      </c>
      <c r="AR1347" s="170">
        <v>62</v>
      </c>
      <c r="AS1347" s="20">
        <f t="shared" si="40"/>
        <v>-12</v>
      </c>
      <c r="AT1347" s="172">
        <v>-6</v>
      </c>
      <c r="AU1347" s="173">
        <v>99.824253075571178</v>
      </c>
      <c r="AV1347" s="174">
        <v>2.9</v>
      </c>
      <c r="AW1347" s="175">
        <v>10.8</v>
      </c>
      <c r="AX1347" s="176">
        <v>79</v>
      </c>
      <c r="BL1347" s="165">
        <v>23</v>
      </c>
      <c r="BM1347" s="167">
        <v>1.2367491166077738</v>
      </c>
      <c r="BN1347" s="168">
        <v>-2.2000000000000002</v>
      </c>
      <c r="BO1347" s="169">
        <v>0.6</v>
      </c>
      <c r="BP1347" s="170">
        <v>28</v>
      </c>
      <c r="BX1347" s="165">
        <v>450</v>
      </c>
      <c r="BY1347" s="167">
        <v>1.1443661971830987</v>
      </c>
      <c r="BZ1347" s="168">
        <v>-2.2999999999999998</v>
      </c>
      <c r="CA1347" s="169">
        <v>0.4</v>
      </c>
      <c r="CB1347" s="170">
        <v>27</v>
      </c>
      <c r="CP1347" s="165">
        <v>264</v>
      </c>
      <c r="CQ1347" s="167">
        <v>2.4604569420035149</v>
      </c>
      <c r="CR1347" s="168">
        <v>-2</v>
      </c>
      <c r="CS1347" s="169">
        <v>1</v>
      </c>
      <c r="CT1347" s="170">
        <v>30</v>
      </c>
      <c r="CV1347" s="165">
        <v>17</v>
      </c>
      <c r="CW1347" s="167">
        <v>44.014084507042256</v>
      </c>
      <c r="CX1347" s="168">
        <v>-0.2</v>
      </c>
      <c r="CY1347" s="169">
        <v>4.5999999999999996</v>
      </c>
      <c r="CZ1347" s="170">
        <v>48</v>
      </c>
      <c r="DB1347" s="165">
        <v>25</v>
      </c>
      <c r="DC1347" s="167">
        <v>2.5609756097560976</v>
      </c>
      <c r="DD1347" s="168">
        <v>-2</v>
      </c>
      <c r="DE1347" s="169">
        <v>1</v>
      </c>
      <c r="DF1347" s="170">
        <v>30</v>
      </c>
    </row>
    <row r="1348" spans="28:110" ht="13.15" hidden="1" thickBot="1" x14ac:dyDescent="0.25">
      <c r="AB1348" s="172">
        <v>0</v>
      </c>
      <c r="AC1348" s="173">
        <v>55.545774647887328</v>
      </c>
      <c r="AD1348" s="174">
        <v>0.1</v>
      </c>
      <c r="AE1348" s="175">
        <v>5.2</v>
      </c>
      <c r="AF1348" s="176">
        <v>51</v>
      </c>
      <c r="AM1348" s="20">
        <f t="shared" si="41"/>
        <v>-3</v>
      </c>
      <c r="AN1348" s="165">
        <v>-1.5</v>
      </c>
      <c r="AO1348" s="167">
        <v>95.950704225352112</v>
      </c>
      <c r="AP1348" s="168">
        <v>1.7</v>
      </c>
      <c r="AQ1348" s="169">
        <v>8.4</v>
      </c>
      <c r="AR1348" s="170">
        <v>67</v>
      </c>
      <c r="BL1348" s="165">
        <v>22</v>
      </c>
      <c r="BM1348" s="167">
        <v>1.2367491166077738</v>
      </c>
      <c r="BN1348" s="168">
        <v>-2.2000000000000002</v>
      </c>
      <c r="BO1348" s="169">
        <v>0.6</v>
      </c>
      <c r="BP1348" s="170">
        <v>28</v>
      </c>
      <c r="BX1348" s="165">
        <v>449</v>
      </c>
      <c r="BY1348" s="167">
        <v>1.3204225352112675</v>
      </c>
      <c r="BZ1348" s="168">
        <v>-2.2000000000000002</v>
      </c>
      <c r="CA1348" s="169">
        <v>0.6</v>
      </c>
      <c r="CB1348" s="170">
        <v>28</v>
      </c>
      <c r="CP1348" s="165">
        <v>263</v>
      </c>
      <c r="CQ1348" s="167">
        <v>2.4604569420035149</v>
      </c>
      <c r="CR1348" s="168">
        <v>-2</v>
      </c>
      <c r="CS1348" s="169">
        <v>1</v>
      </c>
      <c r="CT1348" s="170">
        <v>30</v>
      </c>
      <c r="CV1348" s="165">
        <v>16</v>
      </c>
      <c r="CW1348" s="167">
        <v>49.471830985915496</v>
      </c>
      <c r="CX1348" s="168">
        <v>0</v>
      </c>
      <c r="CY1348" s="169">
        <v>5</v>
      </c>
      <c r="CZ1348" s="170">
        <v>50</v>
      </c>
      <c r="DB1348" s="165">
        <v>26</v>
      </c>
      <c r="DC1348" s="167">
        <v>2.8048780487804881</v>
      </c>
      <c r="DD1348" s="168">
        <v>-1.9</v>
      </c>
      <c r="DE1348" s="169">
        <v>1.2</v>
      </c>
      <c r="DF1348" s="170">
        <v>31</v>
      </c>
    </row>
    <row r="1349" spans="28:110" ht="13.15" hidden="1" thickBot="1" x14ac:dyDescent="0.25">
      <c r="AM1349" s="20">
        <f t="shared" si="41"/>
        <v>-4</v>
      </c>
      <c r="AN1349" s="165">
        <v>-2</v>
      </c>
      <c r="AO1349" s="167">
        <v>97.799295774647888</v>
      </c>
      <c r="AP1349" s="168">
        <v>2</v>
      </c>
      <c r="AQ1349" s="169">
        <v>9</v>
      </c>
      <c r="AR1349" s="170">
        <v>70</v>
      </c>
      <c r="BL1349" s="165">
        <v>21</v>
      </c>
      <c r="BM1349" s="167">
        <v>1.5017667844522968</v>
      </c>
      <c r="BN1349" s="168">
        <v>-2.2000000000000002</v>
      </c>
      <c r="BO1349" s="169">
        <v>0.6</v>
      </c>
      <c r="BP1349" s="170">
        <v>28</v>
      </c>
      <c r="BX1349" s="165">
        <v>448</v>
      </c>
      <c r="BY1349" s="167">
        <v>1.3204225352112675</v>
      </c>
      <c r="BZ1349" s="168">
        <v>-2.2000000000000002</v>
      </c>
      <c r="CA1349" s="169">
        <v>0.6</v>
      </c>
      <c r="CB1349" s="170">
        <v>28</v>
      </c>
      <c r="CP1349" s="165">
        <v>262</v>
      </c>
      <c r="CQ1349" s="167">
        <v>2.4604569420035149</v>
      </c>
      <c r="CR1349" s="168">
        <v>-2</v>
      </c>
      <c r="CS1349" s="169">
        <v>1</v>
      </c>
      <c r="CT1349" s="170">
        <v>30</v>
      </c>
      <c r="CV1349" s="165">
        <v>15</v>
      </c>
      <c r="CW1349" s="167">
        <v>55.545774647887328</v>
      </c>
      <c r="CX1349" s="168">
        <v>0.1</v>
      </c>
      <c r="CY1349" s="169">
        <v>5.2</v>
      </c>
      <c r="CZ1349" s="170">
        <v>51</v>
      </c>
      <c r="DB1349" s="165">
        <v>27</v>
      </c>
      <c r="DC1349" s="167">
        <v>2.8048780487804881</v>
      </c>
      <c r="DD1349" s="168">
        <v>-1.9</v>
      </c>
      <c r="DE1349" s="169">
        <v>1.2</v>
      </c>
      <c r="DF1349" s="170">
        <v>31</v>
      </c>
    </row>
    <row r="1350" spans="28:110" ht="13.8" hidden="1" thickBot="1" x14ac:dyDescent="0.3">
      <c r="AM1350" s="20">
        <f t="shared" si="41"/>
        <v>-5</v>
      </c>
      <c r="AN1350" s="165">
        <v>-2.5</v>
      </c>
      <c r="AO1350" s="167">
        <v>99.119718309859152</v>
      </c>
      <c r="AP1350" s="168">
        <v>2.4</v>
      </c>
      <c r="AQ1350" s="169">
        <v>9.8000000000000007</v>
      </c>
      <c r="AR1350" s="170">
        <v>74</v>
      </c>
      <c r="AT1350" s="138" t="s">
        <v>203</v>
      </c>
      <c r="AU1350" s="139"/>
      <c r="AV1350" s="139"/>
      <c r="AW1350" s="140"/>
      <c r="AX1350" s="141" t="s">
        <v>167</v>
      </c>
      <c r="BL1350" s="165">
        <v>20</v>
      </c>
      <c r="BM1350" s="167">
        <v>2.1201413427561837</v>
      </c>
      <c r="BN1350" s="168">
        <v>-2</v>
      </c>
      <c r="BO1350" s="169">
        <v>1</v>
      </c>
      <c r="BP1350" s="170">
        <v>30</v>
      </c>
      <c r="BX1350" s="165">
        <v>447</v>
      </c>
      <c r="BY1350" s="167">
        <v>1.3204225352112675</v>
      </c>
      <c r="BZ1350" s="168">
        <v>-2.2000000000000002</v>
      </c>
      <c r="CA1350" s="169">
        <v>0.6</v>
      </c>
      <c r="CB1350" s="170">
        <v>28</v>
      </c>
      <c r="CP1350" s="165">
        <v>261</v>
      </c>
      <c r="CQ1350" s="167">
        <v>2.4604569420035149</v>
      </c>
      <c r="CR1350" s="168">
        <v>-2</v>
      </c>
      <c r="CS1350" s="169">
        <v>1</v>
      </c>
      <c r="CT1350" s="170">
        <v>30</v>
      </c>
      <c r="CV1350" s="165">
        <v>14</v>
      </c>
      <c r="CW1350" s="167">
        <v>61.355633802816897</v>
      </c>
      <c r="CX1350" s="168">
        <v>0.3</v>
      </c>
      <c r="CY1350" s="169">
        <v>5.6</v>
      </c>
      <c r="CZ1350" s="170">
        <v>53</v>
      </c>
      <c r="DB1350" s="165">
        <v>28</v>
      </c>
      <c r="DC1350" s="167">
        <v>3.1707317073170733</v>
      </c>
      <c r="DD1350" s="168">
        <v>-1.9</v>
      </c>
      <c r="DE1350" s="169">
        <v>1.2</v>
      </c>
      <c r="DF1350" s="170">
        <v>31</v>
      </c>
    </row>
    <row r="1351" spans="28:110" ht="13.15" hidden="1" x14ac:dyDescent="0.25">
      <c r="AB1351" s="138" t="s">
        <v>159</v>
      </c>
      <c r="AC1351" s="139"/>
      <c r="AD1351" s="139"/>
      <c r="AE1351" s="140"/>
      <c r="AF1351" s="141" t="s">
        <v>160</v>
      </c>
      <c r="AM1351" s="20">
        <f t="shared" si="41"/>
        <v>-6</v>
      </c>
      <c r="AN1351" s="165">
        <v>-3</v>
      </c>
      <c r="AO1351" s="167">
        <v>99.559859154929569</v>
      </c>
      <c r="AP1351" s="168">
        <v>2.6</v>
      </c>
      <c r="AQ1351" s="169">
        <v>10.199999999999999</v>
      </c>
      <c r="AR1351" s="170">
        <v>76</v>
      </c>
      <c r="AT1351" s="144" t="s">
        <v>161</v>
      </c>
      <c r="AV1351" s="20" t="s">
        <v>162</v>
      </c>
      <c r="AX1351" s="145"/>
      <c r="BL1351" s="165">
        <v>19</v>
      </c>
      <c r="BM1351" s="167">
        <v>2.8268551236749118</v>
      </c>
      <c r="BN1351" s="168">
        <v>-1.9</v>
      </c>
      <c r="BO1351" s="169">
        <v>1.2</v>
      </c>
      <c r="BP1351" s="170">
        <v>31</v>
      </c>
      <c r="BX1351" s="165">
        <v>446</v>
      </c>
      <c r="BY1351" s="167">
        <v>1.3204225352112675</v>
      </c>
      <c r="BZ1351" s="168">
        <v>-2.2000000000000002</v>
      </c>
      <c r="CA1351" s="169">
        <v>0.6</v>
      </c>
      <c r="CB1351" s="170">
        <v>28</v>
      </c>
      <c r="CP1351" s="165">
        <v>260</v>
      </c>
      <c r="CQ1351" s="167">
        <v>2.4604569420035149</v>
      </c>
      <c r="CR1351" s="168">
        <v>-2</v>
      </c>
      <c r="CS1351" s="169">
        <v>1</v>
      </c>
      <c r="CT1351" s="170">
        <v>30</v>
      </c>
      <c r="CV1351" s="165">
        <v>13</v>
      </c>
      <c r="CW1351" s="167">
        <v>68.133802816901408</v>
      </c>
      <c r="CX1351" s="168">
        <v>0.5</v>
      </c>
      <c r="CY1351" s="169">
        <v>6</v>
      </c>
      <c r="CZ1351" s="170">
        <v>55</v>
      </c>
      <c r="DB1351" s="165">
        <v>29</v>
      </c>
      <c r="DC1351" s="167">
        <v>3.7804878048780486</v>
      </c>
      <c r="DD1351" s="168">
        <v>-1.8</v>
      </c>
      <c r="DE1351" s="169">
        <v>1.4</v>
      </c>
      <c r="DF1351" s="170">
        <v>32</v>
      </c>
    </row>
    <row r="1352" spans="28:110" ht="13.15" hidden="1" thickBot="1" x14ac:dyDescent="0.25">
      <c r="AB1352" s="144" t="s">
        <v>161</v>
      </c>
      <c r="AD1352" s="20" t="s">
        <v>162</v>
      </c>
      <c r="AF1352" s="145"/>
      <c r="AM1352" s="20">
        <f t="shared" si="41"/>
        <v>-7</v>
      </c>
      <c r="AN1352" s="165">
        <v>-3.5</v>
      </c>
      <c r="AO1352" s="167">
        <v>99.911971830985919</v>
      </c>
      <c r="AP1352" s="168">
        <v>3</v>
      </c>
      <c r="AQ1352" s="169">
        <v>11</v>
      </c>
      <c r="AR1352" s="170">
        <v>80</v>
      </c>
      <c r="AT1352" s="147" t="s">
        <v>212</v>
      </c>
      <c r="AU1352" s="148"/>
      <c r="AV1352" s="148"/>
      <c r="AW1352" s="148"/>
      <c r="AX1352" s="149"/>
      <c r="BL1352" s="165">
        <v>18</v>
      </c>
      <c r="BM1352" s="167">
        <v>3.5335689045936398</v>
      </c>
      <c r="BN1352" s="168">
        <v>-1.8</v>
      </c>
      <c r="BO1352" s="169">
        <v>1.4</v>
      </c>
      <c r="BP1352" s="170">
        <v>32</v>
      </c>
      <c r="BX1352" s="165">
        <v>445</v>
      </c>
      <c r="BY1352" s="167">
        <v>1.3204225352112675</v>
      </c>
      <c r="BZ1352" s="168">
        <v>-2.2000000000000002</v>
      </c>
      <c r="CA1352" s="169">
        <v>0.6</v>
      </c>
      <c r="CB1352" s="170">
        <v>28</v>
      </c>
      <c r="CP1352" s="165">
        <v>259</v>
      </c>
      <c r="CQ1352" s="167">
        <v>2.7240773286467488</v>
      </c>
      <c r="CR1352" s="168">
        <v>-1.9</v>
      </c>
      <c r="CS1352" s="169">
        <v>1.2</v>
      </c>
      <c r="CT1352" s="170">
        <v>31</v>
      </c>
      <c r="CV1352" s="165">
        <v>12</v>
      </c>
      <c r="CW1352" s="167">
        <v>74.559859154929569</v>
      </c>
      <c r="CX1352" s="168">
        <v>0.7</v>
      </c>
      <c r="CY1352" s="169">
        <v>6.4</v>
      </c>
      <c r="CZ1352" s="170">
        <v>57</v>
      </c>
      <c r="DB1352" s="165">
        <v>30</v>
      </c>
      <c r="DC1352" s="167">
        <v>4.2682926829268295</v>
      </c>
      <c r="DD1352" s="168">
        <v>-1.7</v>
      </c>
      <c r="DE1352" s="169">
        <v>1.6</v>
      </c>
      <c r="DF1352" s="170">
        <v>33</v>
      </c>
    </row>
    <row r="1353" spans="28:110" ht="13.15" hidden="1" thickBot="1" x14ac:dyDescent="0.25">
      <c r="AB1353" s="147"/>
      <c r="AC1353" s="148"/>
      <c r="AD1353" s="179" t="s">
        <v>170</v>
      </c>
      <c r="AE1353" s="148"/>
      <c r="AF1353" s="149"/>
      <c r="AM1353" s="20">
        <f t="shared" si="41"/>
        <v>-8</v>
      </c>
      <c r="AN1353" s="165">
        <v>-4</v>
      </c>
      <c r="AO1353" s="167">
        <v>99.911971830985919</v>
      </c>
      <c r="AP1353" s="168">
        <v>3</v>
      </c>
      <c r="AQ1353" s="169">
        <v>11</v>
      </c>
      <c r="AR1353" s="170">
        <v>80</v>
      </c>
      <c r="AT1353" s="150" t="s">
        <v>164</v>
      </c>
      <c r="AU1353" s="151" t="s">
        <v>45</v>
      </c>
      <c r="AV1353" s="152"/>
      <c r="AW1353" s="152"/>
      <c r="AX1353" s="153"/>
      <c r="BL1353" s="165">
        <v>17</v>
      </c>
      <c r="BM1353" s="167">
        <v>4.5053003533568905</v>
      </c>
      <c r="BN1353" s="168">
        <v>-1.7</v>
      </c>
      <c r="BO1353" s="169">
        <v>1.6</v>
      </c>
      <c r="BP1353" s="170">
        <v>33</v>
      </c>
      <c r="BX1353" s="165">
        <v>444</v>
      </c>
      <c r="BY1353" s="167">
        <v>1.3204225352112675</v>
      </c>
      <c r="BZ1353" s="168">
        <v>-2.2000000000000002</v>
      </c>
      <c r="CA1353" s="169">
        <v>0.6</v>
      </c>
      <c r="CB1353" s="170">
        <v>28</v>
      </c>
      <c r="CP1353" s="165">
        <v>258</v>
      </c>
      <c r="CQ1353" s="167">
        <v>2.7240773286467488</v>
      </c>
      <c r="CR1353" s="168">
        <v>-1.9</v>
      </c>
      <c r="CS1353" s="169">
        <v>1.2</v>
      </c>
      <c r="CT1353" s="170">
        <v>31</v>
      </c>
      <c r="CV1353" s="165">
        <v>11</v>
      </c>
      <c r="CW1353" s="167">
        <v>78.961267605633793</v>
      </c>
      <c r="CX1353" s="168">
        <v>0.8</v>
      </c>
      <c r="CY1353" s="169">
        <v>6.6</v>
      </c>
      <c r="CZ1353" s="170">
        <v>58</v>
      </c>
      <c r="DB1353" s="165">
        <v>31</v>
      </c>
      <c r="DC1353" s="167">
        <v>4.7560975609756095</v>
      </c>
      <c r="DD1353" s="168">
        <v>-1.7</v>
      </c>
      <c r="DE1353" s="169">
        <v>1.6</v>
      </c>
      <c r="DF1353" s="170">
        <v>33</v>
      </c>
    </row>
    <row r="1354" spans="28:110" ht="13.15" hidden="1" thickBot="1" x14ac:dyDescent="0.25">
      <c r="AB1354" s="150" t="s">
        <v>164</v>
      </c>
      <c r="AC1354" s="151" t="s">
        <v>36</v>
      </c>
      <c r="AD1354" s="152"/>
      <c r="AE1354" s="152"/>
      <c r="AF1354" s="153"/>
      <c r="AM1354" s="20">
        <f t="shared" si="41"/>
        <v>-9</v>
      </c>
      <c r="AN1354" s="165">
        <v>-4.5</v>
      </c>
      <c r="AO1354" s="167">
        <v>99.911971830985919</v>
      </c>
      <c r="AP1354" s="168">
        <v>3</v>
      </c>
      <c r="AQ1354" s="169">
        <v>11</v>
      </c>
      <c r="AR1354" s="170">
        <v>80</v>
      </c>
      <c r="AT1354" s="155" t="s">
        <v>10</v>
      </c>
      <c r="AU1354" s="156" t="s">
        <v>13</v>
      </c>
      <c r="AV1354" s="156" t="s">
        <v>14</v>
      </c>
      <c r="AW1354" s="158" t="s">
        <v>15</v>
      </c>
      <c r="AX1354" s="159" t="s">
        <v>16</v>
      </c>
      <c r="BL1354" s="165">
        <v>16</v>
      </c>
      <c r="BM1354" s="167">
        <v>5.830388692579505</v>
      </c>
      <c r="BN1354" s="168">
        <v>-1.6</v>
      </c>
      <c r="BO1354" s="169">
        <v>1.8</v>
      </c>
      <c r="BP1354" s="170">
        <v>34</v>
      </c>
      <c r="BX1354" s="165">
        <v>443</v>
      </c>
      <c r="BY1354" s="167">
        <v>1.3204225352112675</v>
      </c>
      <c r="BZ1354" s="168">
        <v>-2.2000000000000002</v>
      </c>
      <c r="CA1354" s="169">
        <v>0.6</v>
      </c>
      <c r="CB1354" s="170">
        <v>28</v>
      </c>
      <c r="CP1354" s="165">
        <v>257</v>
      </c>
      <c r="CQ1354" s="167">
        <v>2.7240773286467488</v>
      </c>
      <c r="CR1354" s="168">
        <v>-1.9</v>
      </c>
      <c r="CS1354" s="169">
        <v>1.2</v>
      </c>
      <c r="CT1354" s="170">
        <v>31</v>
      </c>
      <c r="CV1354" s="165">
        <v>10</v>
      </c>
      <c r="CW1354" s="167">
        <v>83.362676056338032</v>
      </c>
      <c r="CX1354" s="168">
        <v>1</v>
      </c>
      <c r="CY1354" s="169">
        <v>7</v>
      </c>
      <c r="CZ1354" s="170">
        <v>60</v>
      </c>
      <c r="DB1354" s="165">
        <v>32</v>
      </c>
      <c r="DC1354" s="167">
        <v>5.2439024390243905</v>
      </c>
      <c r="DD1354" s="168">
        <v>-1.6</v>
      </c>
      <c r="DE1354" s="169">
        <v>1.8</v>
      </c>
      <c r="DF1354" s="170">
        <v>34</v>
      </c>
    </row>
    <row r="1355" spans="28:110" ht="13.15" hidden="1" thickBot="1" x14ac:dyDescent="0.25">
      <c r="AB1355" s="155" t="s">
        <v>10</v>
      </c>
      <c r="AC1355" s="156" t="s">
        <v>13</v>
      </c>
      <c r="AD1355" s="156" t="s">
        <v>14</v>
      </c>
      <c r="AE1355" s="156" t="s">
        <v>15</v>
      </c>
      <c r="AF1355" s="159" t="s">
        <v>16</v>
      </c>
      <c r="AM1355" s="20">
        <f t="shared" si="41"/>
        <v>-10</v>
      </c>
      <c r="AN1355" s="172">
        <v>-5</v>
      </c>
      <c r="AO1355" s="173">
        <v>99.911971830985919</v>
      </c>
      <c r="AP1355" s="174">
        <v>3</v>
      </c>
      <c r="AQ1355" s="175">
        <v>11</v>
      </c>
      <c r="AR1355" s="176">
        <v>80</v>
      </c>
      <c r="AT1355" s="160">
        <v>53</v>
      </c>
      <c r="AU1355" s="161">
        <v>0.17605633802816903</v>
      </c>
      <c r="AV1355" s="162">
        <v>-2.9</v>
      </c>
      <c r="AW1355" s="163">
        <v>-0.8</v>
      </c>
      <c r="AX1355" s="164">
        <v>21</v>
      </c>
      <c r="BL1355" s="165">
        <v>15</v>
      </c>
      <c r="BM1355" s="167">
        <v>7.3321554770318018</v>
      </c>
      <c r="BN1355" s="168">
        <v>-1.5</v>
      </c>
      <c r="BO1355" s="169">
        <v>2</v>
      </c>
      <c r="BP1355" s="170">
        <v>35</v>
      </c>
      <c r="BX1355" s="165">
        <v>442</v>
      </c>
      <c r="BY1355" s="167">
        <v>1.3204225352112675</v>
      </c>
      <c r="BZ1355" s="168">
        <v>-2.2000000000000002</v>
      </c>
      <c r="CA1355" s="169">
        <v>0.6</v>
      </c>
      <c r="CB1355" s="170">
        <v>28</v>
      </c>
      <c r="CP1355" s="165">
        <v>256</v>
      </c>
      <c r="CQ1355" s="167">
        <v>2.7240773286467488</v>
      </c>
      <c r="CR1355" s="168">
        <v>-1.9</v>
      </c>
      <c r="CS1355" s="169">
        <v>1.2</v>
      </c>
      <c r="CT1355" s="170">
        <v>31</v>
      </c>
      <c r="CV1355" s="165">
        <v>9</v>
      </c>
      <c r="CW1355" s="167">
        <v>87.147887323943664</v>
      </c>
      <c r="CX1355" s="168">
        <v>1.1000000000000001</v>
      </c>
      <c r="CY1355" s="169">
        <v>7.2</v>
      </c>
      <c r="CZ1355" s="170">
        <v>61</v>
      </c>
      <c r="DB1355" s="165">
        <v>33</v>
      </c>
      <c r="DC1355" s="167">
        <v>5.6097560975609762</v>
      </c>
      <c r="DD1355" s="168">
        <v>-1.6</v>
      </c>
      <c r="DE1355" s="169">
        <v>1.8</v>
      </c>
      <c r="DF1355" s="170">
        <v>34</v>
      </c>
    </row>
    <row r="1356" spans="28:110" hidden="1" x14ac:dyDescent="0.2">
      <c r="AB1356" s="160">
        <v>3</v>
      </c>
      <c r="AC1356" s="161">
        <v>8.7873462214411238E-2</v>
      </c>
      <c r="AD1356" s="162">
        <v>-3</v>
      </c>
      <c r="AE1356" s="163">
        <v>-1</v>
      </c>
      <c r="AF1356" s="164">
        <v>20</v>
      </c>
      <c r="AT1356" s="165">
        <v>52</v>
      </c>
      <c r="AU1356" s="167">
        <v>0.61619718309859151</v>
      </c>
      <c r="AV1356" s="168">
        <v>-2.5</v>
      </c>
      <c r="AW1356" s="169">
        <v>0</v>
      </c>
      <c r="AX1356" s="170">
        <v>25</v>
      </c>
      <c r="BL1356" s="165">
        <v>14</v>
      </c>
      <c r="BM1356" s="167">
        <v>8.6572438162544181</v>
      </c>
      <c r="BN1356" s="168">
        <v>-1.4</v>
      </c>
      <c r="BO1356" s="169">
        <v>2.2000000000000002</v>
      </c>
      <c r="BP1356" s="170">
        <v>36</v>
      </c>
      <c r="BX1356" s="165">
        <v>441</v>
      </c>
      <c r="BY1356" s="167">
        <v>1.3204225352112675</v>
      </c>
      <c r="BZ1356" s="168">
        <v>-2.2000000000000002</v>
      </c>
      <c r="CA1356" s="169">
        <v>0.6</v>
      </c>
      <c r="CB1356" s="170">
        <v>28</v>
      </c>
      <c r="CP1356" s="165">
        <v>255</v>
      </c>
      <c r="CQ1356" s="167">
        <v>2.7240773286467488</v>
      </c>
      <c r="CR1356" s="168">
        <v>-1.9</v>
      </c>
      <c r="CS1356" s="169">
        <v>1.2</v>
      </c>
      <c r="CT1356" s="170">
        <v>31</v>
      </c>
      <c r="CV1356" s="165">
        <v>8</v>
      </c>
      <c r="CW1356" s="167">
        <v>90.66901408450704</v>
      </c>
      <c r="CX1356" s="168">
        <v>1.3</v>
      </c>
      <c r="CY1356" s="169">
        <v>7.6</v>
      </c>
      <c r="CZ1356" s="170">
        <v>63</v>
      </c>
      <c r="DB1356" s="165">
        <v>34</v>
      </c>
      <c r="DC1356" s="167">
        <v>5.975609756097561</v>
      </c>
      <c r="DD1356" s="168">
        <v>-1.6</v>
      </c>
      <c r="DE1356" s="169">
        <v>1.8</v>
      </c>
      <c r="DF1356" s="170">
        <v>34</v>
      </c>
    </row>
    <row r="1357" spans="28:110" ht="13.15" hidden="1" thickBot="1" x14ac:dyDescent="0.25">
      <c r="AB1357" s="165">
        <v>2</v>
      </c>
      <c r="AC1357" s="167">
        <v>0.61511423550087874</v>
      </c>
      <c r="AD1357" s="168">
        <v>-2.5</v>
      </c>
      <c r="AE1357" s="169">
        <v>0</v>
      </c>
      <c r="AF1357" s="170">
        <v>25</v>
      </c>
      <c r="AT1357" s="165">
        <v>51</v>
      </c>
      <c r="AU1357" s="167">
        <v>0.61619718309859151</v>
      </c>
      <c r="AV1357" s="168">
        <v>-2.5</v>
      </c>
      <c r="AW1357" s="169">
        <v>0</v>
      </c>
      <c r="AX1357" s="170">
        <v>25</v>
      </c>
      <c r="BL1357" s="165">
        <v>13</v>
      </c>
      <c r="BM1357" s="167">
        <v>10.159010600706713</v>
      </c>
      <c r="BN1357" s="168">
        <v>-1.3</v>
      </c>
      <c r="BO1357" s="169">
        <v>2.4</v>
      </c>
      <c r="BP1357" s="170">
        <v>37</v>
      </c>
      <c r="BX1357" s="165">
        <v>440</v>
      </c>
      <c r="BY1357" s="167">
        <v>1.3204225352112675</v>
      </c>
      <c r="BZ1357" s="168">
        <v>-2.2000000000000002</v>
      </c>
      <c r="CA1357" s="169">
        <v>0.6</v>
      </c>
      <c r="CB1357" s="170">
        <v>28</v>
      </c>
      <c r="CP1357" s="165">
        <v>254</v>
      </c>
      <c r="CQ1357" s="167">
        <v>2.7240773286467488</v>
      </c>
      <c r="CR1357" s="168">
        <v>-1.9</v>
      </c>
      <c r="CS1357" s="169">
        <v>1.2</v>
      </c>
      <c r="CT1357" s="170">
        <v>31</v>
      </c>
      <c r="CV1357" s="165">
        <v>7</v>
      </c>
      <c r="CW1357" s="167">
        <v>94.366197183098592</v>
      </c>
      <c r="CX1357" s="168">
        <v>1.6</v>
      </c>
      <c r="CY1357" s="169">
        <v>8.1999999999999993</v>
      </c>
      <c r="CZ1357" s="170">
        <v>66</v>
      </c>
      <c r="DB1357" s="165">
        <v>35</v>
      </c>
      <c r="DC1357" s="167">
        <v>6.2195121951219514</v>
      </c>
      <c r="DD1357" s="168">
        <v>-1.5</v>
      </c>
      <c r="DE1357" s="169">
        <v>2</v>
      </c>
      <c r="DF1357" s="170">
        <v>35</v>
      </c>
    </row>
    <row r="1358" spans="28:110" ht="13.15" hidden="1" x14ac:dyDescent="0.25">
      <c r="AB1358" s="165">
        <v>1</v>
      </c>
      <c r="AC1358" s="167">
        <v>3.3391915641476277</v>
      </c>
      <c r="AD1358" s="168">
        <v>-1.8</v>
      </c>
      <c r="AE1358" s="169">
        <v>1.4</v>
      </c>
      <c r="AF1358" s="170">
        <v>32</v>
      </c>
      <c r="AN1358" s="138" t="s">
        <v>186</v>
      </c>
      <c r="AO1358" s="139"/>
      <c r="AP1358" s="139"/>
      <c r="AQ1358" s="140" t="s">
        <v>180</v>
      </c>
      <c r="AR1358" s="141">
        <v>568</v>
      </c>
      <c r="AT1358" s="165">
        <v>50</v>
      </c>
      <c r="AU1358" s="167">
        <v>0.61619718309859151</v>
      </c>
      <c r="AV1358" s="168">
        <v>-2.5</v>
      </c>
      <c r="AW1358" s="169">
        <v>0</v>
      </c>
      <c r="AX1358" s="170">
        <v>25</v>
      </c>
      <c r="BL1358" s="165">
        <v>12</v>
      </c>
      <c r="BM1358" s="167">
        <v>11.925795053003533</v>
      </c>
      <c r="BN1358" s="168">
        <v>-1.2</v>
      </c>
      <c r="BO1358" s="169">
        <v>2.6</v>
      </c>
      <c r="BP1358" s="170">
        <v>38</v>
      </c>
      <c r="BX1358" s="165">
        <v>439</v>
      </c>
      <c r="BY1358" s="167">
        <v>1.4964788732394365</v>
      </c>
      <c r="BZ1358" s="168">
        <v>-2.2000000000000002</v>
      </c>
      <c r="CA1358" s="169">
        <v>0.6</v>
      </c>
      <c r="CB1358" s="170">
        <v>28</v>
      </c>
      <c r="CP1358" s="165">
        <v>253</v>
      </c>
      <c r="CQ1358" s="167">
        <v>2.7240773286467488</v>
      </c>
      <c r="CR1358" s="168">
        <v>-1.9</v>
      </c>
      <c r="CS1358" s="169">
        <v>1.2</v>
      </c>
      <c r="CT1358" s="170">
        <v>31</v>
      </c>
      <c r="CV1358" s="165">
        <v>6</v>
      </c>
      <c r="CW1358" s="167">
        <v>96.390845070422543</v>
      </c>
      <c r="CX1358" s="168">
        <v>1.8</v>
      </c>
      <c r="CY1358" s="169">
        <v>8.6</v>
      </c>
      <c r="CZ1358" s="170">
        <v>68</v>
      </c>
      <c r="DB1358" s="165">
        <v>36</v>
      </c>
      <c r="DC1358" s="167">
        <v>7.3170731707317067</v>
      </c>
      <c r="DD1358" s="168">
        <v>-1.5</v>
      </c>
      <c r="DE1358" s="169">
        <v>2</v>
      </c>
      <c r="DF1358" s="170">
        <v>35</v>
      </c>
    </row>
    <row r="1359" spans="28:110" ht="13.15" hidden="1" thickBot="1" x14ac:dyDescent="0.25">
      <c r="AB1359" s="172">
        <v>0</v>
      </c>
      <c r="AC1359" s="173">
        <v>52.811950790861161</v>
      </c>
      <c r="AD1359" s="174">
        <v>0.1</v>
      </c>
      <c r="AE1359" s="175">
        <v>5.2</v>
      </c>
      <c r="AF1359" s="176">
        <v>51</v>
      </c>
      <c r="AN1359" s="144" t="s">
        <v>161</v>
      </c>
      <c r="AP1359" s="20" t="s">
        <v>162</v>
      </c>
      <c r="AR1359" s="145"/>
      <c r="AT1359" s="165">
        <v>49</v>
      </c>
      <c r="AU1359" s="167">
        <v>0.61619718309859151</v>
      </c>
      <c r="AV1359" s="168">
        <v>-2.5</v>
      </c>
      <c r="AW1359" s="169">
        <v>0</v>
      </c>
      <c r="AX1359" s="170">
        <v>25</v>
      </c>
      <c r="BL1359" s="165">
        <v>11</v>
      </c>
      <c r="BM1359" s="167">
        <v>14.664310954063604</v>
      </c>
      <c r="BN1359" s="168">
        <v>-1.1000000000000001</v>
      </c>
      <c r="BO1359" s="169">
        <v>2.8</v>
      </c>
      <c r="BP1359" s="170">
        <v>39</v>
      </c>
      <c r="BX1359" s="165">
        <v>438</v>
      </c>
      <c r="BY1359" s="167">
        <v>1.4964788732394365</v>
      </c>
      <c r="BZ1359" s="168">
        <v>-2.2000000000000002</v>
      </c>
      <c r="CA1359" s="169">
        <v>0.6</v>
      </c>
      <c r="CB1359" s="170">
        <v>28</v>
      </c>
      <c r="CP1359" s="165">
        <v>252</v>
      </c>
      <c r="CQ1359" s="167">
        <v>2.7240773286467488</v>
      </c>
      <c r="CR1359" s="168">
        <v>-1.9</v>
      </c>
      <c r="CS1359" s="169">
        <v>1.2</v>
      </c>
      <c r="CT1359" s="170">
        <v>31</v>
      </c>
      <c r="CV1359" s="165">
        <v>5</v>
      </c>
      <c r="CW1359" s="167">
        <v>97.535211267605632</v>
      </c>
      <c r="CX1359" s="168">
        <v>2</v>
      </c>
      <c r="CY1359" s="169">
        <v>9</v>
      </c>
      <c r="CZ1359" s="170">
        <v>70</v>
      </c>
      <c r="DB1359" s="165">
        <v>37</v>
      </c>
      <c r="DC1359" s="167">
        <v>8.6585365853658534</v>
      </c>
      <c r="DD1359" s="168">
        <v>-1.4</v>
      </c>
      <c r="DE1359" s="169">
        <v>2.2000000000000002</v>
      </c>
      <c r="DF1359" s="170">
        <v>36</v>
      </c>
    </row>
    <row r="1360" spans="28:110" ht="13.15" hidden="1" thickBot="1" x14ac:dyDescent="0.25">
      <c r="AN1360" s="147" t="s">
        <v>196</v>
      </c>
      <c r="AO1360" s="148"/>
      <c r="AP1360" s="148"/>
      <c r="AQ1360" s="148"/>
      <c r="AR1360" s="149"/>
      <c r="AT1360" s="165">
        <v>48</v>
      </c>
      <c r="AU1360" s="167">
        <v>0.61619718309859151</v>
      </c>
      <c r="AV1360" s="168">
        <v>-2.5</v>
      </c>
      <c r="AW1360" s="169">
        <v>0</v>
      </c>
      <c r="AX1360" s="170">
        <v>25</v>
      </c>
      <c r="BL1360" s="165">
        <v>10</v>
      </c>
      <c r="BM1360" s="167">
        <v>18.197879858657242</v>
      </c>
      <c r="BN1360" s="168">
        <v>-0.9</v>
      </c>
      <c r="BO1360" s="169">
        <v>3.2</v>
      </c>
      <c r="BP1360" s="170">
        <v>41</v>
      </c>
      <c r="BX1360" s="165">
        <v>437</v>
      </c>
      <c r="BY1360" s="167">
        <v>1.4964788732394365</v>
      </c>
      <c r="BZ1360" s="168">
        <v>-2.2000000000000002</v>
      </c>
      <c r="CA1360" s="169">
        <v>0.6</v>
      </c>
      <c r="CB1360" s="170">
        <v>28</v>
      </c>
      <c r="CP1360" s="165">
        <v>251</v>
      </c>
      <c r="CQ1360" s="167">
        <v>2.7240773286467488</v>
      </c>
      <c r="CR1360" s="168">
        <v>-1.9</v>
      </c>
      <c r="CS1360" s="169">
        <v>1.2</v>
      </c>
      <c r="CT1360" s="170">
        <v>31</v>
      </c>
      <c r="CV1360" s="165">
        <v>4</v>
      </c>
      <c r="CW1360" s="167">
        <v>98.327464788732399</v>
      </c>
      <c r="CX1360" s="168">
        <v>2.1</v>
      </c>
      <c r="CY1360" s="169">
        <v>9.1999999999999993</v>
      </c>
      <c r="CZ1360" s="170">
        <v>71</v>
      </c>
      <c r="DB1360" s="165">
        <v>38</v>
      </c>
      <c r="DC1360" s="167">
        <v>9.6341463414634152</v>
      </c>
      <c r="DD1360" s="168">
        <v>-1.3</v>
      </c>
      <c r="DE1360" s="169">
        <v>2.4</v>
      </c>
      <c r="DF1360" s="170">
        <v>37</v>
      </c>
    </row>
    <row r="1361" spans="28:110" ht="13.15" hidden="1" thickBot="1" x14ac:dyDescent="0.25">
      <c r="AN1361" s="150" t="s">
        <v>164</v>
      </c>
      <c r="AO1361" s="151" t="s">
        <v>41</v>
      </c>
      <c r="AP1361" s="152"/>
      <c r="AQ1361" s="152"/>
      <c r="AR1361" s="153"/>
      <c r="AT1361" s="165">
        <v>47</v>
      </c>
      <c r="AU1361" s="167">
        <v>0.61619718309859151</v>
      </c>
      <c r="AV1361" s="168">
        <v>-2.5</v>
      </c>
      <c r="AW1361" s="169">
        <v>0</v>
      </c>
      <c r="AX1361" s="170">
        <v>25</v>
      </c>
      <c r="BL1361" s="165">
        <v>9</v>
      </c>
      <c r="BM1361" s="167">
        <v>22.261484098939928</v>
      </c>
      <c r="BN1361" s="168">
        <v>-0.8</v>
      </c>
      <c r="BO1361" s="169">
        <v>3.4</v>
      </c>
      <c r="BP1361" s="170">
        <v>42</v>
      </c>
      <c r="BX1361" s="165">
        <v>436</v>
      </c>
      <c r="BY1361" s="167">
        <v>1.4964788732394365</v>
      </c>
      <c r="BZ1361" s="168">
        <v>-2.2000000000000002</v>
      </c>
      <c r="CA1361" s="169">
        <v>0.6</v>
      </c>
      <c r="CB1361" s="170">
        <v>28</v>
      </c>
      <c r="CP1361" s="165">
        <v>250</v>
      </c>
      <c r="CQ1361" s="167">
        <v>2.7240773286467488</v>
      </c>
      <c r="CR1361" s="168">
        <v>-1.9</v>
      </c>
      <c r="CS1361" s="169">
        <v>1.2</v>
      </c>
      <c r="CT1361" s="170">
        <v>31</v>
      </c>
      <c r="CV1361" s="165">
        <v>3</v>
      </c>
      <c r="CW1361" s="167">
        <v>98.767605633802816</v>
      </c>
      <c r="CX1361" s="168">
        <v>2.2000000000000002</v>
      </c>
      <c r="CY1361" s="169">
        <v>9.4</v>
      </c>
      <c r="CZ1361" s="170">
        <v>72</v>
      </c>
      <c r="DB1361" s="165">
        <v>39</v>
      </c>
      <c r="DC1361" s="167">
        <v>10.731707317073171</v>
      </c>
      <c r="DD1361" s="168">
        <v>-1.2</v>
      </c>
      <c r="DE1361" s="169">
        <v>2.6</v>
      </c>
      <c r="DF1361" s="170">
        <v>38</v>
      </c>
    </row>
    <row r="1362" spans="28:110" ht="13.8" hidden="1" thickBot="1" x14ac:dyDescent="0.3">
      <c r="AB1362" s="138" t="s">
        <v>326</v>
      </c>
      <c r="AC1362" s="139"/>
      <c r="AD1362" s="139"/>
      <c r="AE1362" s="140" t="s">
        <v>327</v>
      </c>
      <c r="AF1362" s="141">
        <v>569</v>
      </c>
      <c r="AN1362" s="155" t="s">
        <v>10</v>
      </c>
      <c r="AO1362" s="156" t="s">
        <v>13</v>
      </c>
      <c r="AP1362" s="156" t="s">
        <v>14</v>
      </c>
      <c r="AQ1362" s="158" t="s">
        <v>15</v>
      </c>
      <c r="AR1362" s="159" t="s">
        <v>16</v>
      </c>
      <c r="AT1362" s="165">
        <v>46</v>
      </c>
      <c r="AU1362" s="167">
        <v>0.61619718309859151</v>
      </c>
      <c r="AV1362" s="168">
        <v>-2.5</v>
      </c>
      <c r="AW1362" s="169">
        <v>0</v>
      </c>
      <c r="AX1362" s="170">
        <v>25</v>
      </c>
      <c r="BL1362" s="165">
        <v>8</v>
      </c>
      <c r="BM1362" s="167">
        <v>27.915194346289752</v>
      </c>
      <c r="BN1362" s="168">
        <v>-0.6</v>
      </c>
      <c r="BO1362" s="169">
        <v>3.8</v>
      </c>
      <c r="BP1362" s="170">
        <v>44</v>
      </c>
      <c r="BX1362" s="165">
        <v>435</v>
      </c>
      <c r="BY1362" s="167">
        <v>1.4964788732394365</v>
      </c>
      <c r="BZ1362" s="168">
        <v>-2.2000000000000002</v>
      </c>
      <c r="CA1362" s="169">
        <v>0.6</v>
      </c>
      <c r="CB1362" s="170">
        <v>28</v>
      </c>
      <c r="CP1362" s="165">
        <v>249</v>
      </c>
      <c r="CQ1362" s="167">
        <v>2.9876977152899822</v>
      </c>
      <c r="CR1362" s="168">
        <v>-1.9</v>
      </c>
      <c r="CS1362" s="169">
        <v>1.2</v>
      </c>
      <c r="CT1362" s="170">
        <v>31</v>
      </c>
      <c r="CV1362" s="165">
        <v>2</v>
      </c>
      <c r="CW1362" s="167">
        <v>99.295774647887328</v>
      </c>
      <c r="CX1362" s="168">
        <v>2.5</v>
      </c>
      <c r="CY1362" s="169">
        <v>10</v>
      </c>
      <c r="CZ1362" s="170">
        <v>75</v>
      </c>
      <c r="DB1362" s="165">
        <v>40</v>
      </c>
      <c r="DC1362" s="167">
        <v>11.707317073170733</v>
      </c>
      <c r="DD1362" s="168">
        <v>-1.2</v>
      </c>
      <c r="DE1362" s="169">
        <v>2.6</v>
      </c>
      <c r="DF1362" s="170">
        <v>38</v>
      </c>
    </row>
    <row r="1363" spans="28:110" hidden="1" x14ac:dyDescent="0.2">
      <c r="AB1363" s="144" t="s">
        <v>161</v>
      </c>
      <c r="AD1363" s="20" t="s">
        <v>328</v>
      </c>
      <c r="AF1363" s="145"/>
      <c r="AN1363" s="160">
        <v>38</v>
      </c>
      <c r="AO1363" s="161">
        <v>8.8028169014084515E-2</v>
      </c>
      <c r="AP1363" s="162">
        <v>-3</v>
      </c>
      <c r="AQ1363" s="163">
        <v>-1</v>
      </c>
      <c r="AR1363" s="164">
        <v>20</v>
      </c>
      <c r="AT1363" s="165">
        <v>45</v>
      </c>
      <c r="AU1363" s="167">
        <v>0.61619718309859151</v>
      </c>
      <c r="AV1363" s="168">
        <v>-2.5</v>
      </c>
      <c r="AW1363" s="169">
        <v>0</v>
      </c>
      <c r="AX1363" s="170">
        <v>25</v>
      </c>
      <c r="BL1363" s="165">
        <v>7</v>
      </c>
      <c r="BM1363" s="167">
        <v>34.805653710247348</v>
      </c>
      <c r="BN1363" s="168">
        <v>-0.4</v>
      </c>
      <c r="BO1363" s="169">
        <v>4.2</v>
      </c>
      <c r="BP1363" s="170">
        <v>46</v>
      </c>
      <c r="BX1363" s="165">
        <v>434</v>
      </c>
      <c r="BY1363" s="167">
        <v>1.4964788732394365</v>
      </c>
      <c r="BZ1363" s="168">
        <v>-2.2000000000000002</v>
      </c>
      <c r="CA1363" s="169">
        <v>0.6</v>
      </c>
      <c r="CB1363" s="170">
        <v>28</v>
      </c>
      <c r="CP1363" s="165">
        <v>248</v>
      </c>
      <c r="CQ1363" s="167">
        <v>2.9876977152899822</v>
      </c>
      <c r="CR1363" s="168">
        <v>-1.9</v>
      </c>
      <c r="CS1363" s="169">
        <v>1.2</v>
      </c>
      <c r="CT1363" s="170">
        <v>31</v>
      </c>
      <c r="CV1363" s="165">
        <v>1</v>
      </c>
      <c r="CW1363" s="167">
        <v>99.559859154929569</v>
      </c>
      <c r="CX1363" s="168">
        <v>2.6</v>
      </c>
      <c r="CY1363" s="169">
        <v>10.199999999999999</v>
      </c>
      <c r="CZ1363" s="170">
        <v>76</v>
      </c>
      <c r="DB1363" s="165">
        <v>41</v>
      </c>
      <c r="DC1363" s="167">
        <v>13.292682926829269</v>
      </c>
      <c r="DD1363" s="168">
        <v>-1.1000000000000001</v>
      </c>
      <c r="DE1363" s="169">
        <v>2.8</v>
      </c>
      <c r="DF1363" s="170">
        <v>39</v>
      </c>
    </row>
    <row r="1364" spans="28:110" ht="13.15" hidden="1" thickBot="1" x14ac:dyDescent="0.25">
      <c r="AB1364" s="181" t="s">
        <v>329</v>
      </c>
      <c r="AC1364" s="148"/>
      <c r="AD1364" s="148"/>
      <c r="AE1364" s="148"/>
      <c r="AF1364" s="149"/>
      <c r="AN1364" s="165">
        <v>37</v>
      </c>
      <c r="AO1364" s="167">
        <v>0.2640845070422535</v>
      </c>
      <c r="AP1364" s="168">
        <v>-2.8</v>
      </c>
      <c r="AQ1364" s="169">
        <v>-0.6</v>
      </c>
      <c r="AR1364" s="170">
        <v>22</v>
      </c>
      <c r="AT1364" s="165">
        <v>44</v>
      </c>
      <c r="AU1364" s="167">
        <v>0.96830985915492951</v>
      </c>
      <c r="AV1364" s="168">
        <v>-2.2999999999999998</v>
      </c>
      <c r="AW1364" s="169">
        <v>0.4</v>
      </c>
      <c r="AX1364" s="170">
        <v>27</v>
      </c>
      <c r="BL1364" s="165">
        <v>6</v>
      </c>
      <c r="BM1364" s="167">
        <v>41.254416961130744</v>
      </c>
      <c r="BN1364" s="168">
        <v>-0.2</v>
      </c>
      <c r="BO1364" s="169">
        <v>4.5999999999999996</v>
      </c>
      <c r="BP1364" s="170">
        <v>48</v>
      </c>
      <c r="BX1364" s="165">
        <v>433</v>
      </c>
      <c r="BY1364" s="167">
        <v>1.4964788732394365</v>
      </c>
      <c r="BZ1364" s="168">
        <v>-2.2000000000000002</v>
      </c>
      <c r="CA1364" s="169">
        <v>0.6</v>
      </c>
      <c r="CB1364" s="170">
        <v>28</v>
      </c>
      <c r="CP1364" s="165">
        <v>247</v>
      </c>
      <c r="CQ1364" s="167">
        <v>2.9876977152899822</v>
      </c>
      <c r="CR1364" s="168">
        <v>-1.9</v>
      </c>
      <c r="CS1364" s="169">
        <v>1.2</v>
      </c>
      <c r="CT1364" s="170">
        <v>31</v>
      </c>
      <c r="CV1364" s="165">
        <v>0</v>
      </c>
      <c r="CW1364" s="167">
        <v>99.823943661971825</v>
      </c>
      <c r="CX1364" s="168">
        <v>2.9</v>
      </c>
      <c r="CY1364" s="169">
        <v>10.8</v>
      </c>
      <c r="CZ1364" s="170">
        <v>79</v>
      </c>
      <c r="DB1364" s="165">
        <v>42</v>
      </c>
      <c r="DC1364" s="167">
        <v>14.878048780487804</v>
      </c>
      <c r="DD1364" s="168">
        <v>-1</v>
      </c>
      <c r="DE1364" s="169">
        <v>3</v>
      </c>
      <c r="DF1364" s="170">
        <v>40</v>
      </c>
    </row>
    <row r="1365" spans="28:110" ht="13.15" hidden="1" thickBot="1" x14ac:dyDescent="0.25">
      <c r="AB1365" s="150" t="s">
        <v>164</v>
      </c>
      <c r="AC1365" s="151" t="s">
        <v>330</v>
      </c>
      <c r="AD1365" s="152"/>
      <c r="AE1365" s="152"/>
      <c r="AF1365" s="153"/>
      <c r="AN1365" s="165">
        <v>36</v>
      </c>
      <c r="AO1365" s="167">
        <v>0.528169014084507</v>
      </c>
      <c r="AP1365" s="168">
        <v>-2.6</v>
      </c>
      <c r="AQ1365" s="169">
        <v>-0.2</v>
      </c>
      <c r="AR1365" s="170">
        <v>24</v>
      </c>
      <c r="AT1365" s="165">
        <v>43</v>
      </c>
      <c r="AU1365" s="167">
        <v>0.96830985915492951</v>
      </c>
      <c r="AV1365" s="168">
        <v>-2.2999999999999998</v>
      </c>
      <c r="AW1365" s="169">
        <v>0.4</v>
      </c>
      <c r="AX1365" s="170">
        <v>27</v>
      </c>
      <c r="BL1365" s="165">
        <v>5</v>
      </c>
      <c r="BM1365" s="167">
        <v>49.823321554770317</v>
      </c>
      <c r="BN1365" s="168">
        <v>0</v>
      </c>
      <c r="BO1365" s="169">
        <v>5</v>
      </c>
      <c r="BP1365" s="170">
        <v>50</v>
      </c>
      <c r="BX1365" s="165">
        <v>432</v>
      </c>
      <c r="BY1365" s="167">
        <v>1.4964788732394365</v>
      </c>
      <c r="BZ1365" s="168">
        <v>-2.2000000000000002</v>
      </c>
      <c r="CA1365" s="169">
        <v>0.6</v>
      </c>
      <c r="CB1365" s="170">
        <v>28</v>
      </c>
      <c r="CP1365" s="165">
        <v>246</v>
      </c>
      <c r="CQ1365" s="167">
        <v>2.9876977152899822</v>
      </c>
      <c r="CR1365" s="168">
        <v>-1.9</v>
      </c>
      <c r="CS1365" s="169">
        <v>1.2</v>
      </c>
      <c r="CT1365" s="170">
        <v>31</v>
      </c>
      <c r="CV1365" s="165">
        <v>-1</v>
      </c>
      <c r="CW1365" s="167">
        <v>99.823943661971825</v>
      </c>
      <c r="CX1365" s="168">
        <v>2.9</v>
      </c>
      <c r="CY1365" s="169">
        <v>10.8</v>
      </c>
      <c r="CZ1365" s="170">
        <v>79</v>
      </c>
      <c r="DB1365" s="165">
        <v>43</v>
      </c>
      <c r="DC1365" s="167">
        <v>16.463414634146343</v>
      </c>
      <c r="DD1365" s="168">
        <v>-1</v>
      </c>
      <c r="DE1365" s="169">
        <v>3</v>
      </c>
      <c r="DF1365" s="170">
        <v>40</v>
      </c>
    </row>
    <row r="1366" spans="28:110" ht="13.15" hidden="1" thickBot="1" x14ac:dyDescent="0.25">
      <c r="AB1366" s="155" t="s">
        <v>10</v>
      </c>
      <c r="AC1366" s="156" t="s">
        <v>13</v>
      </c>
      <c r="AD1366" s="156" t="s">
        <v>14</v>
      </c>
      <c r="AE1366" s="156" t="s">
        <v>15</v>
      </c>
      <c r="AF1366" s="159" t="s">
        <v>16</v>
      </c>
      <c r="AN1366" s="165">
        <v>35</v>
      </c>
      <c r="AO1366" s="167">
        <v>0.528169014084507</v>
      </c>
      <c r="AP1366" s="168">
        <v>-2.6</v>
      </c>
      <c r="AQ1366" s="169">
        <v>-0.2</v>
      </c>
      <c r="AR1366" s="170">
        <v>24</v>
      </c>
      <c r="AT1366" s="165">
        <v>42</v>
      </c>
      <c r="AU1366" s="167">
        <v>0.96830985915492951</v>
      </c>
      <c r="AV1366" s="168">
        <v>-2.2999999999999998</v>
      </c>
      <c r="AW1366" s="169">
        <v>0.4</v>
      </c>
      <c r="AX1366" s="170">
        <v>27</v>
      </c>
      <c r="BL1366" s="165">
        <v>4</v>
      </c>
      <c r="BM1366" s="167">
        <v>60.689045936395758</v>
      </c>
      <c r="BN1366" s="168">
        <v>0.3</v>
      </c>
      <c r="BO1366" s="169">
        <v>5.6</v>
      </c>
      <c r="BP1366" s="170">
        <v>53</v>
      </c>
      <c r="BX1366" s="165">
        <v>431</v>
      </c>
      <c r="BY1366" s="167">
        <v>1.4964788732394365</v>
      </c>
      <c r="BZ1366" s="168">
        <v>-2.2000000000000002</v>
      </c>
      <c r="CA1366" s="169">
        <v>0.6</v>
      </c>
      <c r="CB1366" s="170">
        <v>28</v>
      </c>
      <c r="CP1366" s="165">
        <v>245</v>
      </c>
      <c r="CQ1366" s="167">
        <v>2.9876977152899822</v>
      </c>
      <c r="CR1366" s="168">
        <v>-1.9</v>
      </c>
      <c r="CS1366" s="169">
        <v>1.2</v>
      </c>
      <c r="CT1366" s="170">
        <v>31</v>
      </c>
      <c r="CV1366" s="165">
        <v>-2</v>
      </c>
      <c r="CW1366" s="167">
        <v>99.823943661971825</v>
      </c>
      <c r="CX1366" s="168">
        <v>2.9</v>
      </c>
      <c r="CY1366" s="169">
        <v>10.8</v>
      </c>
      <c r="CZ1366" s="170">
        <v>79</v>
      </c>
      <c r="DB1366" s="165">
        <v>44</v>
      </c>
      <c r="DC1366" s="167">
        <v>18.536585365853657</v>
      </c>
      <c r="DD1366" s="168">
        <v>-0.9</v>
      </c>
      <c r="DE1366" s="169">
        <v>3.2</v>
      </c>
      <c r="DF1366" s="170">
        <v>41</v>
      </c>
    </row>
    <row r="1367" spans="28:110" hidden="1" x14ac:dyDescent="0.2">
      <c r="AB1367" s="160">
        <v>0</v>
      </c>
      <c r="AC1367" s="161">
        <v>0</v>
      </c>
      <c r="AD1367" s="162">
        <v>-3.1</v>
      </c>
      <c r="AE1367" s="163">
        <v>-1.2</v>
      </c>
      <c r="AF1367" s="164">
        <v>19</v>
      </c>
      <c r="AN1367" s="165">
        <v>34</v>
      </c>
      <c r="AO1367" s="167">
        <v>0.528169014084507</v>
      </c>
      <c r="AP1367" s="168">
        <v>-2.6</v>
      </c>
      <c r="AQ1367" s="169">
        <v>-0.2</v>
      </c>
      <c r="AR1367" s="170">
        <v>24</v>
      </c>
      <c r="AT1367" s="165">
        <v>41</v>
      </c>
      <c r="AU1367" s="167">
        <v>1.232394366197183</v>
      </c>
      <c r="AV1367" s="168">
        <v>-2.2000000000000002</v>
      </c>
      <c r="AW1367" s="169">
        <v>0.6</v>
      </c>
      <c r="AX1367" s="170">
        <v>28</v>
      </c>
      <c r="BL1367" s="165">
        <v>3</v>
      </c>
      <c r="BM1367" s="167">
        <v>72.34982332155478</v>
      </c>
      <c r="BN1367" s="168">
        <v>0.6</v>
      </c>
      <c r="BO1367" s="169">
        <v>6.2</v>
      </c>
      <c r="BP1367" s="170">
        <v>56</v>
      </c>
      <c r="BX1367" s="165">
        <v>430</v>
      </c>
      <c r="BY1367" s="167">
        <v>1.4964788732394365</v>
      </c>
      <c r="BZ1367" s="168">
        <v>-2.2000000000000002</v>
      </c>
      <c r="CA1367" s="169">
        <v>0.6</v>
      </c>
      <c r="CB1367" s="170">
        <v>28</v>
      </c>
      <c r="CP1367" s="165">
        <v>244</v>
      </c>
      <c r="CQ1367" s="167">
        <v>2.9876977152899822</v>
      </c>
      <c r="CR1367" s="168">
        <v>-1.9</v>
      </c>
      <c r="CS1367" s="169">
        <v>1.2</v>
      </c>
      <c r="CT1367" s="170">
        <v>31</v>
      </c>
      <c r="CV1367" s="165">
        <v>-3</v>
      </c>
      <c r="CW1367" s="167">
        <v>99.823943661971825</v>
      </c>
      <c r="CX1367" s="168">
        <v>2.9</v>
      </c>
      <c r="CY1367" s="169">
        <v>10.8</v>
      </c>
      <c r="CZ1367" s="170">
        <v>79</v>
      </c>
      <c r="DB1367" s="165">
        <v>45</v>
      </c>
      <c r="DC1367" s="167">
        <v>20.73170731707317</v>
      </c>
      <c r="DD1367" s="168">
        <v>-0.8</v>
      </c>
      <c r="DE1367" s="169">
        <v>3.4</v>
      </c>
      <c r="DF1367" s="170">
        <v>42</v>
      </c>
    </row>
    <row r="1368" spans="28:110" hidden="1" x14ac:dyDescent="0.2">
      <c r="AB1368" s="165">
        <v>1</v>
      </c>
      <c r="AC1368" s="167">
        <v>0</v>
      </c>
      <c r="AD1368" s="168">
        <v>-3.1</v>
      </c>
      <c r="AE1368" s="169">
        <v>-1.2</v>
      </c>
      <c r="AF1368" s="170">
        <v>19</v>
      </c>
      <c r="AN1368" s="165">
        <v>33</v>
      </c>
      <c r="AO1368" s="167">
        <v>0.528169014084507</v>
      </c>
      <c r="AP1368" s="168">
        <v>-2.6</v>
      </c>
      <c r="AQ1368" s="169">
        <v>-0.2</v>
      </c>
      <c r="AR1368" s="170">
        <v>24</v>
      </c>
      <c r="AT1368" s="165">
        <v>40</v>
      </c>
      <c r="AU1368" s="167">
        <v>1.232394366197183</v>
      </c>
      <c r="AV1368" s="168">
        <v>-2.2000000000000002</v>
      </c>
      <c r="AW1368" s="169">
        <v>0.6</v>
      </c>
      <c r="AX1368" s="170">
        <v>28</v>
      </c>
      <c r="BL1368" s="165">
        <v>2</v>
      </c>
      <c r="BM1368" s="167">
        <v>84.275618374558306</v>
      </c>
      <c r="BN1368" s="168">
        <v>1</v>
      </c>
      <c r="BO1368" s="169">
        <v>7</v>
      </c>
      <c r="BP1368" s="170">
        <v>60</v>
      </c>
      <c r="BX1368" s="165">
        <v>429</v>
      </c>
      <c r="BY1368" s="167">
        <v>1.4964788732394365</v>
      </c>
      <c r="BZ1368" s="168">
        <v>-2.2000000000000002</v>
      </c>
      <c r="CA1368" s="169">
        <v>0.6</v>
      </c>
      <c r="CB1368" s="170">
        <v>28</v>
      </c>
      <c r="CP1368" s="165">
        <v>243</v>
      </c>
      <c r="CQ1368" s="167">
        <v>2.9876977152899822</v>
      </c>
      <c r="CR1368" s="168">
        <v>-1.9</v>
      </c>
      <c r="CS1368" s="169">
        <v>1.2</v>
      </c>
      <c r="CT1368" s="170">
        <v>31</v>
      </c>
      <c r="CV1368" s="165">
        <v>-4</v>
      </c>
      <c r="CW1368" s="167">
        <v>99.823943661971825</v>
      </c>
      <c r="CX1368" s="168">
        <v>2.9</v>
      </c>
      <c r="CY1368" s="169">
        <v>10.8</v>
      </c>
      <c r="CZ1368" s="170">
        <v>79</v>
      </c>
      <c r="DB1368" s="165">
        <v>46</v>
      </c>
      <c r="DC1368" s="167">
        <v>23.414634146341466</v>
      </c>
      <c r="DD1368" s="168">
        <v>-0.7</v>
      </c>
      <c r="DE1368" s="169">
        <v>3.6</v>
      </c>
      <c r="DF1368" s="170">
        <v>43</v>
      </c>
    </row>
    <row r="1369" spans="28:110" ht="13.15" hidden="1" thickBot="1" x14ac:dyDescent="0.25">
      <c r="AB1369" s="165">
        <v>2</v>
      </c>
      <c r="AC1369" s="167">
        <v>0</v>
      </c>
      <c r="AD1369" s="168">
        <v>-3.1</v>
      </c>
      <c r="AE1369" s="169">
        <v>-1.2</v>
      </c>
      <c r="AF1369" s="170">
        <v>19</v>
      </c>
      <c r="AN1369" s="165">
        <v>32</v>
      </c>
      <c r="AO1369" s="167">
        <v>0.528169014084507</v>
      </c>
      <c r="AP1369" s="168">
        <v>-2.6</v>
      </c>
      <c r="AQ1369" s="169">
        <v>-0.2</v>
      </c>
      <c r="AR1369" s="170">
        <v>24</v>
      </c>
      <c r="AT1369" s="165">
        <v>39</v>
      </c>
      <c r="AU1369" s="167">
        <v>1.4964788732394365</v>
      </c>
      <c r="AV1369" s="168">
        <v>-2.2000000000000002</v>
      </c>
      <c r="AW1369" s="169">
        <v>0.6</v>
      </c>
      <c r="AX1369" s="170">
        <v>28</v>
      </c>
      <c r="BL1369" s="165">
        <v>1</v>
      </c>
      <c r="BM1369" s="167">
        <v>93.639575971731446</v>
      </c>
      <c r="BN1369" s="168">
        <v>1.5</v>
      </c>
      <c r="BO1369" s="169">
        <v>8</v>
      </c>
      <c r="BP1369" s="170">
        <v>65</v>
      </c>
      <c r="BX1369" s="165">
        <v>428</v>
      </c>
      <c r="BY1369" s="167">
        <v>1.4964788732394365</v>
      </c>
      <c r="BZ1369" s="168">
        <v>-2.2000000000000002</v>
      </c>
      <c r="CA1369" s="169">
        <v>0.6</v>
      </c>
      <c r="CB1369" s="170">
        <v>28</v>
      </c>
      <c r="CP1369" s="165">
        <v>242</v>
      </c>
      <c r="CQ1369" s="167">
        <v>2.9876977152899822</v>
      </c>
      <c r="CR1369" s="168">
        <v>-1.9</v>
      </c>
      <c r="CS1369" s="169">
        <v>1.2</v>
      </c>
      <c r="CT1369" s="170">
        <v>31</v>
      </c>
      <c r="CV1369" s="172">
        <v>-5</v>
      </c>
      <c r="CW1369" s="173">
        <v>99.823943661971825</v>
      </c>
      <c r="CX1369" s="174">
        <v>2.9</v>
      </c>
      <c r="CY1369" s="175">
        <v>10.8</v>
      </c>
      <c r="CZ1369" s="176">
        <v>79</v>
      </c>
      <c r="DB1369" s="165">
        <v>47</v>
      </c>
      <c r="DC1369" s="167">
        <v>25.975609756097562</v>
      </c>
      <c r="DD1369" s="168">
        <v>-0.6</v>
      </c>
      <c r="DE1369" s="169">
        <v>3.8</v>
      </c>
      <c r="DF1369" s="170">
        <v>44</v>
      </c>
    </row>
    <row r="1370" spans="28:110" ht="13.15" hidden="1" thickBot="1" x14ac:dyDescent="0.25">
      <c r="AB1370" s="165">
        <v>3</v>
      </c>
      <c r="AC1370" s="167">
        <v>0</v>
      </c>
      <c r="AD1370" s="168">
        <v>-3.1</v>
      </c>
      <c r="AE1370" s="169">
        <v>-1.2</v>
      </c>
      <c r="AF1370" s="170">
        <v>19</v>
      </c>
      <c r="AN1370" s="165">
        <v>31</v>
      </c>
      <c r="AO1370" s="167">
        <v>0.528169014084507</v>
      </c>
      <c r="AP1370" s="168">
        <v>-2.6</v>
      </c>
      <c r="AQ1370" s="169">
        <v>-0.2</v>
      </c>
      <c r="AR1370" s="170">
        <v>24</v>
      </c>
      <c r="AT1370" s="165">
        <v>38</v>
      </c>
      <c r="AU1370" s="167">
        <v>1.6725352112676055</v>
      </c>
      <c r="AV1370" s="168">
        <v>-2.1</v>
      </c>
      <c r="AW1370" s="169">
        <v>0.8</v>
      </c>
      <c r="AX1370" s="170">
        <v>29</v>
      </c>
      <c r="BL1370" s="172">
        <v>0</v>
      </c>
      <c r="BM1370" s="173">
        <v>98.763250883392232</v>
      </c>
      <c r="BN1370" s="174">
        <v>2.2000000000000002</v>
      </c>
      <c r="BO1370" s="175">
        <v>9.4</v>
      </c>
      <c r="BP1370" s="176">
        <v>72</v>
      </c>
      <c r="BX1370" s="165">
        <v>427</v>
      </c>
      <c r="BY1370" s="167">
        <v>1.4964788732394365</v>
      </c>
      <c r="BZ1370" s="168">
        <v>-2.2000000000000002</v>
      </c>
      <c r="CA1370" s="169">
        <v>0.6</v>
      </c>
      <c r="CB1370" s="170">
        <v>28</v>
      </c>
      <c r="CP1370" s="165">
        <v>241</v>
      </c>
      <c r="CQ1370" s="167">
        <v>2.9876977152899822</v>
      </c>
      <c r="CR1370" s="168">
        <v>-1.9</v>
      </c>
      <c r="CS1370" s="169">
        <v>1.2</v>
      </c>
      <c r="CT1370" s="170">
        <v>31</v>
      </c>
      <c r="DB1370" s="165">
        <v>48</v>
      </c>
      <c r="DC1370" s="167">
        <v>28.292682926829265</v>
      </c>
      <c r="DD1370" s="168">
        <v>-0.6</v>
      </c>
      <c r="DE1370" s="169">
        <v>3.8</v>
      </c>
      <c r="DF1370" s="170">
        <v>44</v>
      </c>
    </row>
    <row r="1371" spans="28:110" hidden="1" x14ac:dyDescent="0.2">
      <c r="AB1371" s="165">
        <v>4</v>
      </c>
      <c r="AC1371" s="167">
        <v>0</v>
      </c>
      <c r="AD1371" s="168">
        <v>-3.1</v>
      </c>
      <c r="AE1371" s="169">
        <v>-1.2</v>
      </c>
      <c r="AF1371" s="170">
        <v>19</v>
      </c>
      <c r="AN1371" s="165">
        <v>30</v>
      </c>
      <c r="AO1371" s="167">
        <v>0.528169014084507</v>
      </c>
      <c r="AP1371" s="168">
        <v>-2.6</v>
      </c>
      <c r="AQ1371" s="169">
        <v>-0.2</v>
      </c>
      <c r="AR1371" s="170">
        <v>24</v>
      </c>
      <c r="AT1371" s="165">
        <v>37</v>
      </c>
      <c r="AU1371" s="167">
        <v>2.024647887323944</v>
      </c>
      <c r="AV1371" s="168">
        <v>-2.1</v>
      </c>
      <c r="AW1371" s="169">
        <v>0.8</v>
      </c>
      <c r="AX1371" s="170">
        <v>29</v>
      </c>
      <c r="BX1371" s="165">
        <v>426</v>
      </c>
      <c r="BY1371" s="167">
        <v>1.4964788732394365</v>
      </c>
      <c r="BZ1371" s="168">
        <v>-2.2000000000000002</v>
      </c>
      <c r="CA1371" s="169">
        <v>0.6</v>
      </c>
      <c r="CB1371" s="170">
        <v>28</v>
      </c>
      <c r="CP1371" s="165">
        <v>240</v>
      </c>
      <c r="CQ1371" s="167">
        <v>2.9876977152899822</v>
      </c>
      <c r="CR1371" s="168">
        <v>-1.9</v>
      </c>
      <c r="CS1371" s="169">
        <v>1.2</v>
      </c>
      <c r="CT1371" s="170">
        <v>31</v>
      </c>
      <c r="DB1371" s="165">
        <v>49</v>
      </c>
      <c r="DC1371" s="167">
        <v>31.219512195121951</v>
      </c>
      <c r="DD1371" s="168">
        <v>-0.5</v>
      </c>
      <c r="DE1371" s="169">
        <v>4</v>
      </c>
      <c r="DF1371" s="170">
        <v>45</v>
      </c>
    </row>
    <row r="1372" spans="28:110" ht="13.15" hidden="1" thickBot="1" x14ac:dyDescent="0.25">
      <c r="AB1372" s="165">
        <v>5</v>
      </c>
      <c r="AC1372" s="167">
        <v>0.87873462214411258</v>
      </c>
      <c r="AD1372" s="168">
        <v>-2.4</v>
      </c>
      <c r="AE1372" s="169">
        <v>0.2</v>
      </c>
      <c r="AF1372" s="170">
        <v>26</v>
      </c>
      <c r="AN1372" s="165">
        <v>29</v>
      </c>
      <c r="AO1372" s="167">
        <v>0.96830985915492951</v>
      </c>
      <c r="AP1372" s="168">
        <v>-2.2999999999999998</v>
      </c>
      <c r="AQ1372" s="169">
        <v>0.4</v>
      </c>
      <c r="AR1372" s="170">
        <v>27</v>
      </c>
      <c r="AT1372" s="165">
        <v>36</v>
      </c>
      <c r="AU1372" s="167">
        <v>2.552816901408451</v>
      </c>
      <c r="AV1372" s="168">
        <v>-2</v>
      </c>
      <c r="AW1372" s="169">
        <v>1</v>
      </c>
      <c r="AX1372" s="170">
        <v>30</v>
      </c>
      <c r="BX1372" s="165">
        <v>425</v>
      </c>
      <c r="BY1372" s="167">
        <v>1.4964788732394365</v>
      </c>
      <c r="BZ1372" s="168">
        <v>-2.2000000000000002</v>
      </c>
      <c r="CA1372" s="169">
        <v>0.6</v>
      </c>
      <c r="CB1372" s="170">
        <v>28</v>
      </c>
      <c r="CP1372" s="165">
        <v>239</v>
      </c>
      <c r="CQ1372" s="167">
        <v>3.2513181019332165</v>
      </c>
      <c r="CR1372" s="168">
        <v>-1.8</v>
      </c>
      <c r="CS1372" s="169">
        <v>1.4</v>
      </c>
      <c r="CT1372" s="170">
        <v>32</v>
      </c>
      <c r="DB1372" s="165">
        <v>50</v>
      </c>
      <c r="DC1372" s="167">
        <v>34.756097560975604</v>
      </c>
      <c r="DD1372" s="168">
        <v>-0.4</v>
      </c>
      <c r="DE1372" s="169">
        <v>4.2</v>
      </c>
      <c r="DF1372" s="170">
        <v>46</v>
      </c>
    </row>
    <row r="1373" spans="28:110" ht="13.15" hidden="1" x14ac:dyDescent="0.25">
      <c r="AB1373" s="165">
        <v>6</v>
      </c>
      <c r="AC1373" s="167">
        <v>3.0755711775043935</v>
      </c>
      <c r="AD1373" s="168">
        <v>-1.9</v>
      </c>
      <c r="AE1373" s="169">
        <v>1.2</v>
      </c>
      <c r="AF1373" s="170">
        <v>31</v>
      </c>
      <c r="AN1373" s="165">
        <v>28</v>
      </c>
      <c r="AO1373" s="167">
        <v>1.4084507042253522</v>
      </c>
      <c r="AP1373" s="168">
        <v>-2.2000000000000002</v>
      </c>
      <c r="AQ1373" s="169">
        <v>0.6</v>
      </c>
      <c r="AR1373" s="170">
        <v>28</v>
      </c>
      <c r="AT1373" s="165">
        <v>35</v>
      </c>
      <c r="AU1373" s="167">
        <v>3.080985915492958</v>
      </c>
      <c r="AV1373" s="168">
        <v>-1.9</v>
      </c>
      <c r="AW1373" s="169">
        <v>1.2</v>
      </c>
      <c r="AX1373" s="170">
        <v>31</v>
      </c>
      <c r="BL1373" s="138" t="s">
        <v>223</v>
      </c>
      <c r="BM1373" s="139"/>
      <c r="BN1373" s="139"/>
      <c r="BO1373" s="140" t="s">
        <v>180</v>
      </c>
      <c r="BP1373" s="141">
        <v>566</v>
      </c>
      <c r="BX1373" s="165">
        <v>424</v>
      </c>
      <c r="BY1373" s="167">
        <v>1.4964788732394365</v>
      </c>
      <c r="BZ1373" s="168">
        <v>-2.2000000000000002</v>
      </c>
      <c r="CA1373" s="169">
        <v>0.6</v>
      </c>
      <c r="CB1373" s="170">
        <v>28</v>
      </c>
      <c r="CP1373" s="165">
        <v>238</v>
      </c>
      <c r="CQ1373" s="167">
        <v>3.2513181019332165</v>
      </c>
      <c r="CR1373" s="168">
        <v>-1.8</v>
      </c>
      <c r="CS1373" s="169">
        <v>1.4</v>
      </c>
      <c r="CT1373" s="170">
        <v>32</v>
      </c>
      <c r="DB1373" s="165">
        <v>51</v>
      </c>
      <c r="DC1373" s="167">
        <v>38.414634146341463</v>
      </c>
      <c r="DD1373" s="168">
        <v>-0.3</v>
      </c>
      <c r="DE1373" s="169">
        <v>4.4000000000000004</v>
      </c>
      <c r="DF1373" s="170">
        <v>47</v>
      </c>
    </row>
    <row r="1374" spans="28:110" hidden="1" x14ac:dyDescent="0.2">
      <c r="AB1374" s="165">
        <v>7</v>
      </c>
      <c r="AC1374" s="167">
        <v>7.293497363796134</v>
      </c>
      <c r="AD1374" s="168">
        <v>-1.5</v>
      </c>
      <c r="AE1374" s="169">
        <v>2</v>
      </c>
      <c r="AF1374" s="170">
        <v>35</v>
      </c>
      <c r="AN1374" s="165">
        <v>27</v>
      </c>
      <c r="AO1374" s="167">
        <v>1.6725352112676055</v>
      </c>
      <c r="AP1374" s="168">
        <v>-2.1</v>
      </c>
      <c r="AQ1374" s="169">
        <v>0.8</v>
      </c>
      <c r="AR1374" s="170">
        <v>29</v>
      </c>
      <c r="AT1374" s="165">
        <v>34</v>
      </c>
      <c r="AU1374" s="167">
        <v>3.697183098591549</v>
      </c>
      <c r="AV1374" s="168">
        <v>-1.8</v>
      </c>
      <c r="AW1374" s="169">
        <v>1.4</v>
      </c>
      <c r="AX1374" s="170">
        <v>32</v>
      </c>
      <c r="BL1374" s="144" t="s">
        <v>161</v>
      </c>
      <c r="BP1374" s="145"/>
      <c r="BX1374" s="165">
        <v>423</v>
      </c>
      <c r="BY1374" s="167">
        <v>1.4964788732394365</v>
      </c>
      <c r="BZ1374" s="168">
        <v>-2.2000000000000002</v>
      </c>
      <c r="CA1374" s="169">
        <v>0.6</v>
      </c>
      <c r="CB1374" s="170">
        <v>28</v>
      </c>
      <c r="CP1374" s="165">
        <v>237</v>
      </c>
      <c r="CQ1374" s="167">
        <v>3.2513181019332165</v>
      </c>
      <c r="CR1374" s="168">
        <v>-1.8</v>
      </c>
      <c r="CS1374" s="169">
        <v>1.4</v>
      </c>
      <c r="CT1374" s="170">
        <v>32</v>
      </c>
      <c r="DB1374" s="165">
        <v>52</v>
      </c>
      <c r="DC1374" s="167">
        <v>42.073170731707314</v>
      </c>
      <c r="DD1374" s="168">
        <v>-0.2</v>
      </c>
      <c r="DE1374" s="169">
        <v>4.5999999999999996</v>
      </c>
      <c r="DF1374" s="170">
        <v>48</v>
      </c>
    </row>
    <row r="1375" spans="28:110" ht="13.15" hidden="1" thickBot="1" x14ac:dyDescent="0.25">
      <c r="AB1375" s="165">
        <v>8</v>
      </c>
      <c r="AC1375" s="167">
        <v>13.884007029876976</v>
      </c>
      <c r="AD1375" s="168">
        <v>-1.1000000000000001</v>
      </c>
      <c r="AE1375" s="169">
        <v>2.8</v>
      </c>
      <c r="AF1375" s="170">
        <v>39</v>
      </c>
      <c r="AN1375" s="165">
        <v>26</v>
      </c>
      <c r="AO1375" s="167">
        <v>1.8485915492957745</v>
      </c>
      <c r="AP1375" s="168">
        <v>-2.1</v>
      </c>
      <c r="AQ1375" s="169">
        <v>0.8</v>
      </c>
      <c r="AR1375" s="170">
        <v>29</v>
      </c>
      <c r="AT1375" s="165">
        <v>33</v>
      </c>
      <c r="AU1375" s="167">
        <v>3.697183098591549</v>
      </c>
      <c r="AV1375" s="168">
        <v>-1.8</v>
      </c>
      <c r="AW1375" s="169">
        <v>1.4</v>
      </c>
      <c r="AX1375" s="170">
        <v>32</v>
      </c>
      <c r="BL1375" s="147" t="s">
        <v>231</v>
      </c>
      <c r="BM1375" s="148"/>
      <c r="BN1375" s="148"/>
      <c r="BO1375" s="148"/>
      <c r="BP1375" s="149"/>
      <c r="BX1375" s="165">
        <v>422</v>
      </c>
      <c r="BY1375" s="167">
        <v>1.4964788732394365</v>
      </c>
      <c r="BZ1375" s="168">
        <v>-2.2000000000000002</v>
      </c>
      <c r="CA1375" s="169">
        <v>0.6</v>
      </c>
      <c r="CB1375" s="170">
        <v>28</v>
      </c>
      <c r="CP1375" s="165">
        <v>236</v>
      </c>
      <c r="CQ1375" s="167">
        <v>3.2513181019332165</v>
      </c>
      <c r="CR1375" s="168">
        <v>-1.8</v>
      </c>
      <c r="CS1375" s="169">
        <v>1.4</v>
      </c>
      <c r="CT1375" s="170">
        <v>32</v>
      </c>
      <c r="DB1375" s="165">
        <v>53</v>
      </c>
      <c r="DC1375" s="167">
        <v>45.731707317073173</v>
      </c>
      <c r="DD1375" s="168">
        <v>-0.1</v>
      </c>
      <c r="DE1375" s="169">
        <v>4.8</v>
      </c>
      <c r="DF1375" s="170">
        <v>49</v>
      </c>
    </row>
    <row r="1376" spans="28:110" ht="13.15" hidden="1" thickBot="1" x14ac:dyDescent="0.25">
      <c r="AB1376" s="165">
        <v>9</v>
      </c>
      <c r="AC1376" s="167">
        <v>24.253075571177504</v>
      </c>
      <c r="AD1376" s="168">
        <v>-0.7</v>
      </c>
      <c r="AE1376" s="169">
        <v>3.6</v>
      </c>
      <c r="AF1376" s="170">
        <v>43</v>
      </c>
      <c r="AN1376" s="165">
        <v>25</v>
      </c>
      <c r="AO1376" s="167">
        <v>1.8485915492957745</v>
      </c>
      <c r="AP1376" s="168">
        <v>-2.1</v>
      </c>
      <c r="AQ1376" s="169">
        <v>0.8</v>
      </c>
      <c r="AR1376" s="170">
        <v>29</v>
      </c>
      <c r="AT1376" s="165">
        <v>32</v>
      </c>
      <c r="AU1376" s="167">
        <v>4.137323943661972</v>
      </c>
      <c r="AV1376" s="168">
        <v>-1.7</v>
      </c>
      <c r="AW1376" s="169">
        <v>1.6</v>
      </c>
      <c r="AX1376" s="170">
        <v>33</v>
      </c>
      <c r="BL1376" s="150" t="s">
        <v>164</v>
      </c>
      <c r="BM1376" s="151" t="s">
        <v>74</v>
      </c>
      <c r="BN1376" s="152"/>
      <c r="BO1376" s="152"/>
      <c r="BP1376" s="153"/>
      <c r="BX1376" s="165">
        <v>421</v>
      </c>
      <c r="BY1376" s="167">
        <v>1.4964788732394365</v>
      </c>
      <c r="BZ1376" s="168">
        <v>-2.2000000000000002</v>
      </c>
      <c r="CA1376" s="169">
        <v>0.6</v>
      </c>
      <c r="CB1376" s="170">
        <v>28</v>
      </c>
      <c r="CP1376" s="165">
        <v>235</v>
      </c>
      <c r="CQ1376" s="167">
        <v>3.2513181019332165</v>
      </c>
      <c r="CR1376" s="168">
        <v>-1.8</v>
      </c>
      <c r="CS1376" s="169">
        <v>1.4</v>
      </c>
      <c r="CT1376" s="170">
        <v>32</v>
      </c>
      <c r="DB1376" s="165">
        <v>54</v>
      </c>
      <c r="DC1376" s="167">
        <v>48.780487804878049</v>
      </c>
      <c r="DD1376" s="168">
        <v>0</v>
      </c>
      <c r="DE1376" s="169">
        <v>5</v>
      </c>
      <c r="DF1376" s="170">
        <v>50</v>
      </c>
    </row>
    <row r="1377" spans="28:110" ht="13.15" hidden="1" thickBot="1" x14ac:dyDescent="0.25">
      <c r="AB1377" s="165">
        <v>10</v>
      </c>
      <c r="AC1377" s="167">
        <v>39.015817223198596</v>
      </c>
      <c r="AD1377" s="168">
        <v>-0.3</v>
      </c>
      <c r="AE1377" s="169">
        <v>4.4000000000000004</v>
      </c>
      <c r="AF1377" s="170">
        <v>47</v>
      </c>
      <c r="AN1377" s="165">
        <v>24</v>
      </c>
      <c r="AO1377" s="167">
        <v>1.8485915492957745</v>
      </c>
      <c r="AP1377" s="168">
        <v>-2.1</v>
      </c>
      <c r="AQ1377" s="169">
        <v>0.8</v>
      </c>
      <c r="AR1377" s="170">
        <v>29</v>
      </c>
      <c r="AT1377" s="165">
        <v>31</v>
      </c>
      <c r="AU1377" s="167">
        <v>4.48943661971831</v>
      </c>
      <c r="AV1377" s="168">
        <v>-1.7</v>
      </c>
      <c r="AW1377" s="169">
        <v>1.6</v>
      </c>
      <c r="AX1377" s="170">
        <v>33</v>
      </c>
      <c r="BL1377" s="155" t="s">
        <v>10</v>
      </c>
      <c r="BM1377" s="156" t="s">
        <v>13</v>
      </c>
      <c r="BN1377" s="156" t="s">
        <v>14</v>
      </c>
      <c r="BO1377" s="156" t="s">
        <v>15</v>
      </c>
      <c r="BP1377" s="157" t="s">
        <v>16</v>
      </c>
      <c r="BX1377" s="165">
        <v>420</v>
      </c>
      <c r="BY1377" s="167">
        <v>1.4964788732394365</v>
      </c>
      <c r="BZ1377" s="168">
        <v>-2.2000000000000002</v>
      </c>
      <c r="CA1377" s="169">
        <v>0.6</v>
      </c>
      <c r="CB1377" s="170">
        <v>28</v>
      </c>
      <c r="CP1377" s="165">
        <v>234</v>
      </c>
      <c r="CQ1377" s="167">
        <v>3.2513181019332165</v>
      </c>
      <c r="CR1377" s="168">
        <v>-1.8</v>
      </c>
      <c r="CS1377" s="169">
        <v>1.4</v>
      </c>
      <c r="CT1377" s="170">
        <v>32</v>
      </c>
      <c r="DB1377" s="165">
        <v>55</v>
      </c>
      <c r="DC1377" s="167">
        <v>51.585365853658537</v>
      </c>
      <c r="DD1377" s="168">
        <v>0</v>
      </c>
      <c r="DE1377" s="169">
        <v>5</v>
      </c>
      <c r="DF1377" s="170">
        <v>50</v>
      </c>
    </row>
    <row r="1378" spans="28:110" hidden="1" x14ac:dyDescent="0.2">
      <c r="AB1378" s="165">
        <v>11</v>
      </c>
      <c r="AC1378" s="167">
        <v>55.536028119507904</v>
      </c>
      <c r="AD1378" s="168">
        <v>0.1</v>
      </c>
      <c r="AE1378" s="169">
        <v>5.2</v>
      </c>
      <c r="AF1378" s="170">
        <v>51</v>
      </c>
      <c r="AN1378" s="165">
        <v>23</v>
      </c>
      <c r="AO1378" s="167">
        <v>2.2887323943661975</v>
      </c>
      <c r="AP1378" s="168">
        <v>-2</v>
      </c>
      <c r="AQ1378" s="169">
        <v>1</v>
      </c>
      <c r="AR1378" s="170">
        <v>30</v>
      </c>
      <c r="AT1378" s="165">
        <v>30</v>
      </c>
      <c r="AU1378" s="167">
        <v>5.28169014084507</v>
      </c>
      <c r="AV1378" s="168">
        <v>-1.6</v>
      </c>
      <c r="AW1378" s="169">
        <v>1.8</v>
      </c>
      <c r="AX1378" s="170">
        <v>34</v>
      </c>
      <c r="BL1378" s="165">
        <v>39</v>
      </c>
      <c r="BM1378" s="167">
        <v>8.8339222614840993E-2</v>
      </c>
      <c r="BN1378" s="168">
        <v>-3</v>
      </c>
      <c r="BO1378" s="169">
        <v>-1</v>
      </c>
      <c r="BP1378" s="170">
        <v>20</v>
      </c>
      <c r="BX1378" s="165">
        <v>419</v>
      </c>
      <c r="BY1378" s="167">
        <v>1.8485915492957745</v>
      </c>
      <c r="BZ1378" s="168">
        <v>-2.1</v>
      </c>
      <c r="CA1378" s="169">
        <v>0.8</v>
      </c>
      <c r="CB1378" s="170">
        <v>29</v>
      </c>
      <c r="CP1378" s="165">
        <v>233</v>
      </c>
      <c r="CQ1378" s="167">
        <v>3.2513181019332165</v>
      </c>
      <c r="CR1378" s="168">
        <v>-1.8</v>
      </c>
      <c r="CS1378" s="169">
        <v>1.4</v>
      </c>
      <c r="CT1378" s="170">
        <v>32</v>
      </c>
      <c r="DB1378" s="165">
        <v>56</v>
      </c>
      <c r="DC1378" s="167">
        <v>54.634146341463421</v>
      </c>
      <c r="DD1378" s="168">
        <v>0.1</v>
      </c>
      <c r="DE1378" s="169">
        <v>5.2</v>
      </c>
      <c r="DF1378" s="170">
        <v>51</v>
      </c>
    </row>
    <row r="1379" spans="28:110" hidden="1" x14ac:dyDescent="0.2">
      <c r="AB1379" s="165">
        <v>12</v>
      </c>
      <c r="AC1379" s="167">
        <v>71.441124780316343</v>
      </c>
      <c r="AD1379" s="168">
        <v>0.6</v>
      </c>
      <c r="AE1379" s="169">
        <v>6.2</v>
      </c>
      <c r="AF1379" s="170">
        <v>56</v>
      </c>
      <c r="AN1379" s="165">
        <v>22</v>
      </c>
      <c r="AO1379" s="167">
        <v>2.8169014084507045</v>
      </c>
      <c r="AP1379" s="168">
        <v>-1.9</v>
      </c>
      <c r="AQ1379" s="169">
        <v>1.2</v>
      </c>
      <c r="AR1379" s="170">
        <v>31</v>
      </c>
      <c r="AT1379" s="165">
        <v>29</v>
      </c>
      <c r="AU1379" s="167">
        <v>5.897887323943662</v>
      </c>
      <c r="AV1379" s="168">
        <v>-1.6</v>
      </c>
      <c r="AW1379" s="169">
        <v>1.8</v>
      </c>
      <c r="AX1379" s="170">
        <v>34</v>
      </c>
      <c r="BL1379" s="165">
        <v>38</v>
      </c>
      <c r="BM1379" s="167">
        <v>0.35335689045936397</v>
      </c>
      <c r="BN1379" s="168">
        <v>-2.7</v>
      </c>
      <c r="BO1379" s="169">
        <v>-0.4</v>
      </c>
      <c r="BP1379" s="170">
        <v>23</v>
      </c>
      <c r="BX1379" s="165">
        <v>418</v>
      </c>
      <c r="BY1379" s="167">
        <v>1.8485915492957745</v>
      </c>
      <c r="BZ1379" s="168">
        <v>-2.1</v>
      </c>
      <c r="CA1379" s="169">
        <v>0.8</v>
      </c>
      <c r="CB1379" s="170">
        <v>29</v>
      </c>
      <c r="CP1379" s="165">
        <v>232</v>
      </c>
      <c r="CQ1379" s="167">
        <v>3.2513181019332165</v>
      </c>
      <c r="CR1379" s="168">
        <v>-1.8</v>
      </c>
      <c r="CS1379" s="169">
        <v>1.4</v>
      </c>
      <c r="CT1379" s="170">
        <v>32</v>
      </c>
      <c r="DB1379" s="165">
        <v>57</v>
      </c>
      <c r="DC1379" s="167">
        <v>57.317073170731703</v>
      </c>
      <c r="DD1379" s="168">
        <v>0.2</v>
      </c>
      <c r="DE1379" s="169">
        <v>5.4</v>
      </c>
      <c r="DF1379" s="170">
        <v>52</v>
      </c>
    </row>
    <row r="1380" spans="28:110" hidden="1" x14ac:dyDescent="0.2">
      <c r="AB1380" s="165">
        <v>13</v>
      </c>
      <c r="AC1380" s="167">
        <v>84.885764499121265</v>
      </c>
      <c r="AD1380" s="168">
        <v>1</v>
      </c>
      <c r="AE1380" s="169">
        <v>7</v>
      </c>
      <c r="AF1380" s="170">
        <v>60</v>
      </c>
      <c r="AN1380" s="165">
        <v>21</v>
      </c>
      <c r="AO1380" s="167">
        <v>3.169014084507042</v>
      </c>
      <c r="AP1380" s="168">
        <v>-1.9</v>
      </c>
      <c r="AQ1380" s="169">
        <v>1.2</v>
      </c>
      <c r="AR1380" s="170">
        <v>31</v>
      </c>
      <c r="AT1380" s="165">
        <v>28</v>
      </c>
      <c r="AU1380" s="167">
        <v>6.426056338028169</v>
      </c>
      <c r="AV1380" s="168">
        <v>-1.5</v>
      </c>
      <c r="AW1380" s="169">
        <v>2</v>
      </c>
      <c r="AX1380" s="170">
        <v>35</v>
      </c>
      <c r="BL1380" s="165">
        <v>37</v>
      </c>
      <c r="BM1380" s="167">
        <v>0.35335689045936397</v>
      </c>
      <c r="BN1380" s="168">
        <v>-2.7</v>
      </c>
      <c r="BO1380" s="169">
        <v>-0.4</v>
      </c>
      <c r="BP1380" s="170">
        <v>23</v>
      </c>
      <c r="BX1380" s="165">
        <v>417</v>
      </c>
      <c r="BY1380" s="167">
        <v>1.8485915492957745</v>
      </c>
      <c r="BZ1380" s="168">
        <v>-2.1</v>
      </c>
      <c r="CA1380" s="169">
        <v>0.8</v>
      </c>
      <c r="CB1380" s="170">
        <v>29</v>
      </c>
      <c r="CP1380" s="165">
        <v>231</v>
      </c>
      <c r="CQ1380" s="167">
        <v>3.2513181019332165</v>
      </c>
      <c r="CR1380" s="168">
        <v>-1.8</v>
      </c>
      <c r="CS1380" s="169">
        <v>1.4</v>
      </c>
      <c r="CT1380" s="170">
        <v>32</v>
      </c>
      <c r="DB1380" s="165">
        <v>58</v>
      </c>
      <c r="DC1380" s="167">
        <v>60.731707317073166</v>
      </c>
      <c r="DD1380" s="168">
        <v>0.3</v>
      </c>
      <c r="DE1380" s="169">
        <v>5.6</v>
      </c>
      <c r="DF1380" s="170">
        <v>53</v>
      </c>
    </row>
    <row r="1381" spans="28:110" hidden="1" x14ac:dyDescent="0.2">
      <c r="AB1381" s="165">
        <v>14</v>
      </c>
      <c r="AC1381" s="167">
        <v>93.49736379613357</v>
      </c>
      <c r="AD1381" s="168">
        <v>1.5</v>
      </c>
      <c r="AE1381" s="169">
        <v>8</v>
      </c>
      <c r="AF1381" s="170">
        <v>65</v>
      </c>
      <c r="AN1381" s="165">
        <v>20</v>
      </c>
      <c r="AO1381" s="167">
        <v>3.609154929577465</v>
      </c>
      <c r="AP1381" s="168">
        <v>-1.8</v>
      </c>
      <c r="AQ1381" s="169">
        <v>1.4</v>
      </c>
      <c r="AR1381" s="170">
        <v>32</v>
      </c>
      <c r="AT1381" s="165">
        <v>27</v>
      </c>
      <c r="AU1381" s="167">
        <v>7.306338028169014</v>
      </c>
      <c r="AV1381" s="168">
        <v>-1.5</v>
      </c>
      <c r="AW1381" s="169">
        <v>2</v>
      </c>
      <c r="AX1381" s="170">
        <v>35</v>
      </c>
      <c r="BL1381" s="165">
        <v>36</v>
      </c>
      <c r="BM1381" s="167">
        <v>0.35335689045936397</v>
      </c>
      <c r="BN1381" s="168">
        <v>-2.7</v>
      </c>
      <c r="BO1381" s="169">
        <v>-0.4</v>
      </c>
      <c r="BP1381" s="170">
        <v>23</v>
      </c>
      <c r="BX1381" s="165">
        <v>416</v>
      </c>
      <c r="BY1381" s="167">
        <v>1.8485915492957745</v>
      </c>
      <c r="BZ1381" s="168">
        <v>-2.1</v>
      </c>
      <c r="CA1381" s="169">
        <v>0.8</v>
      </c>
      <c r="CB1381" s="170">
        <v>29</v>
      </c>
      <c r="CP1381" s="165">
        <v>230</v>
      </c>
      <c r="CQ1381" s="167">
        <v>3.2513181019332165</v>
      </c>
      <c r="CR1381" s="168">
        <v>-1.8</v>
      </c>
      <c r="CS1381" s="169">
        <v>1.4</v>
      </c>
      <c r="CT1381" s="170">
        <v>32</v>
      </c>
      <c r="DB1381" s="165">
        <v>59</v>
      </c>
      <c r="DC1381" s="167">
        <v>64.390243902439025</v>
      </c>
      <c r="DD1381" s="168">
        <v>0.4</v>
      </c>
      <c r="DE1381" s="169">
        <v>5.8</v>
      </c>
      <c r="DF1381" s="170">
        <v>54</v>
      </c>
    </row>
    <row r="1382" spans="28:110" ht="13.15" hidden="1" thickBot="1" x14ac:dyDescent="0.25">
      <c r="AB1382" s="172">
        <v>15</v>
      </c>
      <c r="AC1382" s="173">
        <v>98.066783831282962</v>
      </c>
      <c r="AD1382" s="174">
        <v>2.1</v>
      </c>
      <c r="AE1382" s="175">
        <v>9.1999999999999993</v>
      </c>
      <c r="AF1382" s="176">
        <v>71</v>
      </c>
      <c r="AN1382" s="165">
        <v>19</v>
      </c>
      <c r="AO1382" s="167">
        <v>3.609154929577465</v>
      </c>
      <c r="AP1382" s="168">
        <v>-1.8</v>
      </c>
      <c r="AQ1382" s="169">
        <v>1.4</v>
      </c>
      <c r="AR1382" s="170">
        <v>32</v>
      </c>
      <c r="AT1382" s="165">
        <v>26</v>
      </c>
      <c r="AU1382" s="167">
        <v>8.274647887323944</v>
      </c>
      <c r="AV1382" s="168">
        <v>-1.4</v>
      </c>
      <c r="AW1382" s="169">
        <v>2.2000000000000002</v>
      </c>
      <c r="AX1382" s="170">
        <v>36</v>
      </c>
      <c r="BL1382" s="165">
        <v>35</v>
      </c>
      <c r="BM1382" s="167">
        <v>0.35335689045936397</v>
      </c>
      <c r="BN1382" s="168">
        <v>-2.7</v>
      </c>
      <c r="BO1382" s="169">
        <v>-0.4</v>
      </c>
      <c r="BP1382" s="170">
        <v>23</v>
      </c>
      <c r="BX1382" s="165">
        <v>415</v>
      </c>
      <c r="BY1382" s="167">
        <v>1.8485915492957745</v>
      </c>
      <c r="BZ1382" s="168">
        <v>-2.1</v>
      </c>
      <c r="CA1382" s="169">
        <v>0.8</v>
      </c>
      <c r="CB1382" s="170">
        <v>29</v>
      </c>
      <c r="CP1382" s="165">
        <v>229</v>
      </c>
      <c r="CQ1382" s="167">
        <v>3.9543057996485063</v>
      </c>
      <c r="CR1382" s="168">
        <v>-1.8</v>
      </c>
      <c r="CS1382" s="169">
        <v>1.4</v>
      </c>
      <c r="CT1382" s="170">
        <v>32</v>
      </c>
      <c r="DB1382" s="165">
        <v>60</v>
      </c>
      <c r="DC1382" s="167">
        <v>67.439024390243901</v>
      </c>
      <c r="DD1382" s="168">
        <v>0.5</v>
      </c>
      <c r="DE1382" s="169">
        <v>6</v>
      </c>
      <c r="DF1382" s="170">
        <v>55</v>
      </c>
    </row>
    <row r="1383" spans="28:110" hidden="1" x14ac:dyDescent="0.2">
      <c r="AN1383" s="165">
        <v>18</v>
      </c>
      <c r="AO1383" s="167">
        <v>4.401408450704225</v>
      </c>
      <c r="AP1383" s="168">
        <v>-1.7</v>
      </c>
      <c r="AQ1383" s="169">
        <v>1.6</v>
      </c>
      <c r="AR1383" s="170">
        <v>33</v>
      </c>
      <c r="AT1383" s="165">
        <v>25</v>
      </c>
      <c r="AU1383" s="167">
        <v>9.2429577464788739</v>
      </c>
      <c r="AV1383" s="168">
        <v>-1.3</v>
      </c>
      <c r="AW1383" s="169">
        <v>2.4</v>
      </c>
      <c r="AX1383" s="170">
        <v>37</v>
      </c>
      <c r="BL1383" s="165">
        <v>34</v>
      </c>
      <c r="BM1383" s="167">
        <v>0.35335689045936397</v>
      </c>
      <c r="BN1383" s="168">
        <v>-2.7</v>
      </c>
      <c r="BO1383" s="169">
        <v>-0.4</v>
      </c>
      <c r="BP1383" s="170">
        <v>23</v>
      </c>
      <c r="BX1383" s="165">
        <v>414</v>
      </c>
      <c r="BY1383" s="167">
        <v>1.8485915492957745</v>
      </c>
      <c r="BZ1383" s="168">
        <v>-2.1</v>
      </c>
      <c r="CA1383" s="169">
        <v>0.8</v>
      </c>
      <c r="CB1383" s="170">
        <v>29</v>
      </c>
      <c r="CP1383" s="165">
        <v>228</v>
      </c>
      <c r="CQ1383" s="167">
        <v>3.9543057996485063</v>
      </c>
      <c r="CR1383" s="168">
        <v>-1.8</v>
      </c>
      <c r="CS1383" s="169">
        <v>1.4</v>
      </c>
      <c r="CT1383" s="170">
        <v>32</v>
      </c>
      <c r="DB1383" s="165">
        <v>61</v>
      </c>
      <c r="DC1383" s="167">
        <v>70.365853658536579</v>
      </c>
      <c r="DD1383" s="168">
        <v>0.5</v>
      </c>
      <c r="DE1383" s="169">
        <v>6</v>
      </c>
      <c r="DF1383" s="170">
        <v>55</v>
      </c>
    </row>
    <row r="1384" spans="28:110" ht="13.15" hidden="1" thickBot="1" x14ac:dyDescent="0.25">
      <c r="AN1384" s="165">
        <v>17</v>
      </c>
      <c r="AO1384" s="167">
        <v>5.457746478873239</v>
      </c>
      <c r="AP1384" s="168">
        <v>-1.6</v>
      </c>
      <c r="AQ1384" s="169">
        <v>1.8</v>
      </c>
      <c r="AR1384" s="170">
        <v>34</v>
      </c>
      <c r="AT1384" s="165">
        <v>24</v>
      </c>
      <c r="AU1384" s="167">
        <v>10.211267605633804</v>
      </c>
      <c r="AV1384" s="168">
        <v>-1.3</v>
      </c>
      <c r="AW1384" s="169">
        <v>2.4</v>
      </c>
      <c r="AX1384" s="170">
        <v>37</v>
      </c>
      <c r="BL1384" s="165">
        <v>33</v>
      </c>
      <c r="BM1384" s="167">
        <v>0.35335689045936397</v>
      </c>
      <c r="BN1384" s="168">
        <v>-2.7</v>
      </c>
      <c r="BO1384" s="169">
        <v>-0.4</v>
      </c>
      <c r="BP1384" s="170">
        <v>23</v>
      </c>
      <c r="BX1384" s="165">
        <v>413</v>
      </c>
      <c r="BY1384" s="167">
        <v>1.8485915492957745</v>
      </c>
      <c r="BZ1384" s="168">
        <v>-2.1</v>
      </c>
      <c r="CA1384" s="169">
        <v>0.8</v>
      </c>
      <c r="CB1384" s="170">
        <v>29</v>
      </c>
      <c r="CP1384" s="165">
        <v>227</v>
      </c>
      <c r="CQ1384" s="167">
        <v>3.9543057996485063</v>
      </c>
      <c r="CR1384" s="168">
        <v>-1.8</v>
      </c>
      <c r="CS1384" s="169">
        <v>1.4</v>
      </c>
      <c r="CT1384" s="170">
        <v>32</v>
      </c>
      <c r="DB1384" s="165">
        <v>62</v>
      </c>
      <c r="DC1384" s="167">
        <v>72.682926829268297</v>
      </c>
      <c r="DD1384" s="168">
        <v>0.6</v>
      </c>
      <c r="DE1384" s="169">
        <v>6.2</v>
      </c>
      <c r="DF1384" s="170">
        <v>56</v>
      </c>
    </row>
    <row r="1385" spans="28:110" ht="13.15" hidden="1" x14ac:dyDescent="0.25">
      <c r="AB1385" s="138" t="s">
        <v>326</v>
      </c>
      <c r="AC1385" s="139"/>
      <c r="AD1385" s="139"/>
      <c r="AE1385" s="140" t="s">
        <v>327</v>
      </c>
      <c r="AF1385" s="141">
        <v>569</v>
      </c>
      <c r="AN1385" s="165">
        <v>16</v>
      </c>
      <c r="AO1385" s="167">
        <v>6.602112676056338</v>
      </c>
      <c r="AP1385" s="168">
        <v>-1.5</v>
      </c>
      <c r="AQ1385" s="169">
        <v>2</v>
      </c>
      <c r="AR1385" s="170">
        <v>35</v>
      </c>
      <c r="AT1385" s="165">
        <v>23</v>
      </c>
      <c r="AU1385" s="167">
        <v>11.091549295774648</v>
      </c>
      <c r="AV1385" s="168">
        <v>-1.2</v>
      </c>
      <c r="AW1385" s="169">
        <v>2.6</v>
      </c>
      <c r="AX1385" s="170">
        <v>38</v>
      </c>
      <c r="BL1385" s="165">
        <v>32</v>
      </c>
      <c r="BM1385" s="167">
        <v>0.61837455830388688</v>
      </c>
      <c r="BN1385" s="168">
        <v>-2.5</v>
      </c>
      <c r="BO1385" s="169">
        <v>0</v>
      </c>
      <c r="BP1385" s="170">
        <v>25</v>
      </c>
      <c r="BX1385" s="165">
        <v>412</v>
      </c>
      <c r="BY1385" s="167">
        <v>1.8485915492957745</v>
      </c>
      <c r="BZ1385" s="168">
        <v>-2.1</v>
      </c>
      <c r="CA1385" s="169">
        <v>0.8</v>
      </c>
      <c r="CB1385" s="170">
        <v>29</v>
      </c>
      <c r="CP1385" s="165">
        <v>226</v>
      </c>
      <c r="CQ1385" s="167">
        <v>3.9543057996485063</v>
      </c>
      <c r="CR1385" s="168">
        <v>-1.8</v>
      </c>
      <c r="CS1385" s="169">
        <v>1.4</v>
      </c>
      <c r="CT1385" s="170">
        <v>32</v>
      </c>
      <c r="DB1385" s="165">
        <v>63</v>
      </c>
      <c r="DC1385" s="167">
        <v>75.487804878048777</v>
      </c>
      <c r="DD1385" s="168">
        <v>0.7</v>
      </c>
      <c r="DE1385" s="169">
        <v>6.4</v>
      </c>
      <c r="DF1385" s="170">
        <v>57</v>
      </c>
    </row>
    <row r="1386" spans="28:110" hidden="1" x14ac:dyDescent="0.2">
      <c r="AB1386" s="144" t="s">
        <v>161</v>
      </c>
      <c r="AD1386" s="20" t="s">
        <v>328</v>
      </c>
      <c r="AF1386" s="145"/>
      <c r="AN1386" s="165">
        <v>15</v>
      </c>
      <c r="AO1386" s="167">
        <v>7.922535211267606</v>
      </c>
      <c r="AP1386" s="168">
        <v>-1.4</v>
      </c>
      <c r="AQ1386" s="169">
        <v>2.2000000000000002</v>
      </c>
      <c r="AR1386" s="170">
        <v>36</v>
      </c>
      <c r="AT1386" s="165">
        <v>22</v>
      </c>
      <c r="AU1386" s="167">
        <v>11.70774647887324</v>
      </c>
      <c r="AV1386" s="168">
        <v>-1.2</v>
      </c>
      <c r="AW1386" s="169">
        <v>2.6</v>
      </c>
      <c r="AX1386" s="170">
        <v>38</v>
      </c>
      <c r="BL1386" s="165">
        <v>31</v>
      </c>
      <c r="BM1386" s="167">
        <v>0.61837455830388688</v>
      </c>
      <c r="BN1386" s="168">
        <v>-2.5</v>
      </c>
      <c r="BO1386" s="169">
        <v>0</v>
      </c>
      <c r="BP1386" s="170">
        <v>25</v>
      </c>
      <c r="BX1386" s="165">
        <v>411</v>
      </c>
      <c r="BY1386" s="167">
        <v>1.8485915492957745</v>
      </c>
      <c r="BZ1386" s="168">
        <v>-2.1</v>
      </c>
      <c r="CA1386" s="169">
        <v>0.8</v>
      </c>
      <c r="CB1386" s="170">
        <v>29</v>
      </c>
      <c r="CP1386" s="165">
        <v>225</v>
      </c>
      <c r="CQ1386" s="167">
        <v>3.9543057996485063</v>
      </c>
      <c r="CR1386" s="168">
        <v>-1.8</v>
      </c>
      <c r="CS1386" s="169">
        <v>1.4</v>
      </c>
      <c r="CT1386" s="170">
        <v>32</v>
      </c>
      <c r="DB1386" s="165">
        <v>64</v>
      </c>
      <c r="DC1386" s="167">
        <v>79.146341463414643</v>
      </c>
      <c r="DD1386" s="168">
        <v>0.8</v>
      </c>
      <c r="DE1386" s="169">
        <v>6.6</v>
      </c>
      <c r="DF1386" s="170">
        <v>58</v>
      </c>
    </row>
    <row r="1387" spans="28:110" ht="13.15" hidden="1" thickBot="1" x14ac:dyDescent="0.25">
      <c r="AB1387" s="181" t="s">
        <v>331</v>
      </c>
      <c r="AC1387" s="148"/>
      <c r="AD1387" s="148"/>
      <c r="AE1387" s="148"/>
      <c r="AF1387" s="149"/>
      <c r="AN1387" s="165">
        <v>14</v>
      </c>
      <c r="AO1387" s="167">
        <v>9.330985915492958</v>
      </c>
      <c r="AP1387" s="168">
        <v>-1.3</v>
      </c>
      <c r="AQ1387" s="169">
        <v>2.4</v>
      </c>
      <c r="AR1387" s="170">
        <v>37</v>
      </c>
      <c r="AT1387" s="165">
        <v>21</v>
      </c>
      <c r="AU1387" s="167">
        <v>12.764084507042254</v>
      </c>
      <c r="AV1387" s="168">
        <v>-1.1000000000000001</v>
      </c>
      <c r="AW1387" s="169">
        <v>2.8</v>
      </c>
      <c r="AX1387" s="170">
        <v>39</v>
      </c>
      <c r="BL1387" s="165">
        <v>30</v>
      </c>
      <c r="BM1387" s="167">
        <v>0.79505300353356878</v>
      </c>
      <c r="BN1387" s="168">
        <v>-2.4</v>
      </c>
      <c r="BO1387" s="169">
        <v>0.2</v>
      </c>
      <c r="BP1387" s="170">
        <v>26</v>
      </c>
      <c r="BX1387" s="165">
        <v>410</v>
      </c>
      <c r="BY1387" s="167">
        <v>1.8485915492957745</v>
      </c>
      <c r="BZ1387" s="168">
        <v>-2.1</v>
      </c>
      <c r="CA1387" s="169">
        <v>0.8</v>
      </c>
      <c r="CB1387" s="170">
        <v>29</v>
      </c>
      <c r="CP1387" s="165">
        <v>224</v>
      </c>
      <c r="CQ1387" s="167">
        <v>3.9543057996485063</v>
      </c>
      <c r="CR1387" s="168">
        <v>-1.8</v>
      </c>
      <c r="CS1387" s="169">
        <v>1.4</v>
      </c>
      <c r="CT1387" s="170">
        <v>32</v>
      </c>
      <c r="DB1387" s="165">
        <v>65</v>
      </c>
      <c r="DC1387" s="167">
        <v>82.317073170731703</v>
      </c>
      <c r="DD1387" s="168">
        <v>0.9</v>
      </c>
      <c r="DE1387" s="169">
        <v>6.8</v>
      </c>
      <c r="DF1387" s="170">
        <v>59</v>
      </c>
    </row>
    <row r="1388" spans="28:110" ht="13.15" hidden="1" thickBot="1" x14ac:dyDescent="0.25">
      <c r="AB1388" s="150" t="s">
        <v>164</v>
      </c>
      <c r="AC1388" s="151" t="s">
        <v>332</v>
      </c>
      <c r="AD1388" s="152"/>
      <c r="AE1388" s="152"/>
      <c r="AF1388" s="153"/>
      <c r="AN1388" s="165">
        <v>13</v>
      </c>
      <c r="AO1388" s="167">
        <v>11.091549295774648</v>
      </c>
      <c r="AP1388" s="168">
        <v>-1.2</v>
      </c>
      <c r="AQ1388" s="169">
        <v>2.6</v>
      </c>
      <c r="AR1388" s="170">
        <v>38</v>
      </c>
      <c r="AT1388" s="165">
        <v>20</v>
      </c>
      <c r="AU1388" s="167">
        <v>13.996478873239438</v>
      </c>
      <c r="AV1388" s="168">
        <v>-1.1000000000000001</v>
      </c>
      <c r="AW1388" s="169">
        <v>2.8</v>
      </c>
      <c r="AX1388" s="170">
        <v>39</v>
      </c>
      <c r="BL1388" s="165">
        <v>29</v>
      </c>
      <c r="BM1388" s="167">
        <v>1.0600706713780919</v>
      </c>
      <c r="BN1388" s="168">
        <v>-2.2999999999999998</v>
      </c>
      <c r="BO1388" s="169">
        <v>0.4</v>
      </c>
      <c r="BP1388" s="170">
        <v>27</v>
      </c>
      <c r="BX1388" s="165">
        <v>409</v>
      </c>
      <c r="BY1388" s="167">
        <v>2.464788732394366</v>
      </c>
      <c r="BZ1388" s="168">
        <v>-2</v>
      </c>
      <c r="CA1388" s="169">
        <v>1</v>
      </c>
      <c r="CB1388" s="170">
        <v>30</v>
      </c>
      <c r="CP1388" s="165">
        <v>223</v>
      </c>
      <c r="CQ1388" s="167">
        <v>3.9543057996485063</v>
      </c>
      <c r="CR1388" s="168">
        <v>-1.8</v>
      </c>
      <c r="CS1388" s="169">
        <v>1.4</v>
      </c>
      <c r="CT1388" s="170">
        <v>32</v>
      </c>
      <c r="DB1388" s="165">
        <v>66</v>
      </c>
      <c r="DC1388" s="167">
        <v>84.756097560975604</v>
      </c>
      <c r="DD1388" s="168">
        <v>1</v>
      </c>
      <c r="DE1388" s="169">
        <v>7</v>
      </c>
      <c r="DF1388" s="170">
        <v>60</v>
      </c>
    </row>
    <row r="1389" spans="28:110" ht="13.15" hidden="1" thickBot="1" x14ac:dyDescent="0.25">
      <c r="AB1389" s="155" t="s">
        <v>10</v>
      </c>
      <c r="AC1389" s="156" t="s">
        <v>13</v>
      </c>
      <c r="AD1389" s="156" t="s">
        <v>14</v>
      </c>
      <c r="AE1389" s="156" t="s">
        <v>15</v>
      </c>
      <c r="AF1389" s="159" t="s">
        <v>16</v>
      </c>
      <c r="AN1389" s="165">
        <v>12</v>
      </c>
      <c r="AO1389" s="167">
        <v>12.940140845070422</v>
      </c>
      <c r="AP1389" s="168">
        <v>-1.1000000000000001</v>
      </c>
      <c r="AQ1389" s="169">
        <v>2.8</v>
      </c>
      <c r="AR1389" s="170">
        <v>39</v>
      </c>
      <c r="AT1389" s="165">
        <v>19</v>
      </c>
      <c r="AU1389" s="167">
        <v>14.876760563380282</v>
      </c>
      <c r="AV1389" s="168">
        <v>-1</v>
      </c>
      <c r="AW1389" s="169">
        <v>3</v>
      </c>
      <c r="AX1389" s="170">
        <v>40</v>
      </c>
      <c r="BL1389" s="165">
        <v>28</v>
      </c>
      <c r="BM1389" s="167">
        <v>1.4134275618374559</v>
      </c>
      <c r="BN1389" s="168">
        <v>-2.2000000000000002</v>
      </c>
      <c r="BO1389" s="169">
        <v>0.6</v>
      </c>
      <c r="BP1389" s="170">
        <v>28</v>
      </c>
      <c r="BX1389" s="165">
        <v>408</v>
      </c>
      <c r="BY1389" s="167">
        <v>2.464788732394366</v>
      </c>
      <c r="BZ1389" s="168">
        <v>-2</v>
      </c>
      <c r="CA1389" s="169">
        <v>1</v>
      </c>
      <c r="CB1389" s="170">
        <v>30</v>
      </c>
      <c r="CP1389" s="165">
        <v>222</v>
      </c>
      <c r="CQ1389" s="167">
        <v>3.9543057996485063</v>
      </c>
      <c r="CR1389" s="168">
        <v>-1.8</v>
      </c>
      <c r="CS1389" s="169">
        <v>1.4</v>
      </c>
      <c r="CT1389" s="170">
        <v>32</v>
      </c>
      <c r="DB1389" s="165">
        <v>67</v>
      </c>
      <c r="DC1389" s="167">
        <v>86.707317073170728</v>
      </c>
      <c r="DD1389" s="168">
        <v>1.1000000000000001</v>
      </c>
      <c r="DE1389" s="169">
        <v>7.2</v>
      </c>
      <c r="DF1389" s="170">
        <v>61</v>
      </c>
    </row>
    <row r="1390" spans="28:110" hidden="1" x14ac:dyDescent="0.2">
      <c r="AB1390" s="160">
        <v>0</v>
      </c>
      <c r="AC1390" s="161">
        <v>0</v>
      </c>
      <c r="AD1390" s="162">
        <v>-3.1</v>
      </c>
      <c r="AE1390" s="163">
        <v>-1.2</v>
      </c>
      <c r="AF1390" s="164">
        <v>19</v>
      </c>
      <c r="AN1390" s="165">
        <v>11</v>
      </c>
      <c r="AO1390" s="167">
        <v>14.964788732394366</v>
      </c>
      <c r="AP1390" s="168">
        <v>-1</v>
      </c>
      <c r="AQ1390" s="169">
        <v>3</v>
      </c>
      <c r="AR1390" s="170">
        <v>40</v>
      </c>
      <c r="AT1390" s="165">
        <v>18</v>
      </c>
      <c r="AU1390" s="167">
        <v>15.845070422535212</v>
      </c>
      <c r="AV1390" s="168">
        <v>-1</v>
      </c>
      <c r="AW1390" s="169">
        <v>3</v>
      </c>
      <c r="AX1390" s="170">
        <v>40</v>
      </c>
      <c r="BL1390" s="165">
        <v>27</v>
      </c>
      <c r="BM1390" s="167">
        <v>1.4134275618374559</v>
      </c>
      <c r="BN1390" s="168">
        <v>-2.2000000000000002</v>
      </c>
      <c r="BO1390" s="169">
        <v>0.6</v>
      </c>
      <c r="BP1390" s="170">
        <v>28</v>
      </c>
      <c r="BX1390" s="165">
        <v>407</v>
      </c>
      <c r="BY1390" s="167">
        <v>2.464788732394366</v>
      </c>
      <c r="BZ1390" s="168">
        <v>-2</v>
      </c>
      <c r="CA1390" s="169">
        <v>1</v>
      </c>
      <c r="CB1390" s="170">
        <v>30</v>
      </c>
      <c r="CP1390" s="165">
        <v>221</v>
      </c>
      <c r="CQ1390" s="167">
        <v>3.9543057996485063</v>
      </c>
      <c r="CR1390" s="168">
        <v>-1.8</v>
      </c>
      <c r="CS1390" s="169">
        <v>1.4</v>
      </c>
      <c r="CT1390" s="170">
        <v>32</v>
      </c>
      <c r="DB1390" s="165">
        <v>68</v>
      </c>
      <c r="DC1390" s="167">
        <v>87.804878048780495</v>
      </c>
      <c r="DD1390" s="168">
        <v>1.2</v>
      </c>
      <c r="DE1390" s="169">
        <v>7.4</v>
      </c>
      <c r="DF1390" s="170">
        <v>62</v>
      </c>
    </row>
    <row r="1391" spans="28:110" hidden="1" x14ac:dyDescent="0.2">
      <c r="AB1391" s="165">
        <v>1</v>
      </c>
      <c r="AC1391" s="167">
        <v>0</v>
      </c>
      <c r="AD1391" s="168">
        <v>-3.1</v>
      </c>
      <c r="AE1391" s="169">
        <v>-1.2</v>
      </c>
      <c r="AF1391" s="170">
        <v>19</v>
      </c>
      <c r="AN1391" s="165">
        <v>10</v>
      </c>
      <c r="AO1391" s="167">
        <v>18.397887323943664</v>
      </c>
      <c r="AP1391" s="168">
        <v>-0.9</v>
      </c>
      <c r="AQ1391" s="169">
        <v>3.2</v>
      </c>
      <c r="AR1391" s="170">
        <v>41</v>
      </c>
      <c r="AT1391" s="165">
        <v>17</v>
      </c>
      <c r="AU1391" s="167">
        <v>16.901408450704224</v>
      </c>
      <c r="AV1391" s="168">
        <v>-1</v>
      </c>
      <c r="AW1391" s="169">
        <v>3</v>
      </c>
      <c r="AX1391" s="170">
        <v>40</v>
      </c>
      <c r="BL1391" s="165">
        <v>26</v>
      </c>
      <c r="BM1391" s="167">
        <v>1.4134275618374559</v>
      </c>
      <c r="BN1391" s="168">
        <v>-2.2000000000000002</v>
      </c>
      <c r="BO1391" s="169">
        <v>0.6</v>
      </c>
      <c r="BP1391" s="170">
        <v>28</v>
      </c>
      <c r="BX1391" s="165">
        <v>406</v>
      </c>
      <c r="BY1391" s="167">
        <v>2.464788732394366</v>
      </c>
      <c r="BZ1391" s="168">
        <v>-2</v>
      </c>
      <c r="CA1391" s="169">
        <v>1</v>
      </c>
      <c r="CB1391" s="170">
        <v>30</v>
      </c>
      <c r="CP1391" s="165">
        <v>220</v>
      </c>
      <c r="CQ1391" s="167">
        <v>3.9543057996485063</v>
      </c>
      <c r="CR1391" s="168">
        <v>-1.8</v>
      </c>
      <c r="CS1391" s="169">
        <v>1.4</v>
      </c>
      <c r="CT1391" s="170">
        <v>32</v>
      </c>
      <c r="DB1391" s="165">
        <v>69</v>
      </c>
      <c r="DC1391" s="167">
        <v>89.024390243902445</v>
      </c>
      <c r="DD1391" s="168">
        <v>1.2</v>
      </c>
      <c r="DE1391" s="169">
        <v>7.4</v>
      </c>
      <c r="DF1391" s="170">
        <v>62</v>
      </c>
    </row>
    <row r="1392" spans="28:110" hidden="1" x14ac:dyDescent="0.2">
      <c r="AB1392" s="165">
        <v>2</v>
      </c>
      <c r="AC1392" s="167">
        <v>0</v>
      </c>
      <c r="AD1392" s="168">
        <v>-3.1</v>
      </c>
      <c r="AE1392" s="169">
        <v>-1.2</v>
      </c>
      <c r="AF1392" s="170">
        <v>19</v>
      </c>
      <c r="AN1392" s="165">
        <v>9</v>
      </c>
      <c r="AO1392" s="167">
        <v>22.447183098591552</v>
      </c>
      <c r="AP1392" s="168">
        <v>-0.8</v>
      </c>
      <c r="AQ1392" s="169">
        <v>3.4</v>
      </c>
      <c r="AR1392" s="170">
        <v>42</v>
      </c>
      <c r="AT1392" s="165">
        <v>16</v>
      </c>
      <c r="AU1392" s="167">
        <v>18.75</v>
      </c>
      <c r="AV1392" s="168">
        <v>-0.9</v>
      </c>
      <c r="AW1392" s="169">
        <v>3.2</v>
      </c>
      <c r="AX1392" s="170">
        <v>41</v>
      </c>
      <c r="BL1392" s="165">
        <v>25</v>
      </c>
      <c r="BM1392" s="167">
        <v>1.7667844522968199</v>
      </c>
      <c r="BN1392" s="168">
        <v>-2.1</v>
      </c>
      <c r="BO1392" s="169">
        <v>0.8</v>
      </c>
      <c r="BP1392" s="170">
        <v>29</v>
      </c>
      <c r="BX1392" s="165">
        <v>405</v>
      </c>
      <c r="BY1392" s="167">
        <v>2.464788732394366</v>
      </c>
      <c r="BZ1392" s="168">
        <v>-2</v>
      </c>
      <c r="CA1392" s="169">
        <v>1</v>
      </c>
      <c r="CB1392" s="170">
        <v>30</v>
      </c>
      <c r="CP1392" s="165">
        <v>219</v>
      </c>
      <c r="CQ1392" s="167">
        <v>5.0087873462214407</v>
      </c>
      <c r="CR1392" s="168">
        <v>-1.6</v>
      </c>
      <c r="CS1392" s="169">
        <v>1.8</v>
      </c>
      <c r="CT1392" s="170">
        <v>34</v>
      </c>
      <c r="DB1392" s="165">
        <v>70</v>
      </c>
      <c r="DC1392" s="167">
        <v>90.609756097560975</v>
      </c>
      <c r="DD1392" s="168">
        <v>1.3</v>
      </c>
      <c r="DE1392" s="169">
        <v>7.6</v>
      </c>
      <c r="DF1392" s="170">
        <v>63</v>
      </c>
    </row>
    <row r="1393" spans="28:110" hidden="1" x14ac:dyDescent="0.2">
      <c r="AB1393" s="165">
        <v>3</v>
      </c>
      <c r="AC1393" s="167">
        <v>0</v>
      </c>
      <c r="AD1393" s="168">
        <v>-3.1</v>
      </c>
      <c r="AE1393" s="169">
        <v>-1.2</v>
      </c>
      <c r="AF1393" s="170">
        <v>19</v>
      </c>
      <c r="AN1393" s="165">
        <v>8</v>
      </c>
      <c r="AO1393" s="167">
        <v>26.848591549295776</v>
      </c>
      <c r="AP1393" s="168">
        <v>-0.6</v>
      </c>
      <c r="AQ1393" s="169">
        <v>3.8</v>
      </c>
      <c r="AR1393" s="170">
        <v>44</v>
      </c>
      <c r="AT1393" s="165">
        <v>15</v>
      </c>
      <c r="AU1393" s="167">
        <v>21.47887323943662</v>
      </c>
      <c r="AV1393" s="168">
        <v>-0.8</v>
      </c>
      <c r="AW1393" s="169">
        <v>3.4</v>
      </c>
      <c r="AX1393" s="170">
        <v>42</v>
      </c>
      <c r="BL1393" s="165">
        <v>24</v>
      </c>
      <c r="BM1393" s="167">
        <v>2.0318021201413425</v>
      </c>
      <c r="BN1393" s="168">
        <v>-2.1</v>
      </c>
      <c r="BO1393" s="169">
        <v>0.8</v>
      </c>
      <c r="BP1393" s="170">
        <v>29</v>
      </c>
      <c r="BX1393" s="165">
        <v>404</v>
      </c>
      <c r="BY1393" s="167">
        <v>2.464788732394366</v>
      </c>
      <c r="BZ1393" s="168">
        <v>-2</v>
      </c>
      <c r="CA1393" s="169">
        <v>1</v>
      </c>
      <c r="CB1393" s="170">
        <v>30</v>
      </c>
      <c r="CP1393" s="165">
        <v>218</v>
      </c>
      <c r="CQ1393" s="167">
        <v>5.0087873462214407</v>
      </c>
      <c r="CR1393" s="168">
        <v>-1.6</v>
      </c>
      <c r="CS1393" s="169">
        <v>1.8</v>
      </c>
      <c r="CT1393" s="170">
        <v>34</v>
      </c>
      <c r="DB1393" s="165">
        <v>71</v>
      </c>
      <c r="DC1393" s="167">
        <v>91.707317073170742</v>
      </c>
      <c r="DD1393" s="168">
        <v>1.4</v>
      </c>
      <c r="DE1393" s="169">
        <v>7.8</v>
      </c>
      <c r="DF1393" s="170">
        <v>64</v>
      </c>
    </row>
    <row r="1394" spans="28:110" hidden="1" x14ac:dyDescent="0.2">
      <c r="AB1394" s="165">
        <v>4</v>
      </c>
      <c r="AC1394" s="167">
        <v>0.26362038664323373</v>
      </c>
      <c r="AD1394" s="168">
        <v>-2.8</v>
      </c>
      <c r="AE1394" s="169">
        <v>-0.6</v>
      </c>
      <c r="AF1394" s="170">
        <v>22</v>
      </c>
      <c r="AN1394" s="165">
        <v>7</v>
      </c>
      <c r="AO1394" s="167">
        <v>32.130281690140841</v>
      </c>
      <c r="AP1394" s="168">
        <v>-0.5</v>
      </c>
      <c r="AQ1394" s="169">
        <v>4</v>
      </c>
      <c r="AR1394" s="170">
        <v>45</v>
      </c>
      <c r="AT1394" s="165">
        <v>14</v>
      </c>
      <c r="AU1394" s="167">
        <v>24.295774647887324</v>
      </c>
      <c r="AV1394" s="168">
        <v>-0.7</v>
      </c>
      <c r="AW1394" s="169">
        <v>3.6</v>
      </c>
      <c r="AX1394" s="170">
        <v>43</v>
      </c>
      <c r="BL1394" s="165">
        <v>23</v>
      </c>
      <c r="BM1394" s="167">
        <v>2.2084805653710249</v>
      </c>
      <c r="BN1394" s="168">
        <v>-2</v>
      </c>
      <c r="BO1394" s="169">
        <v>1</v>
      </c>
      <c r="BP1394" s="170">
        <v>30</v>
      </c>
      <c r="BX1394" s="165">
        <v>403</v>
      </c>
      <c r="BY1394" s="167">
        <v>2.464788732394366</v>
      </c>
      <c r="BZ1394" s="168">
        <v>-2</v>
      </c>
      <c r="CA1394" s="169">
        <v>1</v>
      </c>
      <c r="CB1394" s="170">
        <v>30</v>
      </c>
      <c r="CP1394" s="165">
        <v>217</v>
      </c>
      <c r="CQ1394" s="167">
        <v>5.0087873462214407</v>
      </c>
      <c r="CR1394" s="168">
        <v>-1.6</v>
      </c>
      <c r="CS1394" s="169">
        <v>1.8</v>
      </c>
      <c r="CT1394" s="170">
        <v>34</v>
      </c>
      <c r="DB1394" s="165">
        <v>72</v>
      </c>
      <c r="DC1394" s="167">
        <v>92.682926829268297</v>
      </c>
      <c r="DD1394" s="168">
        <v>1.5</v>
      </c>
      <c r="DE1394" s="169">
        <v>8</v>
      </c>
      <c r="DF1394" s="170">
        <v>65</v>
      </c>
    </row>
    <row r="1395" spans="28:110" hidden="1" x14ac:dyDescent="0.2">
      <c r="AB1395" s="165">
        <v>5</v>
      </c>
      <c r="AC1395" s="167">
        <v>0.61511423550087874</v>
      </c>
      <c r="AD1395" s="168">
        <v>-2.5</v>
      </c>
      <c r="AE1395" s="169">
        <v>0</v>
      </c>
      <c r="AF1395" s="170">
        <v>25</v>
      </c>
      <c r="AN1395" s="165">
        <v>6</v>
      </c>
      <c r="AO1395" s="167">
        <v>38.468309859154928</v>
      </c>
      <c r="AP1395" s="168">
        <v>-0.3</v>
      </c>
      <c r="AQ1395" s="169">
        <v>4.4000000000000004</v>
      </c>
      <c r="AR1395" s="170">
        <v>47</v>
      </c>
      <c r="AT1395" s="165">
        <v>13</v>
      </c>
      <c r="AU1395" s="167">
        <v>27.464788732394368</v>
      </c>
      <c r="AV1395" s="168">
        <v>-0.6</v>
      </c>
      <c r="AW1395" s="169">
        <v>3.8</v>
      </c>
      <c r="AX1395" s="170">
        <v>44</v>
      </c>
      <c r="BL1395" s="165">
        <v>22</v>
      </c>
      <c r="BM1395" s="167">
        <v>2.6501766784452299</v>
      </c>
      <c r="BN1395" s="168">
        <v>-1.9</v>
      </c>
      <c r="BO1395" s="169">
        <v>1.2</v>
      </c>
      <c r="BP1395" s="170">
        <v>31</v>
      </c>
      <c r="BX1395" s="165">
        <v>402</v>
      </c>
      <c r="BY1395" s="167">
        <v>2.464788732394366</v>
      </c>
      <c r="BZ1395" s="168">
        <v>-2</v>
      </c>
      <c r="CA1395" s="169">
        <v>1</v>
      </c>
      <c r="CB1395" s="170">
        <v>30</v>
      </c>
      <c r="CP1395" s="165">
        <v>216</v>
      </c>
      <c r="CQ1395" s="167">
        <v>5.0087873462214407</v>
      </c>
      <c r="CR1395" s="168">
        <v>-1.6</v>
      </c>
      <c r="CS1395" s="169">
        <v>1.8</v>
      </c>
      <c r="CT1395" s="170">
        <v>34</v>
      </c>
      <c r="DB1395" s="165">
        <v>73</v>
      </c>
      <c r="DC1395" s="167">
        <v>93.658536585365866</v>
      </c>
      <c r="DD1395" s="168">
        <v>1.5</v>
      </c>
      <c r="DE1395" s="169">
        <v>8</v>
      </c>
      <c r="DF1395" s="170">
        <v>65</v>
      </c>
    </row>
    <row r="1396" spans="28:110" hidden="1" x14ac:dyDescent="0.2">
      <c r="AB1396" s="165">
        <v>6</v>
      </c>
      <c r="AC1396" s="167">
        <v>0.96660808435852363</v>
      </c>
      <c r="AD1396" s="168">
        <v>-2.2999999999999998</v>
      </c>
      <c r="AE1396" s="169">
        <v>0.4</v>
      </c>
      <c r="AF1396" s="170">
        <v>27</v>
      </c>
      <c r="AN1396" s="165">
        <v>5</v>
      </c>
      <c r="AO1396" s="167">
        <v>45.510563380281688</v>
      </c>
      <c r="AP1396" s="168">
        <v>-0.1</v>
      </c>
      <c r="AQ1396" s="169">
        <v>4.8</v>
      </c>
      <c r="AR1396" s="170">
        <v>49</v>
      </c>
      <c r="AT1396" s="165">
        <v>12</v>
      </c>
      <c r="AU1396" s="167">
        <v>30.985915492957744</v>
      </c>
      <c r="AV1396" s="168">
        <v>-0.5</v>
      </c>
      <c r="AW1396" s="169">
        <v>4</v>
      </c>
      <c r="AX1396" s="170">
        <v>45</v>
      </c>
      <c r="BL1396" s="165">
        <v>21</v>
      </c>
      <c r="BM1396" s="167">
        <v>3.3568904593639579</v>
      </c>
      <c r="BN1396" s="168">
        <v>-1.8</v>
      </c>
      <c r="BO1396" s="169">
        <v>1.4</v>
      </c>
      <c r="BP1396" s="170">
        <v>32</v>
      </c>
      <c r="BX1396" s="165">
        <v>401</v>
      </c>
      <c r="BY1396" s="167">
        <v>2.464788732394366</v>
      </c>
      <c r="BZ1396" s="168">
        <v>-2</v>
      </c>
      <c r="CA1396" s="169">
        <v>1</v>
      </c>
      <c r="CB1396" s="170">
        <v>30</v>
      </c>
      <c r="CP1396" s="165">
        <v>215</v>
      </c>
      <c r="CQ1396" s="167">
        <v>5.0087873462214407</v>
      </c>
      <c r="CR1396" s="168">
        <v>-1.6</v>
      </c>
      <c r="CS1396" s="169">
        <v>1.8</v>
      </c>
      <c r="CT1396" s="170">
        <v>34</v>
      </c>
      <c r="DB1396" s="165">
        <v>74</v>
      </c>
      <c r="DC1396" s="167">
        <v>94.512195121951208</v>
      </c>
      <c r="DD1396" s="168">
        <v>1.6</v>
      </c>
      <c r="DE1396" s="169">
        <v>8.1999999999999993</v>
      </c>
      <c r="DF1396" s="170">
        <v>66</v>
      </c>
    </row>
    <row r="1397" spans="28:110" hidden="1" x14ac:dyDescent="0.2">
      <c r="AB1397" s="165">
        <v>7</v>
      </c>
      <c r="AC1397" s="167">
        <v>1.9332161687170473</v>
      </c>
      <c r="AD1397" s="168">
        <v>-2.1</v>
      </c>
      <c r="AE1397" s="169">
        <v>0.8</v>
      </c>
      <c r="AF1397" s="170">
        <v>29</v>
      </c>
      <c r="AN1397" s="165">
        <v>4</v>
      </c>
      <c r="AO1397" s="167">
        <v>53.345070422535215</v>
      </c>
      <c r="AP1397" s="168">
        <v>0.1</v>
      </c>
      <c r="AQ1397" s="169">
        <v>5.2</v>
      </c>
      <c r="AR1397" s="170">
        <v>51</v>
      </c>
      <c r="AT1397" s="165">
        <v>11</v>
      </c>
      <c r="AU1397" s="167">
        <v>35.2112676056338</v>
      </c>
      <c r="AV1397" s="168">
        <v>-0.4</v>
      </c>
      <c r="AW1397" s="169">
        <v>4.2</v>
      </c>
      <c r="AX1397" s="170">
        <v>46</v>
      </c>
      <c r="BL1397" s="165">
        <v>20</v>
      </c>
      <c r="BM1397" s="167">
        <v>4.328621908127209</v>
      </c>
      <c r="BN1397" s="168">
        <v>-1.7</v>
      </c>
      <c r="BO1397" s="169">
        <v>1.6</v>
      </c>
      <c r="BP1397" s="170">
        <v>33</v>
      </c>
      <c r="BX1397" s="165">
        <v>400</v>
      </c>
      <c r="BY1397" s="167">
        <v>2.464788732394366</v>
      </c>
      <c r="BZ1397" s="168">
        <v>-2</v>
      </c>
      <c r="CA1397" s="169">
        <v>1</v>
      </c>
      <c r="CB1397" s="170">
        <v>30</v>
      </c>
      <c r="CP1397" s="165">
        <v>214</v>
      </c>
      <c r="CQ1397" s="167">
        <v>5.0087873462214407</v>
      </c>
      <c r="CR1397" s="168">
        <v>-1.6</v>
      </c>
      <c r="CS1397" s="169">
        <v>1.8</v>
      </c>
      <c r="CT1397" s="170">
        <v>34</v>
      </c>
      <c r="DB1397" s="165">
        <v>75</v>
      </c>
      <c r="DC1397" s="167">
        <v>95.487804878048777</v>
      </c>
      <c r="DD1397" s="168">
        <v>1.7</v>
      </c>
      <c r="DE1397" s="169">
        <v>8.4</v>
      </c>
      <c r="DF1397" s="170">
        <v>67</v>
      </c>
    </row>
    <row r="1398" spans="28:110" hidden="1" x14ac:dyDescent="0.2">
      <c r="AB1398" s="165">
        <v>8</v>
      </c>
      <c r="AC1398" s="167">
        <v>3.690685413005272</v>
      </c>
      <c r="AD1398" s="168">
        <v>-1.8</v>
      </c>
      <c r="AE1398" s="169">
        <v>1.4</v>
      </c>
      <c r="AF1398" s="170">
        <v>32</v>
      </c>
      <c r="AN1398" s="165">
        <v>3</v>
      </c>
      <c r="AO1398" s="167">
        <v>63.380281690140848</v>
      </c>
      <c r="AP1398" s="168">
        <v>0.3</v>
      </c>
      <c r="AQ1398" s="169">
        <v>5.6</v>
      </c>
      <c r="AR1398" s="170">
        <v>53</v>
      </c>
      <c r="AT1398" s="165">
        <v>10</v>
      </c>
      <c r="AU1398" s="167">
        <v>40.052816901408448</v>
      </c>
      <c r="AV1398" s="168">
        <v>-0.3</v>
      </c>
      <c r="AW1398" s="169">
        <v>4.4000000000000004</v>
      </c>
      <c r="AX1398" s="170">
        <v>47</v>
      </c>
      <c r="BL1398" s="165">
        <v>19</v>
      </c>
      <c r="BM1398" s="167">
        <v>5.3886925795053005</v>
      </c>
      <c r="BN1398" s="168">
        <v>-1.6</v>
      </c>
      <c r="BO1398" s="169">
        <v>1.8</v>
      </c>
      <c r="BP1398" s="170">
        <v>34</v>
      </c>
      <c r="BX1398" s="165">
        <v>399</v>
      </c>
      <c r="BY1398" s="167">
        <v>2.992957746478873</v>
      </c>
      <c r="BZ1398" s="168">
        <v>-1.9</v>
      </c>
      <c r="CA1398" s="169">
        <v>1.2</v>
      </c>
      <c r="CB1398" s="170">
        <v>31</v>
      </c>
      <c r="CP1398" s="165">
        <v>213</v>
      </c>
      <c r="CQ1398" s="167">
        <v>5.0087873462214407</v>
      </c>
      <c r="CR1398" s="168">
        <v>-1.6</v>
      </c>
      <c r="CS1398" s="169">
        <v>1.8</v>
      </c>
      <c r="CT1398" s="170">
        <v>34</v>
      </c>
      <c r="DB1398" s="165">
        <v>76</v>
      </c>
      <c r="DC1398" s="167">
        <v>96.58536585365853</v>
      </c>
      <c r="DD1398" s="168">
        <v>1.8</v>
      </c>
      <c r="DE1398" s="169">
        <v>8.6</v>
      </c>
      <c r="DF1398" s="170">
        <v>68</v>
      </c>
    </row>
    <row r="1399" spans="28:110" hidden="1" x14ac:dyDescent="0.2">
      <c r="AB1399" s="165">
        <v>9</v>
      </c>
      <c r="AC1399" s="167">
        <v>8.4358523725834793</v>
      </c>
      <c r="AD1399" s="168">
        <v>-1.4</v>
      </c>
      <c r="AE1399" s="169">
        <v>2.2000000000000002</v>
      </c>
      <c r="AF1399" s="170">
        <v>36</v>
      </c>
      <c r="AN1399" s="165">
        <v>2</v>
      </c>
      <c r="AO1399" s="167">
        <v>74.207746478873233</v>
      </c>
      <c r="AP1399" s="168">
        <v>0.7</v>
      </c>
      <c r="AQ1399" s="169">
        <v>6.4</v>
      </c>
      <c r="AR1399" s="170">
        <v>57</v>
      </c>
      <c r="AT1399" s="165">
        <v>9</v>
      </c>
      <c r="AU1399" s="167">
        <v>44.982394366197184</v>
      </c>
      <c r="AV1399" s="168">
        <v>-0.1</v>
      </c>
      <c r="AW1399" s="169">
        <v>4.8</v>
      </c>
      <c r="AX1399" s="170">
        <v>49</v>
      </c>
      <c r="BL1399" s="165">
        <v>18</v>
      </c>
      <c r="BM1399" s="167">
        <v>6.6254416961130742</v>
      </c>
      <c r="BN1399" s="168">
        <v>-1.5</v>
      </c>
      <c r="BO1399" s="169">
        <v>2</v>
      </c>
      <c r="BP1399" s="170">
        <v>35</v>
      </c>
      <c r="BX1399" s="165">
        <v>398</v>
      </c>
      <c r="BY1399" s="167">
        <v>2.992957746478873</v>
      </c>
      <c r="BZ1399" s="168">
        <v>-1.9</v>
      </c>
      <c r="CA1399" s="169">
        <v>1.2</v>
      </c>
      <c r="CB1399" s="170">
        <v>31</v>
      </c>
      <c r="CP1399" s="165">
        <v>212</v>
      </c>
      <c r="CQ1399" s="167">
        <v>5.0087873462214407</v>
      </c>
      <c r="CR1399" s="168">
        <v>-1.6</v>
      </c>
      <c r="CS1399" s="169">
        <v>1.8</v>
      </c>
      <c r="CT1399" s="170">
        <v>34</v>
      </c>
      <c r="DB1399" s="165">
        <v>77</v>
      </c>
      <c r="DC1399" s="167">
        <v>97.682926829268297</v>
      </c>
      <c r="DD1399" s="168">
        <v>2</v>
      </c>
      <c r="DE1399" s="169">
        <v>9</v>
      </c>
      <c r="DF1399" s="170">
        <v>70</v>
      </c>
    </row>
    <row r="1400" spans="28:110" hidden="1" x14ac:dyDescent="0.2">
      <c r="AB1400" s="165">
        <v>10</v>
      </c>
      <c r="AC1400" s="167">
        <v>16.959578207381369</v>
      </c>
      <c r="AD1400" s="168">
        <v>-1</v>
      </c>
      <c r="AE1400" s="169">
        <v>3</v>
      </c>
      <c r="AF1400" s="170">
        <v>40</v>
      </c>
      <c r="AN1400" s="165">
        <v>1</v>
      </c>
      <c r="AO1400" s="167">
        <v>85.035211267605632</v>
      </c>
      <c r="AP1400" s="168">
        <v>1</v>
      </c>
      <c r="AQ1400" s="169">
        <v>7</v>
      </c>
      <c r="AR1400" s="170">
        <v>60</v>
      </c>
      <c r="AT1400" s="165">
        <v>8</v>
      </c>
      <c r="AU1400" s="167">
        <v>51.584507042253527</v>
      </c>
      <c r="AV1400" s="168">
        <v>0</v>
      </c>
      <c r="AW1400" s="169">
        <v>5</v>
      </c>
      <c r="AX1400" s="170">
        <v>50</v>
      </c>
      <c r="BL1400" s="165">
        <v>17</v>
      </c>
      <c r="BM1400" s="167">
        <v>9.0989399293286208</v>
      </c>
      <c r="BN1400" s="168">
        <v>-1.3</v>
      </c>
      <c r="BO1400" s="169">
        <v>2.4</v>
      </c>
      <c r="BP1400" s="170">
        <v>37</v>
      </c>
      <c r="BX1400" s="165">
        <v>397</v>
      </c>
      <c r="BY1400" s="167">
        <v>2.992957746478873</v>
      </c>
      <c r="BZ1400" s="168">
        <v>-1.9</v>
      </c>
      <c r="CA1400" s="169">
        <v>1.2</v>
      </c>
      <c r="CB1400" s="170">
        <v>31</v>
      </c>
      <c r="CP1400" s="165">
        <v>211</v>
      </c>
      <c r="CQ1400" s="167">
        <v>5.0087873462214407</v>
      </c>
      <c r="CR1400" s="168">
        <v>-1.6</v>
      </c>
      <c r="CS1400" s="169">
        <v>1.8</v>
      </c>
      <c r="CT1400" s="170">
        <v>34</v>
      </c>
      <c r="DB1400" s="165">
        <v>78</v>
      </c>
      <c r="DC1400" s="167">
        <v>98.414634146341456</v>
      </c>
      <c r="DD1400" s="168">
        <v>2.2000000000000002</v>
      </c>
      <c r="DE1400" s="169">
        <v>9.4</v>
      </c>
      <c r="DF1400" s="170">
        <v>72</v>
      </c>
    </row>
    <row r="1401" spans="28:110" ht="13.15" hidden="1" thickBot="1" x14ac:dyDescent="0.25">
      <c r="AB1401" s="165">
        <v>11</v>
      </c>
      <c r="AC1401" s="167">
        <v>28.822495606326886</v>
      </c>
      <c r="AD1401" s="168">
        <v>-0.6</v>
      </c>
      <c r="AE1401" s="169">
        <v>3.8</v>
      </c>
      <c r="AF1401" s="170">
        <v>44</v>
      </c>
      <c r="AN1401" s="172">
        <v>0</v>
      </c>
      <c r="AO1401" s="173">
        <v>95.33450704225352</v>
      </c>
      <c r="AP1401" s="174">
        <v>1.7</v>
      </c>
      <c r="AQ1401" s="175">
        <v>8.4</v>
      </c>
      <c r="AR1401" s="176">
        <v>67</v>
      </c>
      <c r="AT1401" s="165">
        <v>7</v>
      </c>
      <c r="AU1401" s="167">
        <v>58.802816901408448</v>
      </c>
      <c r="AV1401" s="168">
        <v>0.2</v>
      </c>
      <c r="AW1401" s="169">
        <v>5.4</v>
      </c>
      <c r="AX1401" s="170">
        <v>52</v>
      </c>
      <c r="BL1401" s="165">
        <v>16</v>
      </c>
      <c r="BM1401" s="167">
        <v>12.455830388692579</v>
      </c>
      <c r="BN1401" s="168">
        <v>-1.2</v>
      </c>
      <c r="BO1401" s="169">
        <v>2.6</v>
      </c>
      <c r="BP1401" s="170">
        <v>38</v>
      </c>
      <c r="BX1401" s="165">
        <v>396</v>
      </c>
      <c r="BY1401" s="167">
        <v>2.992957746478873</v>
      </c>
      <c r="BZ1401" s="168">
        <v>-1.9</v>
      </c>
      <c r="CA1401" s="169">
        <v>1.2</v>
      </c>
      <c r="CB1401" s="170">
        <v>31</v>
      </c>
      <c r="CP1401" s="165">
        <v>210</v>
      </c>
      <c r="CQ1401" s="167">
        <v>5.0087873462214407</v>
      </c>
      <c r="CR1401" s="168">
        <v>-1.6</v>
      </c>
      <c r="CS1401" s="169">
        <v>1.8</v>
      </c>
      <c r="CT1401" s="170">
        <v>34</v>
      </c>
      <c r="DB1401" s="165">
        <v>79</v>
      </c>
      <c r="DC1401" s="167">
        <v>98.780487804878049</v>
      </c>
      <c r="DD1401" s="168">
        <v>2.2999999999999998</v>
      </c>
      <c r="DE1401" s="169">
        <v>9.6</v>
      </c>
      <c r="DF1401" s="170">
        <v>73</v>
      </c>
    </row>
    <row r="1402" spans="28:110" hidden="1" x14ac:dyDescent="0.2">
      <c r="AB1402" s="165">
        <v>12</v>
      </c>
      <c r="AC1402" s="167">
        <v>44.903339191564143</v>
      </c>
      <c r="AD1402" s="168">
        <v>-0.1</v>
      </c>
      <c r="AE1402" s="169">
        <v>4.8</v>
      </c>
      <c r="AF1402" s="170">
        <v>49</v>
      </c>
      <c r="AT1402" s="165">
        <v>6</v>
      </c>
      <c r="AU1402" s="167">
        <v>66.285211267605632</v>
      </c>
      <c r="AV1402" s="168">
        <v>0.4</v>
      </c>
      <c r="AW1402" s="169">
        <v>5.8</v>
      </c>
      <c r="AX1402" s="170">
        <v>54</v>
      </c>
      <c r="BL1402" s="165">
        <v>15</v>
      </c>
      <c r="BM1402" s="167">
        <v>16.607773851590103</v>
      </c>
      <c r="BN1402" s="168">
        <v>-1</v>
      </c>
      <c r="BO1402" s="169">
        <v>3</v>
      </c>
      <c r="BP1402" s="170">
        <v>40</v>
      </c>
      <c r="BX1402" s="165">
        <v>395</v>
      </c>
      <c r="BY1402" s="167">
        <v>2.992957746478873</v>
      </c>
      <c r="BZ1402" s="168">
        <v>-1.9</v>
      </c>
      <c r="CA1402" s="169">
        <v>1.2</v>
      </c>
      <c r="CB1402" s="170">
        <v>31</v>
      </c>
      <c r="CP1402" s="165">
        <v>209</v>
      </c>
      <c r="CQ1402" s="167">
        <v>6.2390158172231986</v>
      </c>
      <c r="CR1402" s="168">
        <v>-1.5</v>
      </c>
      <c r="CS1402" s="169">
        <v>2</v>
      </c>
      <c r="CT1402" s="170">
        <v>35</v>
      </c>
      <c r="DB1402" s="165">
        <v>80</v>
      </c>
      <c r="DC1402" s="167">
        <v>99.146341463414629</v>
      </c>
      <c r="DD1402" s="168">
        <v>2.4</v>
      </c>
      <c r="DE1402" s="169">
        <v>9.8000000000000007</v>
      </c>
      <c r="DF1402" s="170">
        <v>74</v>
      </c>
    </row>
    <row r="1403" spans="28:110" ht="13.15" hidden="1" thickBot="1" x14ac:dyDescent="0.25">
      <c r="AB1403" s="165">
        <v>13</v>
      </c>
      <c r="AC1403" s="167">
        <v>62.917398945518457</v>
      </c>
      <c r="AD1403" s="168">
        <v>0.3</v>
      </c>
      <c r="AE1403" s="169">
        <v>5.6</v>
      </c>
      <c r="AF1403" s="170">
        <v>53</v>
      </c>
      <c r="AT1403" s="165">
        <v>5</v>
      </c>
      <c r="AU1403" s="167">
        <v>74.295774647887328</v>
      </c>
      <c r="AV1403" s="168">
        <v>0.7</v>
      </c>
      <c r="AW1403" s="169">
        <v>6.4</v>
      </c>
      <c r="AX1403" s="170">
        <v>57</v>
      </c>
      <c r="BL1403" s="165">
        <v>14</v>
      </c>
      <c r="BM1403" s="167">
        <v>22.261484098939928</v>
      </c>
      <c r="BN1403" s="168">
        <v>-0.8</v>
      </c>
      <c r="BO1403" s="169">
        <v>3.4</v>
      </c>
      <c r="BP1403" s="170">
        <v>42</v>
      </c>
      <c r="BX1403" s="165">
        <v>394</v>
      </c>
      <c r="BY1403" s="167">
        <v>2.992957746478873</v>
      </c>
      <c r="BZ1403" s="168">
        <v>-1.9</v>
      </c>
      <c r="CA1403" s="169">
        <v>1.2</v>
      </c>
      <c r="CB1403" s="170">
        <v>31</v>
      </c>
      <c r="CP1403" s="165">
        <v>208</v>
      </c>
      <c r="CQ1403" s="167">
        <v>6.2390158172231986</v>
      </c>
      <c r="CR1403" s="168">
        <v>-1.5</v>
      </c>
      <c r="CS1403" s="169">
        <v>2</v>
      </c>
      <c r="CT1403" s="170">
        <v>35</v>
      </c>
      <c r="DB1403" s="165">
        <v>81</v>
      </c>
      <c r="DC1403" s="167">
        <v>99.390243902439025</v>
      </c>
      <c r="DD1403" s="168">
        <v>2.5</v>
      </c>
      <c r="DE1403" s="169">
        <v>10</v>
      </c>
      <c r="DF1403" s="170">
        <v>75</v>
      </c>
    </row>
    <row r="1404" spans="28:110" ht="13.15" hidden="1" x14ac:dyDescent="0.25">
      <c r="AB1404" s="165">
        <v>14</v>
      </c>
      <c r="AC1404" s="167">
        <v>80.667838312829517</v>
      </c>
      <c r="AD1404" s="168">
        <v>0.9</v>
      </c>
      <c r="AE1404" s="169">
        <v>6.8</v>
      </c>
      <c r="AF1404" s="170">
        <v>59</v>
      </c>
      <c r="AN1404" s="138" t="s">
        <v>186</v>
      </c>
      <c r="AO1404" s="139"/>
      <c r="AP1404" s="139"/>
      <c r="AQ1404" s="140" t="s">
        <v>180</v>
      </c>
      <c r="AR1404" s="141">
        <v>568</v>
      </c>
      <c r="AT1404" s="165">
        <v>4</v>
      </c>
      <c r="AU1404" s="167">
        <v>81.073943661971825</v>
      </c>
      <c r="AV1404" s="168">
        <v>0.9</v>
      </c>
      <c r="AW1404" s="169">
        <v>6.8</v>
      </c>
      <c r="AX1404" s="170">
        <v>59</v>
      </c>
      <c r="BL1404" s="165">
        <v>13</v>
      </c>
      <c r="BM1404" s="167">
        <v>29.416961130742049</v>
      </c>
      <c r="BN1404" s="168">
        <v>-0.5</v>
      </c>
      <c r="BO1404" s="169">
        <v>4</v>
      </c>
      <c r="BP1404" s="170">
        <v>45</v>
      </c>
      <c r="BX1404" s="165">
        <v>393</v>
      </c>
      <c r="BY1404" s="167">
        <v>2.992957746478873</v>
      </c>
      <c r="BZ1404" s="168">
        <v>-1.9</v>
      </c>
      <c r="CA1404" s="169">
        <v>1.2</v>
      </c>
      <c r="CB1404" s="170">
        <v>31</v>
      </c>
      <c r="CP1404" s="165">
        <v>207</v>
      </c>
      <c r="CQ1404" s="167">
        <v>6.2390158172231986</v>
      </c>
      <c r="CR1404" s="168">
        <v>-1.5</v>
      </c>
      <c r="CS1404" s="169">
        <v>2</v>
      </c>
      <c r="CT1404" s="170">
        <v>35</v>
      </c>
      <c r="DB1404" s="165">
        <v>82</v>
      </c>
      <c r="DC1404" s="167">
        <v>99.634146341463421</v>
      </c>
      <c r="DD1404" s="168">
        <v>2.7</v>
      </c>
      <c r="DE1404" s="169">
        <v>10.4</v>
      </c>
      <c r="DF1404" s="170">
        <v>77</v>
      </c>
    </row>
    <row r="1405" spans="28:110" ht="13.15" hidden="1" thickBot="1" x14ac:dyDescent="0.25">
      <c r="AB1405" s="172">
        <v>15</v>
      </c>
      <c r="AC1405" s="173">
        <v>94.727592267135336</v>
      </c>
      <c r="AD1405" s="174">
        <v>1.6</v>
      </c>
      <c r="AE1405" s="175">
        <v>8.1999999999999993</v>
      </c>
      <c r="AF1405" s="176">
        <v>66</v>
      </c>
      <c r="AN1405" s="144" t="s">
        <v>161</v>
      </c>
      <c r="AP1405" s="20" t="s">
        <v>162</v>
      </c>
      <c r="AR1405" s="145"/>
      <c r="AT1405" s="165">
        <v>3</v>
      </c>
      <c r="AU1405" s="167">
        <v>87.235915492957744</v>
      </c>
      <c r="AV1405" s="168">
        <v>1.1000000000000001</v>
      </c>
      <c r="AW1405" s="169">
        <v>7.2</v>
      </c>
      <c r="AX1405" s="170">
        <v>61</v>
      </c>
      <c r="BL1405" s="165">
        <v>12</v>
      </c>
      <c r="BM1405" s="167">
        <v>39.045936395759718</v>
      </c>
      <c r="BN1405" s="168">
        <v>-0.3</v>
      </c>
      <c r="BO1405" s="169">
        <v>4.4000000000000004</v>
      </c>
      <c r="BP1405" s="170">
        <v>47</v>
      </c>
      <c r="BX1405" s="165">
        <v>392</v>
      </c>
      <c r="BY1405" s="167">
        <v>2.992957746478873</v>
      </c>
      <c r="BZ1405" s="168">
        <v>-1.9</v>
      </c>
      <c r="CA1405" s="169">
        <v>1.2</v>
      </c>
      <c r="CB1405" s="170">
        <v>31</v>
      </c>
      <c r="CP1405" s="165">
        <v>206</v>
      </c>
      <c r="CQ1405" s="167">
        <v>6.2390158172231986</v>
      </c>
      <c r="CR1405" s="168">
        <v>-1.5</v>
      </c>
      <c r="CS1405" s="169">
        <v>2</v>
      </c>
      <c r="CT1405" s="170">
        <v>35</v>
      </c>
      <c r="DB1405" s="165">
        <v>83</v>
      </c>
      <c r="DC1405" s="167">
        <v>99.634146341463421</v>
      </c>
      <c r="DD1405" s="168">
        <v>2.7</v>
      </c>
      <c r="DE1405" s="169">
        <v>10.4</v>
      </c>
      <c r="DF1405" s="170">
        <v>77</v>
      </c>
    </row>
    <row r="1406" spans="28:110" ht="13.15" hidden="1" thickBot="1" x14ac:dyDescent="0.25">
      <c r="AN1406" s="147" t="s">
        <v>197</v>
      </c>
      <c r="AO1406" s="148"/>
      <c r="AP1406" s="148"/>
      <c r="AQ1406" s="148"/>
      <c r="AR1406" s="149"/>
      <c r="AT1406" s="165">
        <v>2</v>
      </c>
      <c r="AU1406" s="167">
        <v>92.429577464788736</v>
      </c>
      <c r="AV1406" s="168">
        <v>1.4</v>
      </c>
      <c r="AW1406" s="169">
        <v>7.8</v>
      </c>
      <c r="AX1406" s="170">
        <v>64</v>
      </c>
      <c r="BL1406" s="165">
        <v>11</v>
      </c>
      <c r="BM1406" s="167">
        <v>49.028268551236749</v>
      </c>
      <c r="BN1406" s="168">
        <v>0</v>
      </c>
      <c r="BO1406" s="169">
        <v>5</v>
      </c>
      <c r="BP1406" s="170">
        <v>50</v>
      </c>
      <c r="BX1406" s="165">
        <v>391</v>
      </c>
      <c r="BY1406" s="167">
        <v>2.992957746478873</v>
      </c>
      <c r="BZ1406" s="168">
        <v>-1.9</v>
      </c>
      <c r="CA1406" s="169">
        <v>1.2</v>
      </c>
      <c r="CB1406" s="170">
        <v>31</v>
      </c>
      <c r="CP1406" s="165">
        <v>205</v>
      </c>
      <c r="CQ1406" s="167">
        <v>6.2390158172231986</v>
      </c>
      <c r="CR1406" s="168">
        <v>-1.5</v>
      </c>
      <c r="CS1406" s="169">
        <v>2</v>
      </c>
      <c r="CT1406" s="170">
        <v>35</v>
      </c>
      <c r="DB1406" s="165">
        <v>84</v>
      </c>
      <c r="DC1406" s="167">
        <v>99.634146341463421</v>
      </c>
      <c r="DD1406" s="168">
        <v>2.7</v>
      </c>
      <c r="DE1406" s="169">
        <v>10.4</v>
      </c>
      <c r="DF1406" s="170">
        <v>77</v>
      </c>
    </row>
    <row r="1407" spans="28:110" ht="13.15" hidden="1" thickBot="1" x14ac:dyDescent="0.25">
      <c r="AN1407" s="150" t="s">
        <v>164</v>
      </c>
      <c r="AO1407" s="151" t="s">
        <v>42</v>
      </c>
      <c r="AP1407" s="152"/>
      <c r="AQ1407" s="152"/>
      <c r="AR1407" s="153"/>
      <c r="AT1407" s="165">
        <v>1</v>
      </c>
      <c r="AU1407" s="167">
        <v>95.950704225352112</v>
      </c>
      <c r="AV1407" s="168">
        <v>1.7</v>
      </c>
      <c r="AW1407" s="169">
        <v>8.4</v>
      </c>
      <c r="AX1407" s="170">
        <v>67</v>
      </c>
      <c r="BL1407" s="165">
        <v>10</v>
      </c>
      <c r="BM1407" s="167">
        <v>59.982332155477039</v>
      </c>
      <c r="BN1407" s="168">
        <v>0.3</v>
      </c>
      <c r="BO1407" s="169">
        <v>5.6</v>
      </c>
      <c r="BP1407" s="170">
        <v>53</v>
      </c>
      <c r="BX1407" s="165">
        <v>390</v>
      </c>
      <c r="BY1407" s="167">
        <v>2.992957746478873</v>
      </c>
      <c r="BZ1407" s="168">
        <v>-1.9</v>
      </c>
      <c r="CA1407" s="169">
        <v>1.2</v>
      </c>
      <c r="CB1407" s="170">
        <v>31</v>
      </c>
      <c r="CP1407" s="165">
        <v>204</v>
      </c>
      <c r="CQ1407" s="167">
        <v>6.2390158172231986</v>
      </c>
      <c r="CR1407" s="168">
        <v>-1.5</v>
      </c>
      <c r="CS1407" s="169">
        <v>2</v>
      </c>
      <c r="CT1407" s="170">
        <v>35</v>
      </c>
      <c r="DB1407" s="165">
        <v>85</v>
      </c>
      <c r="DC1407" s="167">
        <v>99.634146341463421</v>
      </c>
      <c r="DD1407" s="168">
        <v>2.7</v>
      </c>
      <c r="DE1407" s="169">
        <v>10.4</v>
      </c>
      <c r="DF1407" s="170">
        <v>77</v>
      </c>
    </row>
    <row r="1408" spans="28:110" ht="13.8" hidden="1" thickBot="1" x14ac:dyDescent="0.3">
      <c r="AB1408" s="138" t="s">
        <v>326</v>
      </c>
      <c r="AC1408" s="139"/>
      <c r="AD1408" s="139"/>
      <c r="AE1408" s="140" t="s">
        <v>327</v>
      </c>
      <c r="AF1408" s="141">
        <v>569</v>
      </c>
      <c r="AN1408" s="155" t="s">
        <v>10</v>
      </c>
      <c r="AO1408" s="158" t="s">
        <v>13</v>
      </c>
      <c r="AP1408" s="156" t="s">
        <v>14</v>
      </c>
      <c r="AQ1408" s="156" t="s">
        <v>15</v>
      </c>
      <c r="AR1408" s="159" t="s">
        <v>16</v>
      </c>
      <c r="AT1408" s="172">
        <v>0</v>
      </c>
      <c r="AU1408" s="173">
        <v>98.679577464788736</v>
      </c>
      <c r="AV1408" s="174">
        <v>2.2000000000000002</v>
      </c>
      <c r="AW1408" s="175">
        <v>9.4</v>
      </c>
      <c r="AX1408" s="176">
        <v>72</v>
      </c>
      <c r="BL1408" s="165">
        <v>9</v>
      </c>
      <c r="BM1408" s="167">
        <v>72.526501766784463</v>
      </c>
      <c r="BN1408" s="168">
        <v>0.6</v>
      </c>
      <c r="BO1408" s="169">
        <v>6.2</v>
      </c>
      <c r="BP1408" s="170">
        <v>56</v>
      </c>
      <c r="BX1408" s="165">
        <v>389</v>
      </c>
      <c r="BY1408" s="167">
        <v>2.992957746478873</v>
      </c>
      <c r="BZ1408" s="168">
        <v>-1.9</v>
      </c>
      <c r="CA1408" s="169">
        <v>1.2</v>
      </c>
      <c r="CB1408" s="170">
        <v>31</v>
      </c>
      <c r="CP1408" s="165">
        <v>203</v>
      </c>
      <c r="CQ1408" s="167">
        <v>6.2390158172231986</v>
      </c>
      <c r="CR1408" s="168">
        <v>-1.5</v>
      </c>
      <c r="CS1408" s="169">
        <v>2</v>
      </c>
      <c r="CT1408" s="170">
        <v>35</v>
      </c>
      <c r="DB1408" s="172">
        <v>86</v>
      </c>
      <c r="DC1408" s="173">
        <v>99.634146341463421</v>
      </c>
      <c r="DD1408" s="174">
        <v>2.7</v>
      </c>
      <c r="DE1408" s="175">
        <v>10.4</v>
      </c>
      <c r="DF1408" s="176">
        <v>77</v>
      </c>
    </row>
    <row r="1409" spans="28:110" hidden="1" x14ac:dyDescent="0.2">
      <c r="AB1409" s="144" t="s">
        <v>161</v>
      </c>
      <c r="AD1409" s="20" t="s">
        <v>328</v>
      </c>
      <c r="AF1409" s="145"/>
      <c r="AN1409" s="160">
        <v>7</v>
      </c>
      <c r="AO1409" s="161">
        <v>0.70422535211267612</v>
      </c>
      <c r="AP1409" s="162">
        <v>-2.5</v>
      </c>
      <c r="AQ1409" s="163">
        <v>0</v>
      </c>
      <c r="AR1409" s="164">
        <v>25</v>
      </c>
      <c r="AT1409" s="36"/>
      <c r="AU1409" s="169"/>
      <c r="AV1409" s="186"/>
      <c r="AW1409" s="169"/>
      <c r="AX1409" s="36"/>
      <c r="BL1409" s="165">
        <v>8</v>
      </c>
      <c r="BM1409" s="167">
        <v>83.745583038869256</v>
      </c>
      <c r="BN1409" s="168">
        <v>1</v>
      </c>
      <c r="BO1409" s="169">
        <v>7</v>
      </c>
      <c r="BP1409" s="170">
        <v>60</v>
      </c>
      <c r="BX1409" s="165">
        <v>388</v>
      </c>
      <c r="BY1409" s="167">
        <v>2.992957746478873</v>
      </c>
      <c r="BZ1409" s="168">
        <v>-1.9</v>
      </c>
      <c r="CA1409" s="169">
        <v>1.2</v>
      </c>
      <c r="CB1409" s="170">
        <v>31</v>
      </c>
      <c r="CP1409" s="165">
        <v>202</v>
      </c>
      <c r="CQ1409" s="167">
        <v>6.2390158172231986</v>
      </c>
      <c r="CR1409" s="168">
        <v>-1.5</v>
      </c>
      <c r="CS1409" s="169">
        <v>2</v>
      </c>
      <c r="CT1409" s="170">
        <v>35</v>
      </c>
    </row>
    <row r="1410" spans="28:110" ht="13.15" hidden="1" thickBot="1" x14ac:dyDescent="0.25">
      <c r="AB1410" s="181" t="s">
        <v>333</v>
      </c>
      <c r="AC1410" s="148"/>
      <c r="AD1410" s="148"/>
      <c r="AE1410" s="148"/>
      <c r="AF1410" s="149"/>
      <c r="AN1410" s="165">
        <v>6</v>
      </c>
      <c r="AO1410" s="167">
        <v>1.7605633802816902</v>
      </c>
      <c r="AP1410" s="168">
        <v>-2.1</v>
      </c>
      <c r="AQ1410" s="169">
        <v>0.8</v>
      </c>
      <c r="AR1410" s="170">
        <v>29</v>
      </c>
      <c r="BL1410" s="165">
        <v>7</v>
      </c>
      <c r="BM1410" s="167">
        <v>91.961130742049463</v>
      </c>
      <c r="BN1410" s="168">
        <v>1.4</v>
      </c>
      <c r="BO1410" s="169">
        <v>7.8</v>
      </c>
      <c r="BP1410" s="170">
        <v>64</v>
      </c>
      <c r="BX1410" s="165">
        <v>387</v>
      </c>
      <c r="BY1410" s="167">
        <v>2.992957746478873</v>
      </c>
      <c r="BZ1410" s="168">
        <v>-1.9</v>
      </c>
      <c r="CA1410" s="169">
        <v>1.2</v>
      </c>
      <c r="CB1410" s="170">
        <v>31</v>
      </c>
      <c r="CP1410" s="165">
        <v>201</v>
      </c>
      <c r="CQ1410" s="167">
        <v>6.2390158172231986</v>
      </c>
      <c r="CR1410" s="168">
        <v>-1.5</v>
      </c>
      <c r="CS1410" s="169">
        <v>2</v>
      </c>
      <c r="CT1410" s="170">
        <v>35</v>
      </c>
    </row>
    <row r="1411" spans="28:110" ht="13.8" hidden="1" thickBot="1" x14ac:dyDescent="0.3">
      <c r="AB1411" s="150" t="s">
        <v>164</v>
      </c>
      <c r="AC1411" s="151" t="s">
        <v>334</v>
      </c>
      <c r="AD1411" s="152"/>
      <c r="AE1411" s="152"/>
      <c r="AF1411" s="153"/>
      <c r="AN1411" s="165">
        <v>5</v>
      </c>
      <c r="AO1411" s="167">
        <v>2.7288732394366195</v>
      </c>
      <c r="AP1411" s="168">
        <v>-1.9</v>
      </c>
      <c r="AQ1411" s="169">
        <v>1.2</v>
      </c>
      <c r="AR1411" s="170">
        <v>31</v>
      </c>
      <c r="AT1411" s="138" t="s">
        <v>203</v>
      </c>
      <c r="AU1411" s="139"/>
      <c r="AV1411" s="139"/>
      <c r="AW1411" s="140"/>
      <c r="AX1411" s="141" t="s">
        <v>167</v>
      </c>
      <c r="BL1411" s="165">
        <v>6</v>
      </c>
      <c r="BM1411" s="167">
        <v>96.289752650176681</v>
      </c>
      <c r="BN1411" s="168">
        <v>1.8</v>
      </c>
      <c r="BO1411" s="169">
        <v>8.6</v>
      </c>
      <c r="BP1411" s="170">
        <v>68</v>
      </c>
      <c r="BX1411" s="165">
        <v>386</v>
      </c>
      <c r="BY1411" s="167">
        <v>2.992957746478873</v>
      </c>
      <c r="BZ1411" s="168">
        <v>-1.9</v>
      </c>
      <c r="CA1411" s="169">
        <v>1.2</v>
      </c>
      <c r="CB1411" s="170">
        <v>31</v>
      </c>
      <c r="CP1411" s="165">
        <v>200</v>
      </c>
      <c r="CQ1411" s="167">
        <v>6.2390158172231986</v>
      </c>
      <c r="CR1411" s="168">
        <v>-1.5</v>
      </c>
      <c r="CS1411" s="169">
        <v>2</v>
      </c>
      <c r="CT1411" s="170">
        <v>35</v>
      </c>
      <c r="DB1411" s="138" t="s">
        <v>114</v>
      </c>
      <c r="DC1411" s="139"/>
      <c r="DD1411" s="139"/>
      <c r="DE1411" s="140" t="s">
        <v>215</v>
      </c>
      <c r="DF1411" s="141">
        <v>408</v>
      </c>
    </row>
    <row r="1412" spans="28:110" ht="13.15" hidden="1" thickBot="1" x14ac:dyDescent="0.25">
      <c r="AB1412" s="155" t="s">
        <v>10</v>
      </c>
      <c r="AC1412" s="156" t="s">
        <v>13</v>
      </c>
      <c r="AD1412" s="156" t="s">
        <v>14</v>
      </c>
      <c r="AE1412" s="156" t="s">
        <v>15</v>
      </c>
      <c r="AF1412" s="159" t="s">
        <v>16</v>
      </c>
      <c r="AN1412" s="165">
        <v>4</v>
      </c>
      <c r="AO1412" s="167">
        <v>4.137323943661972</v>
      </c>
      <c r="AP1412" s="168">
        <v>-1.7</v>
      </c>
      <c r="AQ1412" s="169">
        <v>1.6</v>
      </c>
      <c r="AR1412" s="170">
        <v>33</v>
      </c>
      <c r="AT1412" s="144" t="s">
        <v>161</v>
      </c>
      <c r="AV1412" s="20" t="s">
        <v>162</v>
      </c>
      <c r="AX1412" s="145"/>
      <c r="BL1412" s="165">
        <v>5</v>
      </c>
      <c r="BM1412" s="167">
        <v>98.4982332155477</v>
      </c>
      <c r="BN1412" s="168">
        <v>2.2000000000000002</v>
      </c>
      <c r="BO1412" s="169">
        <v>9.4</v>
      </c>
      <c r="BP1412" s="170">
        <v>72</v>
      </c>
      <c r="BX1412" s="165">
        <v>385</v>
      </c>
      <c r="BY1412" s="167">
        <v>2.992957746478873</v>
      </c>
      <c r="BZ1412" s="168">
        <v>-1.9</v>
      </c>
      <c r="CA1412" s="169">
        <v>1.2</v>
      </c>
      <c r="CB1412" s="170">
        <v>31</v>
      </c>
      <c r="CP1412" s="165">
        <v>199</v>
      </c>
      <c r="CQ1412" s="167">
        <v>7.4692442882249566</v>
      </c>
      <c r="CR1412" s="168">
        <v>-1.4</v>
      </c>
      <c r="CS1412" s="169">
        <v>2.2000000000000002</v>
      </c>
      <c r="CT1412" s="170">
        <v>36</v>
      </c>
      <c r="DB1412" s="144" t="s">
        <v>161</v>
      </c>
      <c r="DD1412" s="20" t="s">
        <v>162</v>
      </c>
      <c r="DF1412" s="145"/>
    </row>
    <row r="1413" spans="28:110" ht="13.15" hidden="1" thickBot="1" x14ac:dyDescent="0.25">
      <c r="AB1413" s="160">
        <v>0</v>
      </c>
      <c r="AC1413" s="161">
        <v>0</v>
      </c>
      <c r="AD1413" s="162">
        <v>-3.1</v>
      </c>
      <c r="AE1413" s="163">
        <v>-1.2</v>
      </c>
      <c r="AF1413" s="164">
        <v>19</v>
      </c>
      <c r="AN1413" s="165">
        <v>3</v>
      </c>
      <c r="AO1413" s="167">
        <v>6.8661971830985919</v>
      </c>
      <c r="AP1413" s="168">
        <v>-1.5</v>
      </c>
      <c r="AQ1413" s="169">
        <v>2</v>
      </c>
      <c r="AR1413" s="170">
        <v>35</v>
      </c>
      <c r="AT1413" s="147" t="s">
        <v>213</v>
      </c>
      <c r="AU1413" s="148"/>
      <c r="AV1413" s="148"/>
      <c r="AW1413" s="148"/>
      <c r="AX1413" s="149"/>
      <c r="BL1413" s="165">
        <v>4</v>
      </c>
      <c r="BM1413" s="167">
        <v>99.46996466431095</v>
      </c>
      <c r="BN1413" s="168">
        <v>2.6</v>
      </c>
      <c r="BO1413" s="169">
        <v>10.199999999999999</v>
      </c>
      <c r="BP1413" s="170">
        <v>76</v>
      </c>
      <c r="BX1413" s="165">
        <v>384</v>
      </c>
      <c r="BY1413" s="167">
        <v>2.992957746478873</v>
      </c>
      <c r="BZ1413" s="168">
        <v>-1.9</v>
      </c>
      <c r="CA1413" s="169">
        <v>1.2</v>
      </c>
      <c r="CB1413" s="170">
        <v>31</v>
      </c>
      <c r="CP1413" s="165">
        <v>198</v>
      </c>
      <c r="CQ1413" s="167">
        <v>7.4692442882249566</v>
      </c>
      <c r="CR1413" s="168">
        <v>-1.4</v>
      </c>
      <c r="CS1413" s="169">
        <v>2.2000000000000002</v>
      </c>
      <c r="CT1413" s="170">
        <v>36</v>
      </c>
      <c r="DB1413" s="181" t="s">
        <v>264</v>
      </c>
      <c r="DC1413" s="148"/>
      <c r="DD1413" s="148"/>
      <c r="DE1413" s="148"/>
      <c r="DF1413" s="149"/>
    </row>
    <row r="1414" spans="28:110" ht="13.15" hidden="1" thickBot="1" x14ac:dyDescent="0.25">
      <c r="AB1414" s="165">
        <v>1</v>
      </c>
      <c r="AC1414" s="167">
        <v>0</v>
      </c>
      <c r="AD1414" s="168">
        <v>-3.1</v>
      </c>
      <c r="AE1414" s="169">
        <v>-1.2</v>
      </c>
      <c r="AF1414" s="170">
        <v>19</v>
      </c>
      <c r="AN1414" s="165">
        <v>2</v>
      </c>
      <c r="AO1414" s="167">
        <v>12.5</v>
      </c>
      <c r="AP1414" s="168">
        <v>-1.2</v>
      </c>
      <c r="AQ1414" s="169">
        <v>2.6</v>
      </c>
      <c r="AR1414" s="170">
        <v>38</v>
      </c>
      <c r="AT1414" s="150" t="s">
        <v>164</v>
      </c>
      <c r="AU1414" s="151" t="s">
        <v>46</v>
      </c>
      <c r="AV1414" s="152"/>
      <c r="AW1414" s="152"/>
      <c r="AX1414" s="153"/>
      <c r="BL1414" s="172">
        <v>3</v>
      </c>
      <c r="BM1414" s="173">
        <v>99.823321554770317</v>
      </c>
      <c r="BN1414" s="174">
        <v>2.9</v>
      </c>
      <c r="BO1414" s="175">
        <v>10.8</v>
      </c>
      <c r="BP1414" s="176">
        <v>79</v>
      </c>
      <c r="BX1414" s="165">
        <v>383</v>
      </c>
      <c r="BY1414" s="167">
        <v>2.992957746478873</v>
      </c>
      <c r="BZ1414" s="168">
        <v>-1.9</v>
      </c>
      <c r="CA1414" s="169">
        <v>1.2</v>
      </c>
      <c r="CB1414" s="170">
        <v>31</v>
      </c>
      <c r="CP1414" s="165">
        <v>197</v>
      </c>
      <c r="CQ1414" s="167">
        <v>7.4692442882249566</v>
      </c>
      <c r="CR1414" s="168">
        <v>-1.4</v>
      </c>
      <c r="CS1414" s="169">
        <v>2.2000000000000002</v>
      </c>
      <c r="CT1414" s="170">
        <v>36</v>
      </c>
      <c r="DB1414" s="150" t="s">
        <v>164</v>
      </c>
      <c r="DC1414" s="151" t="s">
        <v>265</v>
      </c>
      <c r="DD1414" s="152"/>
      <c r="DE1414" s="152"/>
      <c r="DF1414" s="153"/>
    </row>
    <row r="1415" spans="28:110" ht="13.15" hidden="1" thickBot="1" x14ac:dyDescent="0.25">
      <c r="AB1415" s="165">
        <v>2</v>
      </c>
      <c r="AC1415" s="167">
        <v>0</v>
      </c>
      <c r="AD1415" s="168">
        <v>-3.1</v>
      </c>
      <c r="AE1415" s="169">
        <v>-1.2</v>
      </c>
      <c r="AF1415" s="170">
        <v>19</v>
      </c>
      <c r="AN1415" s="165">
        <v>1</v>
      </c>
      <c r="AO1415" s="167">
        <v>27.640845070422536</v>
      </c>
      <c r="AP1415" s="168">
        <v>-0.6</v>
      </c>
      <c r="AQ1415" s="169">
        <v>3.8</v>
      </c>
      <c r="AR1415" s="170">
        <v>44</v>
      </c>
      <c r="AT1415" s="155" t="s">
        <v>10</v>
      </c>
      <c r="AU1415" s="158" t="s">
        <v>13</v>
      </c>
      <c r="AV1415" s="156" t="s">
        <v>14</v>
      </c>
      <c r="AW1415" s="156" t="s">
        <v>15</v>
      </c>
      <c r="AX1415" s="159" t="s">
        <v>16</v>
      </c>
      <c r="BX1415" s="165">
        <v>382</v>
      </c>
      <c r="BY1415" s="167">
        <v>2.992957746478873</v>
      </c>
      <c r="BZ1415" s="168">
        <v>-1.9</v>
      </c>
      <c r="CA1415" s="169">
        <v>1.2</v>
      </c>
      <c r="CB1415" s="170">
        <v>31</v>
      </c>
      <c r="CP1415" s="165">
        <v>196</v>
      </c>
      <c r="CQ1415" s="167">
        <v>7.4692442882249566</v>
      </c>
      <c r="CR1415" s="168">
        <v>-1.4</v>
      </c>
      <c r="CS1415" s="169">
        <v>2.2000000000000002</v>
      </c>
      <c r="CT1415" s="170">
        <v>36</v>
      </c>
      <c r="DB1415" s="155" t="s">
        <v>10</v>
      </c>
      <c r="DC1415" s="158" t="s">
        <v>13</v>
      </c>
      <c r="DD1415" s="156" t="s">
        <v>14</v>
      </c>
      <c r="DE1415" s="156" t="s">
        <v>15</v>
      </c>
      <c r="DF1415" s="159" t="s">
        <v>16</v>
      </c>
    </row>
    <row r="1416" spans="28:110" ht="13.15" hidden="1" thickBot="1" x14ac:dyDescent="0.25">
      <c r="AB1416" s="165">
        <v>3</v>
      </c>
      <c r="AC1416" s="167">
        <v>8.8028169014084515E-2</v>
      </c>
      <c r="AD1416" s="168">
        <v>-3</v>
      </c>
      <c r="AE1416" s="169">
        <v>-1</v>
      </c>
      <c r="AF1416" s="170">
        <v>20</v>
      </c>
      <c r="AN1416" s="172">
        <v>0</v>
      </c>
      <c r="AO1416" s="173">
        <v>69.542253521126767</v>
      </c>
      <c r="AP1416" s="174">
        <v>0.5</v>
      </c>
      <c r="AQ1416" s="175">
        <v>6</v>
      </c>
      <c r="AR1416" s="176">
        <v>55</v>
      </c>
      <c r="AT1416" s="160">
        <v>20</v>
      </c>
      <c r="AU1416" s="161">
        <v>8.8028169014084515E-2</v>
      </c>
      <c r="AV1416" s="162">
        <v>-3</v>
      </c>
      <c r="AW1416" s="163">
        <v>-1</v>
      </c>
      <c r="AX1416" s="164">
        <v>20</v>
      </c>
      <c r="BX1416" s="165">
        <v>381</v>
      </c>
      <c r="BY1416" s="167">
        <v>2.992957746478873</v>
      </c>
      <c r="BZ1416" s="168">
        <v>-1.9</v>
      </c>
      <c r="CA1416" s="169">
        <v>1.2</v>
      </c>
      <c r="CB1416" s="170">
        <v>31</v>
      </c>
      <c r="CP1416" s="165">
        <v>195</v>
      </c>
      <c r="CQ1416" s="167">
        <v>7.4692442882249566</v>
      </c>
      <c r="CR1416" s="168">
        <v>-1.4</v>
      </c>
      <c r="CS1416" s="169">
        <v>2.2000000000000002</v>
      </c>
      <c r="CT1416" s="170">
        <v>36</v>
      </c>
      <c r="DB1416" s="160">
        <v>4</v>
      </c>
      <c r="DC1416" s="161">
        <v>0.12195121951219512</v>
      </c>
      <c r="DD1416" s="162">
        <v>-3</v>
      </c>
      <c r="DE1416" s="163">
        <v>-1</v>
      </c>
      <c r="DF1416" s="164">
        <v>20</v>
      </c>
    </row>
    <row r="1417" spans="28:110" hidden="1" x14ac:dyDescent="0.2">
      <c r="AB1417" s="165">
        <v>4</v>
      </c>
      <c r="AC1417" s="167">
        <v>0.17605633802816903</v>
      </c>
      <c r="AD1417" s="168">
        <v>-2.9</v>
      </c>
      <c r="AE1417" s="169">
        <v>-0.8</v>
      </c>
      <c r="AF1417" s="170">
        <v>21</v>
      </c>
      <c r="AT1417" s="165">
        <v>19</v>
      </c>
      <c r="AU1417" s="167">
        <v>0.35211267605633806</v>
      </c>
      <c r="AV1417" s="168">
        <v>-2.7</v>
      </c>
      <c r="AW1417" s="169">
        <v>-0.4</v>
      </c>
      <c r="AX1417" s="170">
        <v>23</v>
      </c>
      <c r="BX1417" s="165">
        <v>380</v>
      </c>
      <c r="BY1417" s="167">
        <v>2.992957746478873</v>
      </c>
      <c r="BZ1417" s="168">
        <v>-1.9</v>
      </c>
      <c r="CA1417" s="169">
        <v>1.2</v>
      </c>
      <c r="CB1417" s="170">
        <v>31</v>
      </c>
      <c r="CP1417" s="165">
        <v>194</v>
      </c>
      <c r="CQ1417" s="167">
        <v>7.4692442882249566</v>
      </c>
      <c r="CR1417" s="168">
        <v>-1.4</v>
      </c>
      <c r="CS1417" s="169">
        <v>2.2000000000000002</v>
      </c>
      <c r="CT1417" s="170">
        <v>36</v>
      </c>
      <c r="DB1417" s="165">
        <v>5</v>
      </c>
      <c r="DC1417" s="167">
        <v>0.36585365853658541</v>
      </c>
      <c r="DD1417" s="168">
        <v>-2.7</v>
      </c>
      <c r="DE1417" s="169">
        <v>-0.4</v>
      </c>
      <c r="DF1417" s="170">
        <v>23</v>
      </c>
    </row>
    <row r="1418" spans="28:110" ht="13.15" hidden="1" thickBot="1" x14ac:dyDescent="0.25">
      <c r="AB1418" s="165">
        <v>5</v>
      </c>
      <c r="AC1418" s="167">
        <v>0.2640845070422535</v>
      </c>
      <c r="AD1418" s="168">
        <v>-2.8</v>
      </c>
      <c r="AE1418" s="169">
        <v>-0.6</v>
      </c>
      <c r="AF1418" s="170">
        <v>22</v>
      </c>
      <c r="AT1418" s="165">
        <v>18</v>
      </c>
      <c r="AU1418" s="167">
        <v>0.61619718309859151</v>
      </c>
      <c r="AV1418" s="168">
        <v>-2.5</v>
      </c>
      <c r="AW1418" s="169">
        <v>0</v>
      </c>
      <c r="AX1418" s="170">
        <v>25</v>
      </c>
      <c r="BX1418" s="165">
        <v>379</v>
      </c>
      <c r="BY1418" s="167">
        <v>3.345070422535211</v>
      </c>
      <c r="BZ1418" s="168">
        <v>-1.8</v>
      </c>
      <c r="CA1418" s="169">
        <v>1.4</v>
      </c>
      <c r="CB1418" s="170">
        <v>32</v>
      </c>
      <c r="CP1418" s="165">
        <v>193</v>
      </c>
      <c r="CQ1418" s="167">
        <v>7.4692442882249566</v>
      </c>
      <c r="CR1418" s="168">
        <v>-1.4</v>
      </c>
      <c r="CS1418" s="169">
        <v>2.2000000000000002</v>
      </c>
      <c r="CT1418" s="170">
        <v>36</v>
      </c>
      <c r="DB1418" s="165">
        <v>6</v>
      </c>
      <c r="DC1418" s="167">
        <v>0.36585365853658541</v>
      </c>
      <c r="DD1418" s="168">
        <v>-2.7</v>
      </c>
      <c r="DE1418" s="169">
        <v>-0.4</v>
      </c>
      <c r="DF1418" s="170">
        <v>23</v>
      </c>
    </row>
    <row r="1419" spans="28:110" ht="13.15" hidden="1" x14ac:dyDescent="0.25">
      <c r="AB1419" s="165">
        <v>6</v>
      </c>
      <c r="AC1419" s="167">
        <v>0.528169014084507</v>
      </c>
      <c r="AD1419" s="168">
        <v>-2.6</v>
      </c>
      <c r="AE1419" s="169">
        <v>-0.2</v>
      </c>
      <c r="AF1419" s="170">
        <v>24</v>
      </c>
      <c r="AN1419" s="138" t="s">
        <v>186</v>
      </c>
      <c r="AO1419" s="139"/>
      <c r="AP1419" s="139"/>
      <c r="AQ1419" s="140" t="s">
        <v>180</v>
      </c>
      <c r="AR1419" s="141">
        <v>568</v>
      </c>
      <c r="AT1419" s="165">
        <v>17</v>
      </c>
      <c r="AU1419" s="167">
        <v>0.61619718309859151</v>
      </c>
      <c r="AV1419" s="168">
        <v>-2.5</v>
      </c>
      <c r="AW1419" s="169">
        <v>0</v>
      </c>
      <c r="AX1419" s="170">
        <v>25</v>
      </c>
      <c r="BX1419" s="165">
        <v>378</v>
      </c>
      <c r="BY1419" s="167">
        <v>3.345070422535211</v>
      </c>
      <c r="BZ1419" s="168">
        <v>-1.8</v>
      </c>
      <c r="CA1419" s="169">
        <v>1.4</v>
      </c>
      <c r="CB1419" s="170">
        <v>32</v>
      </c>
      <c r="CP1419" s="165">
        <v>192</v>
      </c>
      <c r="CQ1419" s="167">
        <v>7.4692442882249566</v>
      </c>
      <c r="CR1419" s="168">
        <v>-1.4</v>
      </c>
      <c r="CS1419" s="169">
        <v>2.2000000000000002</v>
      </c>
      <c r="CT1419" s="170">
        <v>36</v>
      </c>
      <c r="DB1419" s="165">
        <v>7</v>
      </c>
      <c r="DC1419" s="167">
        <v>0.6097560975609756</v>
      </c>
      <c r="DD1419" s="168">
        <v>-2.5</v>
      </c>
      <c r="DE1419" s="169">
        <v>0</v>
      </c>
      <c r="DF1419" s="170">
        <v>25</v>
      </c>
    </row>
    <row r="1420" spans="28:110" hidden="1" x14ac:dyDescent="0.2">
      <c r="AB1420" s="165">
        <v>7</v>
      </c>
      <c r="AC1420" s="167">
        <v>0.96830985915492951</v>
      </c>
      <c r="AD1420" s="168">
        <v>-2.2999999999999998</v>
      </c>
      <c r="AE1420" s="169">
        <v>0.4</v>
      </c>
      <c r="AF1420" s="170">
        <v>27</v>
      </c>
      <c r="AN1420" s="144" t="s">
        <v>161</v>
      </c>
      <c r="AP1420" s="20" t="s">
        <v>162</v>
      </c>
      <c r="AR1420" s="145"/>
      <c r="AT1420" s="165">
        <v>16</v>
      </c>
      <c r="AU1420" s="167">
        <v>0.79225352112676051</v>
      </c>
      <c r="AV1420" s="168">
        <v>-2.4</v>
      </c>
      <c r="AW1420" s="169">
        <v>0.2</v>
      </c>
      <c r="AX1420" s="170">
        <v>26</v>
      </c>
      <c r="BX1420" s="165">
        <v>377</v>
      </c>
      <c r="BY1420" s="167">
        <v>3.345070422535211</v>
      </c>
      <c r="BZ1420" s="168">
        <v>-1.8</v>
      </c>
      <c r="CA1420" s="169">
        <v>1.4</v>
      </c>
      <c r="CB1420" s="170">
        <v>32</v>
      </c>
      <c r="CP1420" s="165">
        <v>191</v>
      </c>
      <c r="CQ1420" s="167">
        <v>7.4692442882249566</v>
      </c>
      <c r="CR1420" s="168">
        <v>-1.4</v>
      </c>
      <c r="CS1420" s="169">
        <v>2.2000000000000002</v>
      </c>
      <c r="CT1420" s="170">
        <v>36</v>
      </c>
      <c r="DB1420" s="165">
        <v>8</v>
      </c>
      <c r="DC1420" s="167">
        <v>0.6097560975609756</v>
      </c>
      <c r="DD1420" s="168">
        <v>-2.5</v>
      </c>
      <c r="DE1420" s="169">
        <v>0</v>
      </c>
      <c r="DF1420" s="170">
        <v>25</v>
      </c>
    </row>
    <row r="1421" spans="28:110" ht="13.15" hidden="1" thickBot="1" x14ac:dyDescent="0.25">
      <c r="AB1421" s="165">
        <v>8</v>
      </c>
      <c r="AC1421" s="167">
        <v>1.936619718309859</v>
      </c>
      <c r="AD1421" s="168">
        <v>-2.1</v>
      </c>
      <c r="AE1421" s="169">
        <v>0.8</v>
      </c>
      <c r="AF1421" s="170">
        <v>29</v>
      </c>
      <c r="AN1421" s="147" t="s">
        <v>198</v>
      </c>
      <c r="AO1421" s="148"/>
      <c r="AP1421" s="148"/>
      <c r="AQ1421" s="148"/>
      <c r="AR1421" s="149"/>
      <c r="AT1421" s="165">
        <v>15</v>
      </c>
      <c r="AU1421" s="167">
        <v>0.79225352112676051</v>
      </c>
      <c r="AV1421" s="168">
        <v>-2.4</v>
      </c>
      <c r="AW1421" s="169">
        <v>0.2</v>
      </c>
      <c r="AX1421" s="170">
        <v>26</v>
      </c>
      <c r="BX1421" s="165">
        <v>376</v>
      </c>
      <c r="BY1421" s="167">
        <v>3.345070422535211</v>
      </c>
      <c r="BZ1421" s="168">
        <v>-1.8</v>
      </c>
      <c r="CA1421" s="169">
        <v>1.4</v>
      </c>
      <c r="CB1421" s="170">
        <v>32</v>
      </c>
      <c r="CP1421" s="165">
        <v>190</v>
      </c>
      <c r="CQ1421" s="167">
        <v>7.4692442882249566</v>
      </c>
      <c r="CR1421" s="168">
        <v>-1.4</v>
      </c>
      <c r="CS1421" s="169">
        <v>2.2000000000000002</v>
      </c>
      <c r="CT1421" s="170">
        <v>36</v>
      </c>
      <c r="DB1421" s="165">
        <v>9</v>
      </c>
      <c r="DC1421" s="167">
        <v>0.6097560975609756</v>
      </c>
      <c r="DD1421" s="168">
        <v>-2.5</v>
      </c>
      <c r="DE1421" s="169">
        <v>0</v>
      </c>
      <c r="DF1421" s="170">
        <v>25</v>
      </c>
    </row>
    <row r="1422" spans="28:110" ht="13.15" hidden="1" thickBot="1" x14ac:dyDescent="0.25">
      <c r="AB1422" s="165">
        <v>9</v>
      </c>
      <c r="AC1422" s="167">
        <v>4.137323943661972</v>
      </c>
      <c r="AD1422" s="168">
        <v>-1.7</v>
      </c>
      <c r="AE1422" s="169">
        <v>1.6</v>
      </c>
      <c r="AF1422" s="170">
        <v>33</v>
      </c>
      <c r="AN1422" s="150" t="s">
        <v>164</v>
      </c>
      <c r="AO1422" s="151" t="s">
        <v>34</v>
      </c>
      <c r="AP1422" s="152"/>
      <c r="AQ1422" s="152"/>
      <c r="AR1422" s="153"/>
      <c r="AT1422" s="165">
        <v>14</v>
      </c>
      <c r="AU1422" s="167">
        <v>0.79225352112676051</v>
      </c>
      <c r="AV1422" s="168">
        <v>-2.4</v>
      </c>
      <c r="AW1422" s="169">
        <v>0.2</v>
      </c>
      <c r="AX1422" s="170">
        <v>26</v>
      </c>
      <c r="BX1422" s="165">
        <v>375</v>
      </c>
      <c r="BY1422" s="167">
        <v>3.345070422535211</v>
      </c>
      <c r="BZ1422" s="168">
        <v>-1.8</v>
      </c>
      <c r="CA1422" s="169">
        <v>1.4</v>
      </c>
      <c r="CB1422" s="170">
        <v>32</v>
      </c>
      <c r="CP1422" s="165">
        <v>189</v>
      </c>
      <c r="CQ1422" s="167">
        <v>8.2601054481546576</v>
      </c>
      <c r="CR1422" s="168">
        <v>-1.4</v>
      </c>
      <c r="CS1422" s="169">
        <v>2.2000000000000002</v>
      </c>
      <c r="CT1422" s="170">
        <v>36</v>
      </c>
      <c r="DB1422" s="165">
        <v>10</v>
      </c>
      <c r="DC1422" s="167">
        <v>0.6097560975609756</v>
      </c>
      <c r="DD1422" s="168">
        <v>-2.5</v>
      </c>
      <c r="DE1422" s="169">
        <v>0</v>
      </c>
      <c r="DF1422" s="170">
        <v>25</v>
      </c>
    </row>
    <row r="1423" spans="28:110" ht="13.15" hidden="1" thickBot="1" x14ac:dyDescent="0.25">
      <c r="AB1423" s="165">
        <v>10</v>
      </c>
      <c r="AC1423" s="167">
        <v>9.2429577464788739</v>
      </c>
      <c r="AD1423" s="168">
        <v>-1.3</v>
      </c>
      <c r="AE1423" s="169">
        <v>2.4</v>
      </c>
      <c r="AF1423" s="170">
        <v>37</v>
      </c>
      <c r="AN1423" s="155" t="s">
        <v>10</v>
      </c>
      <c r="AO1423" s="156" t="s">
        <v>13</v>
      </c>
      <c r="AP1423" s="156" t="s">
        <v>14</v>
      </c>
      <c r="AQ1423" s="158" t="s">
        <v>15</v>
      </c>
      <c r="AR1423" s="159" t="s">
        <v>16</v>
      </c>
      <c r="AT1423" s="165">
        <v>13</v>
      </c>
      <c r="AU1423" s="167">
        <v>0.79225352112676051</v>
      </c>
      <c r="AV1423" s="168">
        <v>-2.4</v>
      </c>
      <c r="AW1423" s="169">
        <v>0.2</v>
      </c>
      <c r="AX1423" s="170">
        <v>26</v>
      </c>
      <c r="BX1423" s="165">
        <v>374</v>
      </c>
      <c r="BY1423" s="167">
        <v>3.345070422535211</v>
      </c>
      <c r="BZ1423" s="168">
        <v>-1.8</v>
      </c>
      <c r="CA1423" s="169">
        <v>1.4</v>
      </c>
      <c r="CB1423" s="170">
        <v>32</v>
      </c>
      <c r="CP1423" s="165">
        <v>188</v>
      </c>
      <c r="CQ1423" s="167">
        <v>8.2601054481546576</v>
      </c>
      <c r="CR1423" s="168">
        <v>-1.4</v>
      </c>
      <c r="CS1423" s="169">
        <v>2.2000000000000002</v>
      </c>
      <c r="CT1423" s="170">
        <v>36</v>
      </c>
      <c r="DB1423" s="165">
        <v>11</v>
      </c>
      <c r="DC1423" s="167">
        <v>0.6097560975609756</v>
      </c>
      <c r="DD1423" s="168">
        <v>-2.5</v>
      </c>
      <c r="DE1423" s="169">
        <v>0</v>
      </c>
      <c r="DF1423" s="170">
        <v>25</v>
      </c>
    </row>
    <row r="1424" spans="28:110" hidden="1" x14ac:dyDescent="0.2">
      <c r="AB1424" s="165">
        <v>11</v>
      </c>
      <c r="AC1424" s="167">
        <v>18.133802816901408</v>
      </c>
      <c r="AD1424" s="168">
        <v>-0.9</v>
      </c>
      <c r="AE1424" s="169">
        <v>3.2</v>
      </c>
      <c r="AF1424" s="170">
        <v>41</v>
      </c>
      <c r="AN1424" s="160">
        <v>40</v>
      </c>
      <c r="AO1424" s="161">
        <v>8.8028169014084515E-2</v>
      </c>
      <c r="AP1424" s="162">
        <v>-3</v>
      </c>
      <c r="AQ1424" s="163">
        <v>-1</v>
      </c>
      <c r="AR1424" s="164">
        <v>20</v>
      </c>
      <c r="AT1424" s="165">
        <v>12</v>
      </c>
      <c r="AU1424" s="167">
        <v>0.79225352112676051</v>
      </c>
      <c r="AV1424" s="168">
        <v>-2.4</v>
      </c>
      <c r="AW1424" s="169">
        <v>0.2</v>
      </c>
      <c r="AX1424" s="170">
        <v>26</v>
      </c>
      <c r="BX1424" s="165">
        <v>373</v>
      </c>
      <c r="BY1424" s="167">
        <v>3.345070422535211</v>
      </c>
      <c r="BZ1424" s="168">
        <v>-1.8</v>
      </c>
      <c r="CA1424" s="169">
        <v>1.4</v>
      </c>
      <c r="CB1424" s="170">
        <v>32</v>
      </c>
      <c r="CP1424" s="165">
        <v>187</v>
      </c>
      <c r="CQ1424" s="167">
        <v>8.2601054481546576</v>
      </c>
      <c r="CR1424" s="168">
        <v>-1.4</v>
      </c>
      <c r="CS1424" s="169">
        <v>2.2000000000000002</v>
      </c>
      <c r="CT1424" s="170">
        <v>36</v>
      </c>
      <c r="DB1424" s="165">
        <v>12</v>
      </c>
      <c r="DC1424" s="167">
        <v>0.6097560975609756</v>
      </c>
      <c r="DD1424" s="168">
        <v>-2.5</v>
      </c>
      <c r="DE1424" s="169">
        <v>0</v>
      </c>
      <c r="DF1424" s="170">
        <v>25</v>
      </c>
    </row>
    <row r="1425" spans="28:110" hidden="1" x14ac:dyDescent="0.2">
      <c r="AB1425" s="165">
        <v>12</v>
      </c>
      <c r="AC1425" s="167">
        <v>31.426056338028168</v>
      </c>
      <c r="AD1425" s="168">
        <v>-0.5</v>
      </c>
      <c r="AE1425" s="169">
        <v>4</v>
      </c>
      <c r="AF1425" s="170">
        <v>45</v>
      </c>
      <c r="AN1425" s="165">
        <v>39</v>
      </c>
      <c r="AO1425" s="167">
        <v>0.2640845070422535</v>
      </c>
      <c r="AP1425" s="168">
        <v>-2.8</v>
      </c>
      <c r="AQ1425" s="169">
        <v>-0.6</v>
      </c>
      <c r="AR1425" s="170">
        <v>22</v>
      </c>
      <c r="AT1425" s="165">
        <v>11</v>
      </c>
      <c r="AU1425" s="167">
        <v>0.79225352112676051</v>
      </c>
      <c r="AV1425" s="168">
        <v>-2.4</v>
      </c>
      <c r="AW1425" s="169">
        <v>0.2</v>
      </c>
      <c r="AX1425" s="170">
        <v>26</v>
      </c>
      <c r="BX1425" s="165">
        <v>372</v>
      </c>
      <c r="BY1425" s="167">
        <v>3.345070422535211</v>
      </c>
      <c r="BZ1425" s="168">
        <v>-1.8</v>
      </c>
      <c r="CA1425" s="169">
        <v>1.4</v>
      </c>
      <c r="CB1425" s="170">
        <v>32</v>
      </c>
      <c r="CP1425" s="165">
        <v>186</v>
      </c>
      <c r="CQ1425" s="167">
        <v>8.2601054481546576</v>
      </c>
      <c r="CR1425" s="168">
        <v>-1.4</v>
      </c>
      <c r="CS1425" s="169">
        <v>2.2000000000000002</v>
      </c>
      <c r="CT1425" s="170">
        <v>36</v>
      </c>
      <c r="DB1425" s="165">
        <v>13</v>
      </c>
      <c r="DC1425" s="167">
        <v>0.6097560975609756</v>
      </c>
      <c r="DD1425" s="168">
        <v>-2.5</v>
      </c>
      <c r="DE1425" s="169">
        <v>0</v>
      </c>
      <c r="DF1425" s="170">
        <v>25</v>
      </c>
    </row>
    <row r="1426" spans="28:110" hidden="1" x14ac:dyDescent="0.2">
      <c r="AB1426" s="165">
        <v>13</v>
      </c>
      <c r="AC1426" s="167">
        <v>47.7112676056338</v>
      </c>
      <c r="AD1426" s="168">
        <v>-0.1</v>
      </c>
      <c r="AE1426" s="169">
        <v>4.8</v>
      </c>
      <c r="AF1426" s="170">
        <v>49</v>
      </c>
      <c r="AN1426" s="165">
        <v>38</v>
      </c>
      <c r="AO1426" s="167">
        <v>0.61619718309859151</v>
      </c>
      <c r="AP1426" s="168">
        <v>-2.5</v>
      </c>
      <c r="AQ1426" s="169">
        <v>0</v>
      </c>
      <c r="AR1426" s="170">
        <v>25</v>
      </c>
      <c r="AT1426" s="165">
        <v>10</v>
      </c>
      <c r="AU1426" s="167">
        <v>0.96830985915492951</v>
      </c>
      <c r="AV1426" s="168">
        <v>-2.2999999999999998</v>
      </c>
      <c r="AW1426" s="169">
        <v>0.4</v>
      </c>
      <c r="AX1426" s="170">
        <v>27</v>
      </c>
      <c r="BX1426" s="165">
        <v>371</v>
      </c>
      <c r="BY1426" s="167">
        <v>3.345070422535211</v>
      </c>
      <c r="BZ1426" s="168">
        <v>-1.8</v>
      </c>
      <c r="CA1426" s="169">
        <v>1.4</v>
      </c>
      <c r="CB1426" s="170">
        <v>32</v>
      </c>
      <c r="CP1426" s="165">
        <v>185</v>
      </c>
      <c r="CQ1426" s="167">
        <v>8.2601054481546576</v>
      </c>
      <c r="CR1426" s="168">
        <v>-1.4</v>
      </c>
      <c r="CS1426" s="169">
        <v>2.2000000000000002</v>
      </c>
      <c r="CT1426" s="170">
        <v>36</v>
      </c>
      <c r="DB1426" s="165">
        <v>14</v>
      </c>
      <c r="DC1426" s="167">
        <v>0.85365853658536595</v>
      </c>
      <c r="DD1426" s="168">
        <v>-2.4</v>
      </c>
      <c r="DE1426" s="169">
        <v>0.2</v>
      </c>
      <c r="DF1426" s="170">
        <v>26</v>
      </c>
    </row>
    <row r="1427" spans="28:110" hidden="1" x14ac:dyDescent="0.2">
      <c r="AB1427" s="165">
        <v>14</v>
      </c>
      <c r="AC1427" s="167">
        <v>66.989436619718319</v>
      </c>
      <c r="AD1427" s="168">
        <v>0.4</v>
      </c>
      <c r="AE1427" s="169">
        <v>5.8</v>
      </c>
      <c r="AF1427" s="170">
        <v>54</v>
      </c>
      <c r="AN1427" s="165">
        <v>37</v>
      </c>
      <c r="AO1427" s="167">
        <v>0.61619718309859151</v>
      </c>
      <c r="AP1427" s="168">
        <v>-2.5</v>
      </c>
      <c r="AQ1427" s="169">
        <v>0</v>
      </c>
      <c r="AR1427" s="170">
        <v>25</v>
      </c>
      <c r="AT1427" s="165">
        <v>9</v>
      </c>
      <c r="AU1427" s="167">
        <v>0.96830985915492951</v>
      </c>
      <c r="AV1427" s="168">
        <v>-2.2999999999999998</v>
      </c>
      <c r="AW1427" s="169">
        <v>0.4</v>
      </c>
      <c r="AX1427" s="170">
        <v>27</v>
      </c>
      <c r="BX1427" s="165">
        <v>370</v>
      </c>
      <c r="BY1427" s="167">
        <v>3.345070422535211</v>
      </c>
      <c r="BZ1427" s="168">
        <v>-1.8</v>
      </c>
      <c r="CA1427" s="169">
        <v>1.4</v>
      </c>
      <c r="CB1427" s="170">
        <v>32</v>
      </c>
      <c r="CP1427" s="165">
        <v>184</v>
      </c>
      <c r="CQ1427" s="167">
        <v>8.2601054481546576</v>
      </c>
      <c r="CR1427" s="168">
        <v>-1.4</v>
      </c>
      <c r="CS1427" s="169">
        <v>2.2000000000000002</v>
      </c>
      <c r="CT1427" s="170">
        <v>36</v>
      </c>
      <c r="DB1427" s="165">
        <v>15</v>
      </c>
      <c r="DC1427" s="167">
        <v>0.85365853658536595</v>
      </c>
      <c r="DD1427" s="168">
        <v>-2.4</v>
      </c>
      <c r="DE1427" s="169">
        <v>0.2</v>
      </c>
      <c r="DF1427" s="170">
        <v>26</v>
      </c>
    </row>
    <row r="1428" spans="28:110" ht="13.15" hidden="1" thickBot="1" x14ac:dyDescent="0.25">
      <c r="AB1428" s="172">
        <v>15</v>
      </c>
      <c r="AC1428" s="173">
        <v>89.08450704225352</v>
      </c>
      <c r="AD1428" s="174">
        <v>1.2</v>
      </c>
      <c r="AE1428" s="175">
        <v>7.4</v>
      </c>
      <c r="AF1428" s="176">
        <v>62</v>
      </c>
      <c r="AN1428" s="165">
        <v>36</v>
      </c>
      <c r="AO1428" s="167">
        <v>0.61619718309859151</v>
      </c>
      <c r="AP1428" s="168">
        <v>-2.5</v>
      </c>
      <c r="AQ1428" s="169">
        <v>0</v>
      </c>
      <c r="AR1428" s="170">
        <v>25</v>
      </c>
      <c r="AT1428" s="165">
        <v>8</v>
      </c>
      <c r="AU1428" s="167">
        <v>1.1443661971830987</v>
      </c>
      <c r="AV1428" s="168">
        <v>-2.2999999999999998</v>
      </c>
      <c r="AW1428" s="169">
        <v>0.4</v>
      </c>
      <c r="AX1428" s="170">
        <v>27</v>
      </c>
      <c r="BX1428" s="165">
        <v>369</v>
      </c>
      <c r="BY1428" s="167">
        <v>3.697183098591549</v>
      </c>
      <c r="BZ1428" s="168">
        <v>-1.8</v>
      </c>
      <c r="CA1428" s="169">
        <v>1.4</v>
      </c>
      <c r="CB1428" s="170">
        <v>32</v>
      </c>
      <c r="CP1428" s="165">
        <v>183</v>
      </c>
      <c r="CQ1428" s="167">
        <v>8.2601054481546576</v>
      </c>
      <c r="CR1428" s="168">
        <v>-1.4</v>
      </c>
      <c r="CS1428" s="169">
        <v>2.2000000000000002</v>
      </c>
      <c r="CT1428" s="170">
        <v>36</v>
      </c>
      <c r="DB1428" s="165">
        <v>16</v>
      </c>
      <c r="DC1428" s="167">
        <v>1.097560975609756</v>
      </c>
      <c r="DD1428" s="168">
        <v>-2.2999999999999998</v>
      </c>
      <c r="DE1428" s="169">
        <v>0.4</v>
      </c>
      <c r="DF1428" s="170">
        <v>27</v>
      </c>
    </row>
    <row r="1429" spans="28:110" hidden="1" x14ac:dyDescent="0.2">
      <c r="AN1429" s="165">
        <v>35</v>
      </c>
      <c r="AO1429" s="167">
        <v>0.96830985915492951</v>
      </c>
      <c r="AP1429" s="168">
        <v>-2.2999999999999998</v>
      </c>
      <c r="AQ1429" s="169">
        <v>0.4</v>
      </c>
      <c r="AR1429" s="170">
        <v>27</v>
      </c>
      <c r="AT1429" s="165">
        <v>7</v>
      </c>
      <c r="AU1429" s="167">
        <v>1.4964788732394365</v>
      </c>
      <c r="AV1429" s="168">
        <v>-2.2000000000000002</v>
      </c>
      <c r="AW1429" s="169">
        <v>0.6</v>
      </c>
      <c r="AX1429" s="170">
        <v>28</v>
      </c>
      <c r="BX1429" s="165">
        <v>368</v>
      </c>
      <c r="BY1429" s="167">
        <v>3.697183098591549</v>
      </c>
      <c r="BZ1429" s="168">
        <v>-1.8</v>
      </c>
      <c r="CA1429" s="169">
        <v>1.4</v>
      </c>
      <c r="CB1429" s="170">
        <v>32</v>
      </c>
      <c r="CP1429" s="165">
        <v>182</v>
      </c>
      <c r="CQ1429" s="167">
        <v>8.2601054481546576</v>
      </c>
      <c r="CR1429" s="168">
        <v>-1.4</v>
      </c>
      <c r="CS1429" s="169">
        <v>2.2000000000000002</v>
      </c>
      <c r="CT1429" s="170">
        <v>36</v>
      </c>
      <c r="DB1429" s="165">
        <v>17</v>
      </c>
      <c r="DC1429" s="167">
        <v>1.3414634146341464</v>
      </c>
      <c r="DD1429" s="168">
        <v>-2.2000000000000002</v>
      </c>
      <c r="DE1429" s="169">
        <v>0.6</v>
      </c>
      <c r="DF1429" s="170">
        <v>28</v>
      </c>
    </row>
    <row r="1430" spans="28:110" hidden="1" x14ac:dyDescent="0.2">
      <c r="AN1430" s="165">
        <v>34</v>
      </c>
      <c r="AO1430" s="167">
        <v>0.96830985915492951</v>
      </c>
      <c r="AP1430" s="168">
        <v>-2.2999999999999998</v>
      </c>
      <c r="AQ1430" s="169">
        <v>0.4</v>
      </c>
      <c r="AR1430" s="170">
        <v>27</v>
      </c>
      <c r="AT1430" s="165">
        <v>6</v>
      </c>
      <c r="AU1430" s="167">
        <v>1.8485915492957745</v>
      </c>
      <c r="AV1430" s="168">
        <v>-2.1</v>
      </c>
      <c r="AW1430" s="169">
        <v>0.8</v>
      </c>
      <c r="AX1430" s="170">
        <v>29</v>
      </c>
      <c r="BX1430" s="165">
        <v>367</v>
      </c>
      <c r="BY1430" s="167">
        <v>3.697183098591549</v>
      </c>
      <c r="BZ1430" s="168">
        <v>-1.8</v>
      </c>
      <c r="CA1430" s="169">
        <v>1.4</v>
      </c>
      <c r="CB1430" s="170">
        <v>32</v>
      </c>
      <c r="CP1430" s="165">
        <v>181</v>
      </c>
      <c r="CQ1430" s="167">
        <v>8.2601054481546576</v>
      </c>
      <c r="CR1430" s="168">
        <v>-1.4</v>
      </c>
      <c r="CS1430" s="169">
        <v>2.2000000000000002</v>
      </c>
      <c r="CT1430" s="170">
        <v>36</v>
      </c>
      <c r="DB1430" s="165">
        <v>18</v>
      </c>
      <c r="DC1430" s="167">
        <v>1.8292682926829267</v>
      </c>
      <c r="DD1430" s="168">
        <v>-2.1</v>
      </c>
      <c r="DE1430" s="169">
        <v>0.8</v>
      </c>
      <c r="DF1430" s="170">
        <v>29</v>
      </c>
    </row>
    <row r="1431" spans="28:110" hidden="1" x14ac:dyDescent="0.2">
      <c r="AN1431" s="165">
        <v>33</v>
      </c>
      <c r="AO1431" s="167">
        <v>1.1443661971830987</v>
      </c>
      <c r="AP1431" s="168">
        <v>-2.2999999999999998</v>
      </c>
      <c r="AQ1431" s="169">
        <v>0.4</v>
      </c>
      <c r="AR1431" s="170">
        <v>27</v>
      </c>
      <c r="AT1431" s="165">
        <v>5</v>
      </c>
      <c r="AU1431" s="167">
        <v>2.2007042253521125</v>
      </c>
      <c r="AV1431" s="168">
        <v>-2</v>
      </c>
      <c r="AW1431" s="169">
        <v>1</v>
      </c>
      <c r="AX1431" s="170">
        <v>30</v>
      </c>
      <c r="BX1431" s="165">
        <v>366</v>
      </c>
      <c r="BY1431" s="167">
        <v>3.697183098591549</v>
      </c>
      <c r="BZ1431" s="168">
        <v>-1.8</v>
      </c>
      <c r="CA1431" s="169">
        <v>1.4</v>
      </c>
      <c r="CB1431" s="170">
        <v>32</v>
      </c>
      <c r="CP1431" s="165">
        <v>180</v>
      </c>
      <c r="CQ1431" s="167">
        <v>8.2601054481546576</v>
      </c>
      <c r="CR1431" s="168">
        <v>-1.4</v>
      </c>
      <c r="CS1431" s="169">
        <v>2.2000000000000002</v>
      </c>
      <c r="CT1431" s="170">
        <v>36</v>
      </c>
      <c r="DB1431" s="165">
        <v>19</v>
      </c>
      <c r="DC1431" s="167">
        <v>2.6829268292682928</v>
      </c>
      <c r="DD1431" s="168">
        <v>-1.9</v>
      </c>
      <c r="DE1431" s="169">
        <v>1.2</v>
      </c>
      <c r="DF1431" s="170">
        <v>31</v>
      </c>
    </row>
    <row r="1432" spans="28:110" hidden="1" x14ac:dyDescent="0.2">
      <c r="AN1432" s="165">
        <v>32</v>
      </c>
      <c r="AO1432" s="167">
        <v>1.1443661971830987</v>
      </c>
      <c r="AP1432" s="168">
        <v>-2.2999999999999998</v>
      </c>
      <c r="AQ1432" s="169">
        <v>0.4</v>
      </c>
      <c r="AR1432" s="170">
        <v>27</v>
      </c>
      <c r="AT1432" s="165">
        <v>4</v>
      </c>
      <c r="AU1432" s="167">
        <v>2.7288732394366195</v>
      </c>
      <c r="AV1432" s="168">
        <v>-1.9</v>
      </c>
      <c r="AW1432" s="169">
        <v>1.2</v>
      </c>
      <c r="AX1432" s="170">
        <v>31</v>
      </c>
      <c r="BX1432" s="165">
        <v>365</v>
      </c>
      <c r="BY1432" s="167">
        <v>3.697183098591549</v>
      </c>
      <c r="BZ1432" s="168">
        <v>-1.8</v>
      </c>
      <c r="CA1432" s="169">
        <v>1.4</v>
      </c>
      <c r="CB1432" s="170">
        <v>32</v>
      </c>
      <c r="CP1432" s="165">
        <v>179</v>
      </c>
      <c r="CQ1432" s="167">
        <v>9.6660808435852363</v>
      </c>
      <c r="CR1432" s="168">
        <v>-1.3</v>
      </c>
      <c r="CS1432" s="169">
        <v>2.4</v>
      </c>
      <c r="CT1432" s="170">
        <v>37</v>
      </c>
      <c r="DB1432" s="165">
        <v>20</v>
      </c>
      <c r="DC1432" s="167">
        <v>3.2926829268292686</v>
      </c>
      <c r="DD1432" s="168">
        <v>-1.8</v>
      </c>
      <c r="DE1432" s="169">
        <v>1.4</v>
      </c>
      <c r="DF1432" s="170">
        <v>32</v>
      </c>
    </row>
    <row r="1433" spans="28:110" hidden="1" x14ac:dyDescent="0.2">
      <c r="AN1433" s="165">
        <v>31</v>
      </c>
      <c r="AO1433" s="167">
        <v>1.4084507042253522</v>
      </c>
      <c r="AP1433" s="168">
        <v>-2.2000000000000002</v>
      </c>
      <c r="AQ1433" s="169">
        <v>0.6</v>
      </c>
      <c r="AR1433" s="170">
        <v>28</v>
      </c>
      <c r="AT1433" s="165">
        <v>3</v>
      </c>
      <c r="AU1433" s="167">
        <v>3.169014084507042</v>
      </c>
      <c r="AV1433" s="168">
        <v>-1.9</v>
      </c>
      <c r="AW1433" s="169">
        <v>1.2</v>
      </c>
      <c r="AX1433" s="170">
        <v>31</v>
      </c>
      <c r="BX1433" s="165">
        <v>364</v>
      </c>
      <c r="BY1433" s="167">
        <v>3.697183098591549</v>
      </c>
      <c r="BZ1433" s="168">
        <v>-1.8</v>
      </c>
      <c r="CA1433" s="169">
        <v>1.4</v>
      </c>
      <c r="CB1433" s="170">
        <v>32</v>
      </c>
      <c r="CP1433" s="165">
        <v>178</v>
      </c>
      <c r="CQ1433" s="167">
        <v>9.6660808435852363</v>
      </c>
      <c r="CR1433" s="168">
        <v>-1.3</v>
      </c>
      <c r="CS1433" s="169">
        <v>2.4</v>
      </c>
      <c r="CT1433" s="170">
        <v>37</v>
      </c>
      <c r="DB1433" s="165">
        <v>21</v>
      </c>
      <c r="DC1433" s="167">
        <v>3.5365853658536581</v>
      </c>
      <c r="DD1433" s="168">
        <v>-1.8</v>
      </c>
      <c r="DE1433" s="169">
        <v>1.4</v>
      </c>
      <c r="DF1433" s="170">
        <v>32</v>
      </c>
    </row>
    <row r="1434" spans="28:110" hidden="1" x14ac:dyDescent="0.2">
      <c r="AN1434" s="165">
        <v>30</v>
      </c>
      <c r="AO1434" s="167">
        <v>1.7605633802816902</v>
      </c>
      <c r="AP1434" s="168">
        <v>-2.1</v>
      </c>
      <c r="AQ1434" s="169">
        <v>0.8</v>
      </c>
      <c r="AR1434" s="170">
        <v>29</v>
      </c>
      <c r="AT1434" s="165">
        <v>2</v>
      </c>
      <c r="AU1434" s="167">
        <v>4.225352112676056</v>
      </c>
      <c r="AV1434" s="168">
        <v>-1.7</v>
      </c>
      <c r="AW1434" s="169">
        <v>1.6</v>
      </c>
      <c r="AX1434" s="170">
        <v>33</v>
      </c>
      <c r="BX1434" s="165">
        <v>363</v>
      </c>
      <c r="BY1434" s="167">
        <v>3.697183098591549</v>
      </c>
      <c r="BZ1434" s="168">
        <v>-1.8</v>
      </c>
      <c r="CA1434" s="169">
        <v>1.4</v>
      </c>
      <c r="CB1434" s="170">
        <v>32</v>
      </c>
      <c r="CP1434" s="165">
        <v>177</v>
      </c>
      <c r="CQ1434" s="167">
        <v>9.6660808435852363</v>
      </c>
      <c r="CR1434" s="168">
        <v>-1.3</v>
      </c>
      <c r="CS1434" s="169">
        <v>2.4</v>
      </c>
      <c r="CT1434" s="170">
        <v>37</v>
      </c>
      <c r="DB1434" s="165">
        <v>22</v>
      </c>
      <c r="DC1434" s="167">
        <v>3.7804878048780486</v>
      </c>
      <c r="DD1434" s="168">
        <v>-1.8</v>
      </c>
      <c r="DE1434" s="169">
        <v>1.4</v>
      </c>
      <c r="DF1434" s="170">
        <v>32</v>
      </c>
    </row>
    <row r="1435" spans="28:110" hidden="1" x14ac:dyDescent="0.2">
      <c r="AN1435" s="165">
        <v>29</v>
      </c>
      <c r="AO1435" s="167">
        <v>2.024647887323944</v>
      </c>
      <c r="AP1435" s="168">
        <v>-2.1</v>
      </c>
      <c r="AQ1435" s="169">
        <v>0.8</v>
      </c>
      <c r="AR1435" s="170">
        <v>29</v>
      </c>
      <c r="AT1435" s="165">
        <v>1</v>
      </c>
      <c r="AU1435" s="167">
        <v>8.274647887323944</v>
      </c>
      <c r="AV1435" s="168">
        <v>-1.4</v>
      </c>
      <c r="AW1435" s="169">
        <v>2.2000000000000002</v>
      </c>
      <c r="AX1435" s="170">
        <v>36</v>
      </c>
      <c r="BX1435" s="165">
        <v>362</v>
      </c>
      <c r="BY1435" s="167">
        <v>3.697183098591549</v>
      </c>
      <c r="BZ1435" s="168">
        <v>-1.8</v>
      </c>
      <c r="CA1435" s="169">
        <v>1.4</v>
      </c>
      <c r="CB1435" s="170">
        <v>32</v>
      </c>
      <c r="CP1435" s="165">
        <v>176</v>
      </c>
      <c r="CQ1435" s="167">
        <v>9.6660808435852363</v>
      </c>
      <c r="CR1435" s="168">
        <v>-1.3</v>
      </c>
      <c r="CS1435" s="169">
        <v>2.4</v>
      </c>
      <c r="CT1435" s="170">
        <v>37</v>
      </c>
      <c r="DB1435" s="165">
        <v>23</v>
      </c>
      <c r="DC1435" s="167">
        <v>4.1463414634146343</v>
      </c>
      <c r="DD1435" s="168">
        <v>-1.7</v>
      </c>
      <c r="DE1435" s="169">
        <v>1.6</v>
      </c>
      <c r="DF1435" s="170">
        <v>33</v>
      </c>
    </row>
    <row r="1436" spans="28:110" ht="13.15" hidden="1" thickBot="1" x14ac:dyDescent="0.25">
      <c r="AN1436" s="165">
        <v>28</v>
      </c>
      <c r="AO1436" s="167">
        <v>2.2007042253521125</v>
      </c>
      <c r="AP1436" s="168">
        <v>-2</v>
      </c>
      <c r="AQ1436" s="169">
        <v>1</v>
      </c>
      <c r="AR1436" s="170">
        <v>30</v>
      </c>
      <c r="AT1436" s="172">
        <v>0</v>
      </c>
      <c r="AU1436" s="173">
        <v>55.721830985915489</v>
      </c>
      <c r="AV1436" s="174">
        <v>0.1</v>
      </c>
      <c r="AW1436" s="175">
        <v>5.2</v>
      </c>
      <c r="AX1436" s="176">
        <v>51</v>
      </c>
      <c r="BX1436" s="165">
        <v>361</v>
      </c>
      <c r="BY1436" s="167">
        <v>3.697183098591549</v>
      </c>
      <c r="BZ1436" s="168">
        <v>-1.8</v>
      </c>
      <c r="CA1436" s="169">
        <v>1.4</v>
      </c>
      <c r="CB1436" s="170">
        <v>32</v>
      </c>
      <c r="CP1436" s="165">
        <v>175</v>
      </c>
      <c r="CQ1436" s="167">
        <v>9.6660808435852363</v>
      </c>
      <c r="CR1436" s="168">
        <v>-1.3</v>
      </c>
      <c r="CS1436" s="169">
        <v>2.4</v>
      </c>
      <c r="CT1436" s="170">
        <v>37</v>
      </c>
      <c r="DB1436" s="165">
        <v>24</v>
      </c>
      <c r="DC1436" s="167">
        <v>4.5121951219512191</v>
      </c>
      <c r="DD1436" s="168">
        <v>-1.7</v>
      </c>
      <c r="DE1436" s="169">
        <v>1.6</v>
      </c>
      <c r="DF1436" s="170">
        <v>33</v>
      </c>
    </row>
    <row r="1437" spans="28:110" hidden="1" x14ac:dyDescent="0.2">
      <c r="AN1437" s="165">
        <v>27</v>
      </c>
      <c r="AO1437" s="167">
        <v>2.464788732394366</v>
      </c>
      <c r="AP1437" s="168">
        <v>-2</v>
      </c>
      <c r="AQ1437" s="169">
        <v>1</v>
      </c>
      <c r="AR1437" s="170">
        <v>30</v>
      </c>
      <c r="BX1437" s="165">
        <v>360</v>
      </c>
      <c r="BY1437" s="167">
        <v>3.697183098591549</v>
      </c>
      <c r="BZ1437" s="168">
        <v>-1.8</v>
      </c>
      <c r="CA1437" s="169">
        <v>1.4</v>
      </c>
      <c r="CB1437" s="170">
        <v>32</v>
      </c>
      <c r="CP1437" s="165">
        <v>174</v>
      </c>
      <c r="CQ1437" s="167">
        <v>9.6660808435852363</v>
      </c>
      <c r="CR1437" s="168">
        <v>-1.3</v>
      </c>
      <c r="CS1437" s="169">
        <v>2.4</v>
      </c>
      <c r="CT1437" s="170">
        <v>37</v>
      </c>
      <c r="DB1437" s="165">
        <v>25</v>
      </c>
      <c r="DC1437" s="167">
        <v>4.8780487804878048</v>
      </c>
      <c r="DD1437" s="168">
        <v>-1.7</v>
      </c>
      <c r="DE1437" s="169">
        <v>1.6</v>
      </c>
      <c r="DF1437" s="170">
        <v>33</v>
      </c>
    </row>
    <row r="1438" spans="28:110" ht="13.15" hidden="1" thickBot="1" x14ac:dyDescent="0.25">
      <c r="AN1438" s="165">
        <v>26</v>
      </c>
      <c r="AO1438" s="167">
        <v>2.8169014084507045</v>
      </c>
      <c r="AP1438" s="168">
        <v>-1.9</v>
      </c>
      <c r="AQ1438" s="169">
        <v>1.2</v>
      </c>
      <c r="AR1438" s="170">
        <v>31</v>
      </c>
      <c r="BX1438" s="165">
        <v>359</v>
      </c>
      <c r="BY1438" s="167">
        <v>4.225352112676056</v>
      </c>
      <c r="BZ1438" s="168">
        <v>-1.7</v>
      </c>
      <c r="CA1438" s="169">
        <v>1.6</v>
      </c>
      <c r="CB1438" s="170">
        <v>33</v>
      </c>
      <c r="CP1438" s="165">
        <v>173</v>
      </c>
      <c r="CQ1438" s="167">
        <v>9.6660808435852363</v>
      </c>
      <c r="CR1438" s="168">
        <v>-1.3</v>
      </c>
      <c r="CS1438" s="169">
        <v>2.4</v>
      </c>
      <c r="CT1438" s="170">
        <v>37</v>
      </c>
      <c r="DB1438" s="165">
        <v>26</v>
      </c>
      <c r="DC1438" s="167">
        <v>5.3658536585365857</v>
      </c>
      <c r="DD1438" s="168">
        <v>-1.6</v>
      </c>
      <c r="DE1438" s="169">
        <v>1.8</v>
      </c>
      <c r="DF1438" s="170">
        <v>34</v>
      </c>
    </row>
    <row r="1439" spans="28:110" ht="13.15" hidden="1" x14ac:dyDescent="0.25">
      <c r="AN1439" s="165">
        <v>25</v>
      </c>
      <c r="AO1439" s="167">
        <v>3.169014084507042</v>
      </c>
      <c r="AP1439" s="168">
        <v>-1.9</v>
      </c>
      <c r="AQ1439" s="169">
        <v>1.2</v>
      </c>
      <c r="AR1439" s="170">
        <v>31</v>
      </c>
      <c r="AT1439" s="138" t="s">
        <v>203</v>
      </c>
      <c r="AU1439" s="139"/>
      <c r="AV1439" s="139"/>
      <c r="AW1439" s="140"/>
      <c r="AX1439" s="141">
        <v>569</v>
      </c>
      <c r="BX1439" s="165">
        <v>358</v>
      </c>
      <c r="BY1439" s="167">
        <v>4.225352112676056</v>
      </c>
      <c r="BZ1439" s="168">
        <v>-1.7</v>
      </c>
      <c r="CA1439" s="169">
        <v>1.6</v>
      </c>
      <c r="CB1439" s="170">
        <v>33</v>
      </c>
      <c r="CP1439" s="165">
        <v>172</v>
      </c>
      <c r="CQ1439" s="167">
        <v>9.6660808435852363</v>
      </c>
      <c r="CR1439" s="168">
        <v>-1.3</v>
      </c>
      <c r="CS1439" s="169">
        <v>2.4</v>
      </c>
      <c r="CT1439" s="170">
        <v>37</v>
      </c>
      <c r="DB1439" s="165">
        <v>27</v>
      </c>
      <c r="DC1439" s="167">
        <v>5.7317073170731714</v>
      </c>
      <c r="DD1439" s="168">
        <v>-1.6</v>
      </c>
      <c r="DE1439" s="169">
        <v>1.8</v>
      </c>
      <c r="DF1439" s="170">
        <v>34</v>
      </c>
    </row>
    <row r="1440" spans="28:110" hidden="1" x14ac:dyDescent="0.2">
      <c r="AN1440" s="165">
        <v>24</v>
      </c>
      <c r="AO1440" s="167">
        <v>3.873239436619718</v>
      </c>
      <c r="AP1440" s="168">
        <v>-1.8</v>
      </c>
      <c r="AQ1440" s="169">
        <v>1.4</v>
      </c>
      <c r="AR1440" s="170">
        <v>32</v>
      </c>
      <c r="AT1440" s="144" t="s">
        <v>161</v>
      </c>
      <c r="AV1440" s="20" t="s">
        <v>336</v>
      </c>
      <c r="AX1440" s="145"/>
      <c r="BX1440" s="165">
        <v>357</v>
      </c>
      <c r="BY1440" s="167">
        <v>4.225352112676056</v>
      </c>
      <c r="BZ1440" s="168">
        <v>-1.7</v>
      </c>
      <c r="CA1440" s="169">
        <v>1.6</v>
      </c>
      <c r="CB1440" s="170">
        <v>33</v>
      </c>
      <c r="CP1440" s="165">
        <v>171</v>
      </c>
      <c r="CQ1440" s="167">
        <v>9.6660808435852363</v>
      </c>
      <c r="CR1440" s="168">
        <v>-1.3</v>
      </c>
      <c r="CS1440" s="169">
        <v>2.4</v>
      </c>
      <c r="CT1440" s="170">
        <v>37</v>
      </c>
      <c r="DB1440" s="165">
        <v>28</v>
      </c>
      <c r="DC1440" s="167">
        <v>6.0975609756097562</v>
      </c>
      <c r="DD1440" s="168">
        <v>-1.5</v>
      </c>
      <c r="DE1440" s="169">
        <v>2</v>
      </c>
      <c r="DF1440" s="170">
        <v>35</v>
      </c>
    </row>
    <row r="1441" spans="40:110" ht="13.15" hidden="1" thickBot="1" x14ac:dyDescent="0.25">
      <c r="AN1441" s="165">
        <v>23</v>
      </c>
      <c r="AO1441" s="167">
        <v>4.5774647887323949</v>
      </c>
      <c r="AP1441" s="168">
        <v>-1.7</v>
      </c>
      <c r="AQ1441" s="169">
        <v>1.6</v>
      </c>
      <c r="AR1441" s="170">
        <v>33</v>
      </c>
      <c r="AT1441" s="181" t="s">
        <v>199</v>
      </c>
      <c r="AU1441" s="148"/>
      <c r="AV1441" s="148"/>
      <c r="AW1441" s="148"/>
      <c r="AX1441" s="149"/>
      <c r="BX1441" s="165">
        <v>356</v>
      </c>
      <c r="BY1441" s="167">
        <v>4.225352112676056</v>
      </c>
      <c r="BZ1441" s="168">
        <v>-1.7</v>
      </c>
      <c r="CA1441" s="169">
        <v>1.6</v>
      </c>
      <c r="CB1441" s="170">
        <v>33</v>
      </c>
      <c r="CP1441" s="165">
        <v>170</v>
      </c>
      <c r="CQ1441" s="167">
        <v>9.6660808435852363</v>
      </c>
      <c r="CR1441" s="168">
        <v>-1.3</v>
      </c>
      <c r="CS1441" s="169">
        <v>2.4</v>
      </c>
      <c r="CT1441" s="170">
        <v>37</v>
      </c>
      <c r="DB1441" s="165">
        <v>29</v>
      </c>
      <c r="DC1441" s="167">
        <v>6.8292682926829276</v>
      </c>
      <c r="DD1441" s="168">
        <v>-1.5</v>
      </c>
      <c r="DE1441" s="169">
        <v>2</v>
      </c>
      <c r="DF1441" s="170">
        <v>35</v>
      </c>
    </row>
    <row r="1442" spans="40:110" ht="13.15" hidden="1" thickBot="1" x14ac:dyDescent="0.25">
      <c r="AN1442" s="165">
        <v>22</v>
      </c>
      <c r="AO1442" s="167">
        <v>5.017605633802817</v>
      </c>
      <c r="AP1442" s="168">
        <v>-1.6</v>
      </c>
      <c r="AQ1442" s="169">
        <v>1.8</v>
      </c>
      <c r="AR1442" s="170">
        <v>34</v>
      </c>
      <c r="AT1442" s="150" t="s">
        <v>164</v>
      </c>
      <c r="AU1442" s="151" t="s">
        <v>330</v>
      </c>
      <c r="AV1442" s="152"/>
      <c r="AW1442" s="152"/>
      <c r="AX1442" s="153"/>
      <c r="BX1442" s="165">
        <v>355</v>
      </c>
      <c r="BY1442" s="167">
        <v>4.225352112676056</v>
      </c>
      <c r="BZ1442" s="168">
        <v>-1.7</v>
      </c>
      <c r="CA1442" s="169">
        <v>1.6</v>
      </c>
      <c r="CB1442" s="170">
        <v>33</v>
      </c>
      <c r="CP1442" s="165">
        <v>169</v>
      </c>
      <c r="CQ1442" s="167">
        <v>11.687170474516696</v>
      </c>
      <c r="CR1442" s="168">
        <v>-1.2</v>
      </c>
      <c r="CS1442" s="169">
        <v>2.6</v>
      </c>
      <c r="CT1442" s="170">
        <v>38</v>
      </c>
      <c r="DB1442" s="165">
        <v>30</v>
      </c>
      <c r="DC1442" s="167">
        <v>6.8292682926829276</v>
      </c>
      <c r="DD1442" s="168">
        <v>-1.5</v>
      </c>
      <c r="DE1442" s="169">
        <v>2</v>
      </c>
      <c r="DF1442" s="170">
        <v>35</v>
      </c>
    </row>
    <row r="1443" spans="40:110" ht="13.15" hidden="1" thickBot="1" x14ac:dyDescent="0.25">
      <c r="AN1443" s="165">
        <v>21</v>
      </c>
      <c r="AO1443" s="167">
        <v>5.721830985915493</v>
      </c>
      <c r="AP1443" s="168">
        <v>-1.6</v>
      </c>
      <c r="AQ1443" s="169">
        <v>1.8</v>
      </c>
      <c r="AR1443" s="170">
        <v>34</v>
      </c>
      <c r="AT1443" s="155" t="s">
        <v>10</v>
      </c>
      <c r="AU1443" s="156" t="s">
        <v>13</v>
      </c>
      <c r="AV1443" s="156" t="s">
        <v>14</v>
      </c>
      <c r="AW1443" s="156" t="s">
        <v>15</v>
      </c>
      <c r="AX1443" s="159" t="s">
        <v>16</v>
      </c>
      <c r="BX1443" s="165">
        <v>354</v>
      </c>
      <c r="BY1443" s="167">
        <v>4.225352112676056</v>
      </c>
      <c r="BZ1443" s="168">
        <v>-1.7</v>
      </c>
      <c r="CA1443" s="169">
        <v>1.6</v>
      </c>
      <c r="CB1443" s="170">
        <v>33</v>
      </c>
      <c r="CP1443" s="165">
        <v>168</v>
      </c>
      <c r="CQ1443" s="167">
        <v>11.687170474516696</v>
      </c>
      <c r="CR1443" s="168">
        <v>-1.2</v>
      </c>
      <c r="CS1443" s="169">
        <v>2.6</v>
      </c>
      <c r="CT1443" s="170">
        <v>38</v>
      </c>
      <c r="DB1443" s="165">
        <v>31</v>
      </c>
      <c r="DC1443" s="167">
        <v>7.8048780487804876</v>
      </c>
      <c r="DD1443" s="168">
        <v>-1.4</v>
      </c>
      <c r="DE1443" s="169">
        <v>2.2000000000000002</v>
      </c>
      <c r="DF1443" s="170">
        <v>36</v>
      </c>
    </row>
    <row r="1444" spans="40:110" hidden="1" x14ac:dyDescent="0.2">
      <c r="AN1444" s="165">
        <v>20</v>
      </c>
      <c r="AO1444" s="167">
        <v>7.042253521126761</v>
      </c>
      <c r="AP1444" s="168">
        <v>-1.5</v>
      </c>
      <c r="AQ1444" s="169">
        <v>2</v>
      </c>
      <c r="AR1444" s="170">
        <v>35</v>
      </c>
      <c r="AS1444" s="20">
        <f t="shared" ref="AS1444:AS1471" si="42">AT1444*2</f>
        <v>5</v>
      </c>
      <c r="AT1444" s="160">
        <v>2.5</v>
      </c>
      <c r="AU1444" s="161">
        <v>0</v>
      </c>
      <c r="AV1444" s="162">
        <v>-3.1</v>
      </c>
      <c r="AW1444" s="163">
        <v>-1.2</v>
      </c>
      <c r="AX1444" s="164">
        <v>19</v>
      </c>
      <c r="BX1444" s="165">
        <v>353</v>
      </c>
      <c r="BY1444" s="167">
        <v>4.225352112676056</v>
      </c>
      <c r="BZ1444" s="168">
        <v>-1.7</v>
      </c>
      <c r="CA1444" s="169">
        <v>1.6</v>
      </c>
      <c r="CB1444" s="170">
        <v>33</v>
      </c>
      <c r="CP1444" s="165">
        <v>167</v>
      </c>
      <c r="CQ1444" s="167">
        <v>11.687170474516696</v>
      </c>
      <c r="CR1444" s="168">
        <v>-1.2</v>
      </c>
      <c r="CS1444" s="169">
        <v>2.6</v>
      </c>
      <c r="CT1444" s="170">
        <v>38</v>
      </c>
      <c r="DB1444" s="165">
        <v>32</v>
      </c>
      <c r="DC1444" s="167">
        <v>8.6585365853658534</v>
      </c>
      <c r="DD1444" s="168">
        <v>-1.4</v>
      </c>
      <c r="DE1444" s="169">
        <v>2.2000000000000002</v>
      </c>
      <c r="DF1444" s="170">
        <v>36</v>
      </c>
    </row>
    <row r="1445" spans="40:110" hidden="1" x14ac:dyDescent="0.2">
      <c r="AN1445" s="165">
        <v>19</v>
      </c>
      <c r="AO1445" s="167">
        <v>8.8028169014084501</v>
      </c>
      <c r="AP1445" s="168">
        <v>-1.4</v>
      </c>
      <c r="AQ1445" s="169">
        <v>2.2000000000000002</v>
      </c>
      <c r="AR1445" s="170">
        <v>36</v>
      </c>
      <c r="AS1445" s="20">
        <f t="shared" si="42"/>
        <v>6</v>
      </c>
      <c r="AT1445" s="165">
        <v>3</v>
      </c>
      <c r="AU1445" s="167">
        <v>0</v>
      </c>
      <c r="AV1445" s="168">
        <v>-3.1</v>
      </c>
      <c r="AW1445" s="169">
        <v>-1.2</v>
      </c>
      <c r="AX1445" s="170">
        <v>19</v>
      </c>
      <c r="BX1445" s="165">
        <v>352</v>
      </c>
      <c r="BY1445" s="167">
        <v>4.225352112676056</v>
      </c>
      <c r="BZ1445" s="168">
        <v>-1.7</v>
      </c>
      <c r="CA1445" s="169">
        <v>1.6</v>
      </c>
      <c r="CB1445" s="170">
        <v>33</v>
      </c>
      <c r="CP1445" s="165">
        <v>166</v>
      </c>
      <c r="CQ1445" s="167">
        <v>11.687170474516696</v>
      </c>
      <c r="CR1445" s="168">
        <v>-1.2</v>
      </c>
      <c r="CS1445" s="169">
        <v>2.6</v>
      </c>
      <c r="CT1445" s="170">
        <v>38</v>
      </c>
      <c r="DB1445" s="165">
        <v>33</v>
      </c>
      <c r="DC1445" s="167">
        <v>9.2682926829268286</v>
      </c>
      <c r="DD1445" s="168">
        <v>-1.3</v>
      </c>
      <c r="DE1445" s="169">
        <v>2.4</v>
      </c>
      <c r="DF1445" s="170">
        <v>37</v>
      </c>
    </row>
    <row r="1446" spans="40:110" hidden="1" x14ac:dyDescent="0.2">
      <c r="AN1446" s="165">
        <v>18</v>
      </c>
      <c r="AO1446" s="167">
        <v>10.73943661971831</v>
      </c>
      <c r="AP1446" s="168">
        <v>-1.2</v>
      </c>
      <c r="AQ1446" s="169">
        <v>2.6</v>
      </c>
      <c r="AR1446" s="170">
        <v>38</v>
      </c>
      <c r="AS1446" s="20">
        <f t="shared" si="42"/>
        <v>7</v>
      </c>
      <c r="AT1446" s="165">
        <v>3.5</v>
      </c>
      <c r="AU1446" s="167">
        <v>0.17574692442882248</v>
      </c>
      <c r="AV1446" s="168">
        <v>-2.9</v>
      </c>
      <c r="AW1446" s="169">
        <v>-0.8</v>
      </c>
      <c r="AX1446" s="170">
        <v>21</v>
      </c>
      <c r="BX1446" s="165">
        <v>351</v>
      </c>
      <c r="BY1446" s="167">
        <v>4.225352112676056</v>
      </c>
      <c r="BZ1446" s="168">
        <v>-1.7</v>
      </c>
      <c r="CA1446" s="169">
        <v>1.6</v>
      </c>
      <c r="CB1446" s="170">
        <v>33</v>
      </c>
      <c r="CP1446" s="165">
        <v>165</v>
      </c>
      <c r="CQ1446" s="167">
        <v>11.687170474516696</v>
      </c>
      <c r="CR1446" s="168">
        <v>-1.2</v>
      </c>
      <c r="CS1446" s="169">
        <v>2.6</v>
      </c>
      <c r="CT1446" s="170">
        <v>38</v>
      </c>
      <c r="DB1446" s="165">
        <v>34</v>
      </c>
      <c r="DC1446" s="167">
        <v>10.24390243902439</v>
      </c>
      <c r="DD1446" s="168">
        <v>-1.3</v>
      </c>
      <c r="DE1446" s="169">
        <v>2.4</v>
      </c>
      <c r="DF1446" s="170">
        <v>37</v>
      </c>
    </row>
    <row r="1447" spans="40:110" hidden="1" x14ac:dyDescent="0.2">
      <c r="AN1447" s="165">
        <v>17</v>
      </c>
      <c r="AO1447" s="167">
        <v>12.676056338028168</v>
      </c>
      <c r="AP1447" s="168">
        <v>-1.1000000000000001</v>
      </c>
      <c r="AQ1447" s="169">
        <v>2.8</v>
      </c>
      <c r="AR1447" s="170">
        <v>39</v>
      </c>
      <c r="AS1447" s="20">
        <f t="shared" si="42"/>
        <v>8</v>
      </c>
      <c r="AT1447" s="165">
        <v>4</v>
      </c>
      <c r="AU1447" s="167">
        <v>0.35149384885764495</v>
      </c>
      <c r="AV1447" s="168">
        <v>-2.7</v>
      </c>
      <c r="AW1447" s="169">
        <v>-0.4</v>
      </c>
      <c r="AX1447" s="170">
        <v>23</v>
      </c>
      <c r="BX1447" s="165">
        <v>350</v>
      </c>
      <c r="BY1447" s="167">
        <v>4.225352112676056</v>
      </c>
      <c r="BZ1447" s="168">
        <v>-1.7</v>
      </c>
      <c r="CA1447" s="169">
        <v>1.6</v>
      </c>
      <c r="CB1447" s="170">
        <v>33</v>
      </c>
      <c r="CP1447" s="165">
        <v>164</v>
      </c>
      <c r="CQ1447" s="167">
        <v>11.687170474516696</v>
      </c>
      <c r="CR1447" s="168">
        <v>-1.2</v>
      </c>
      <c r="CS1447" s="169">
        <v>2.6</v>
      </c>
      <c r="CT1447" s="170">
        <v>38</v>
      </c>
      <c r="DB1447" s="165">
        <v>35</v>
      </c>
      <c r="DC1447" s="167">
        <v>11.219512195121952</v>
      </c>
      <c r="DD1447" s="168">
        <v>-1.2</v>
      </c>
      <c r="DE1447" s="169">
        <v>2.6</v>
      </c>
      <c r="DF1447" s="170">
        <v>38</v>
      </c>
    </row>
    <row r="1448" spans="40:110" hidden="1" x14ac:dyDescent="0.2">
      <c r="AN1448" s="165">
        <v>16</v>
      </c>
      <c r="AO1448" s="167">
        <v>14.43661971830986</v>
      </c>
      <c r="AP1448" s="168">
        <v>-1.1000000000000001</v>
      </c>
      <c r="AQ1448" s="169">
        <v>2.8</v>
      </c>
      <c r="AR1448" s="170">
        <v>39</v>
      </c>
      <c r="AS1448" s="20">
        <f t="shared" si="42"/>
        <v>9</v>
      </c>
      <c r="AT1448" s="165">
        <v>4.5</v>
      </c>
      <c r="AU1448" s="167">
        <v>0.52724077328646746</v>
      </c>
      <c r="AV1448" s="168">
        <v>-2.6</v>
      </c>
      <c r="AW1448" s="169">
        <v>-0.2</v>
      </c>
      <c r="AX1448" s="170">
        <v>24</v>
      </c>
      <c r="BX1448" s="165">
        <v>349</v>
      </c>
      <c r="BY1448" s="167">
        <v>4.929577464788732</v>
      </c>
      <c r="BZ1448" s="168">
        <v>-1.7</v>
      </c>
      <c r="CA1448" s="169">
        <v>1.6</v>
      </c>
      <c r="CB1448" s="170">
        <v>33</v>
      </c>
      <c r="CP1448" s="165">
        <v>163</v>
      </c>
      <c r="CQ1448" s="167">
        <v>11.687170474516696</v>
      </c>
      <c r="CR1448" s="168">
        <v>-1.2</v>
      </c>
      <c r="CS1448" s="169">
        <v>2.6</v>
      </c>
      <c r="CT1448" s="170">
        <v>38</v>
      </c>
      <c r="DB1448" s="165">
        <v>36</v>
      </c>
      <c r="DC1448" s="167">
        <v>12.073170731707316</v>
      </c>
      <c r="DD1448" s="168">
        <v>-1.2</v>
      </c>
      <c r="DE1448" s="169">
        <v>2.6</v>
      </c>
      <c r="DF1448" s="170">
        <v>38</v>
      </c>
    </row>
    <row r="1449" spans="40:110" hidden="1" x14ac:dyDescent="0.2">
      <c r="AN1449" s="165">
        <v>15</v>
      </c>
      <c r="AO1449" s="167">
        <v>16.637323943661972</v>
      </c>
      <c r="AP1449" s="168">
        <v>-1</v>
      </c>
      <c r="AQ1449" s="169">
        <v>3</v>
      </c>
      <c r="AR1449" s="170">
        <v>40</v>
      </c>
      <c r="AS1449" s="20">
        <f t="shared" si="42"/>
        <v>10</v>
      </c>
      <c r="AT1449" s="165">
        <v>5</v>
      </c>
      <c r="AU1449" s="167">
        <v>0.96660808435852363</v>
      </c>
      <c r="AV1449" s="168">
        <v>-2.2999999999999998</v>
      </c>
      <c r="AW1449" s="169">
        <v>0.4</v>
      </c>
      <c r="AX1449" s="170">
        <v>27</v>
      </c>
      <c r="BX1449" s="165">
        <v>348</v>
      </c>
      <c r="BY1449" s="167">
        <v>4.929577464788732</v>
      </c>
      <c r="BZ1449" s="168">
        <v>-1.7</v>
      </c>
      <c r="CA1449" s="169">
        <v>1.6</v>
      </c>
      <c r="CB1449" s="170">
        <v>33</v>
      </c>
      <c r="CP1449" s="165">
        <v>162</v>
      </c>
      <c r="CQ1449" s="167">
        <v>11.687170474516696</v>
      </c>
      <c r="CR1449" s="168">
        <v>-1.2</v>
      </c>
      <c r="CS1449" s="169">
        <v>2.6</v>
      </c>
      <c r="CT1449" s="170">
        <v>38</v>
      </c>
      <c r="DB1449" s="165">
        <v>37</v>
      </c>
      <c r="DC1449" s="167">
        <v>13.170731707317074</v>
      </c>
      <c r="DD1449" s="168">
        <v>-1.1000000000000001</v>
      </c>
      <c r="DE1449" s="169">
        <v>2.8</v>
      </c>
      <c r="DF1449" s="170">
        <v>39</v>
      </c>
    </row>
    <row r="1450" spans="40:110" hidden="1" x14ac:dyDescent="0.2">
      <c r="AN1450" s="165">
        <v>14</v>
      </c>
      <c r="AO1450" s="167">
        <v>18.661971830985916</v>
      </c>
      <c r="AP1450" s="168">
        <v>-0.9</v>
      </c>
      <c r="AQ1450" s="169">
        <v>3.2</v>
      </c>
      <c r="AR1450" s="170">
        <v>41</v>
      </c>
      <c r="AS1450" s="20">
        <f t="shared" si="42"/>
        <v>11</v>
      </c>
      <c r="AT1450" s="165">
        <v>5.5</v>
      </c>
      <c r="AU1450" s="167">
        <v>1.5817223198594026</v>
      </c>
      <c r="AV1450" s="168">
        <v>-2.2000000000000002</v>
      </c>
      <c r="AW1450" s="169">
        <v>0.6</v>
      </c>
      <c r="AX1450" s="170">
        <v>28</v>
      </c>
      <c r="BX1450" s="165">
        <v>347</v>
      </c>
      <c r="BY1450" s="167">
        <v>4.929577464788732</v>
      </c>
      <c r="BZ1450" s="168">
        <v>-1.7</v>
      </c>
      <c r="CA1450" s="169">
        <v>1.6</v>
      </c>
      <c r="CB1450" s="170">
        <v>33</v>
      </c>
      <c r="CP1450" s="165">
        <v>161</v>
      </c>
      <c r="CQ1450" s="167">
        <v>11.687170474516696</v>
      </c>
      <c r="CR1450" s="168">
        <v>-1.2</v>
      </c>
      <c r="CS1450" s="169">
        <v>2.6</v>
      </c>
      <c r="CT1450" s="170">
        <v>38</v>
      </c>
      <c r="DB1450" s="165">
        <v>38</v>
      </c>
      <c r="DC1450" s="167">
        <v>14.390243902439023</v>
      </c>
      <c r="DD1450" s="168">
        <v>-1.1000000000000001</v>
      </c>
      <c r="DE1450" s="169">
        <v>2.8</v>
      </c>
      <c r="DF1450" s="170">
        <v>39</v>
      </c>
    </row>
    <row r="1451" spans="40:110" hidden="1" x14ac:dyDescent="0.2">
      <c r="AN1451" s="165">
        <v>13</v>
      </c>
      <c r="AO1451" s="167">
        <v>20.070422535211268</v>
      </c>
      <c r="AP1451" s="168">
        <v>-0.8</v>
      </c>
      <c r="AQ1451" s="169">
        <v>3.4</v>
      </c>
      <c r="AR1451" s="170">
        <v>42</v>
      </c>
      <c r="AS1451" s="20">
        <f t="shared" si="42"/>
        <v>12</v>
      </c>
      <c r="AT1451" s="165">
        <v>6</v>
      </c>
      <c r="AU1451" s="167">
        <v>2.1089630931458698</v>
      </c>
      <c r="AV1451" s="168">
        <v>-2</v>
      </c>
      <c r="AW1451" s="169">
        <v>1</v>
      </c>
      <c r="AX1451" s="170">
        <v>30</v>
      </c>
      <c r="BX1451" s="165">
        <v>346</v>
      </c>
      <c r="BY1451" s="167">
        <v>4.929577464788732</v>
      </c>
      <c r="BZ1451" s="168">
        <v>-1.7</v>
      </c>
      <c r="CA1451" s="169">
        <v>1.6</v>
      </c>
      <c r="CB1451" s="170">
        <v>33</v>
      </c>
      <c r="CP1451" s="165">
        <v>160</v>
      </c>
      <c r="CQ1451" s="167">
        <v>11.687170474516696</v>
      </c>
      <c r="CR1451" s="168">
        <v>-1.2</v>
      </c>
      <c r="CS1451" s="169">
        <v>2.6</v>
      </c>
      <c r="CT1451" s="170">
        <v>38</v>
      </c>
      <c r="DB1451" s="165">
        <v>39</v>
      </c>
      <c r="DC1451" s="167">
        <v>16.341463414634148</v>
      </c>
      <c r="DD1451" s="168">
        <v>-1</v>
      </c>
      <c r="DE1451" s="169">
        <v>3</v>
      </c>
      <c r="DF1451" s="170">
        <v>40</v>
      </c>
    </row>
    <row r="1452" spans="40:110" hidden="1" x14ac:dyDescent="0.2">
      <c r="AN1452" s="165">
        <v>12</v>
      </c>
      <c r="AO1452" s="167">
        <v>22.447183098591552</v>
      </c>
      <c r="AP1452" s="168">
        <v>-0.8</v>
      </c>
      <c r="AQ1452" s="169">
        <v>3.4</v>
      </c>
      <c r="AR1452" s="170">
        <v>42</v>
      </c>
      <c r="AS1452" s="20">
        <f t="shared" si="42"/>
        <v>13</v>
      </c>
      <c r="AT1452" s="165">
        <v>6.5</v>
      </c>
      <c r="AU1452" s="167">
        <v>2.3725834797891037</v>
      </c>
      <c r="AV1452" s="168">
        <v>-2</v>
      </c>
      <c r="AW1452" s="169">
        <v>1</v>
      </c>
      <c r="AX1452" s="170">
        <v>30</v>
      </c>
      <c r="BX1452" s="165">
        <v>345</v>
      </c>
      <c r="BY1452" s="167">
        <v>4.929577464788732</v>
      </c>
      <c r="BZ1452" s="168">
        <v>-1.7</v>
      </c>
      <c r="CA1452" s="169">
        <v>1.6</v>
      </c>
      <c r="CB1452" s="170">
        <v>33</v>
      </c>
      <c r="CP1452" s="165">
        <v>159</v>
      </c>
      <c r="CQ1452" s="167">
        <v>14.235500878734623</v>
      </c>
      <c r="CR1452" s="168">
        <v>-1.1000000000000001</v>
      </c>
      <c r="CS1452" s="169">
        <v>2.8</v>
      </c>
      <c r="CT1452" s="170">
        <v>39</v>
      </c>
      <c r="DB1452" s="165">
        <v>40</v>
      </c>
      <c r="DC1452" s="167">
        <v>17.926829268292682</v>
      </c>
      <c r="DD1452" s="168">
        <v>-0.9</v>
      </c>
      <c r="DE1452" s="169">
        <v>3.2</v>
      </c>
      <c r="DF1452" s="170">
        <v>41</v>
      </c>
    </row>
    <row r="1453" spans="40:110" hidden="1" x14ac:dyDescent="0.2">
      <c r="AN1453" s="165">
        <v>11</v>
      </c>
      <c r="AO1453" s="167">
        <v>26.936619718309856</v>
      </c>
      <c r="AP1453" s="168">
        <v>-0.6</v>
      </c>
      <c r="AQ1453" s="169">
        <v>3.8</v>
      </c>
      <c r="AR1453" s="170">
        <v>44</v>
      </c>
      <c r="AS1453" s="20">
        <f t="shared" si="42"/>
        <v>14</v>
      </c>
      <c r="AT1453" s="165">
        <v>7</v>
      </c>
      <c r="AU1453" s="167">
        <v>3.0755711775043935</v>
      </c>
      <c r="AV1453" s="168">
        <v>-1.9</v>
      </c>
      <c r="AW1453" s="169">
        <v>1.2</v>
      </c>
      <c r="AX1453" s="170">
        <v>31</v>
      </c>
      <c r="BX1453" s="165">
        <v>344</v>
      </c>
      <c r="BY1453" s="167">
        <v>4.929577464788732</v>
      </c>
      <c r="BZ1453" s="168">
        <v>-1.7</v>
      </c>
      <c r="CA1453" s="169">
        <v>1.6</v>
      </c>
      <c r="CB1453" s="170">
        <v>33</v>
      </c>
      <c r="CP1453" s="165">
        <v>158</v>
      </c>
      <c r="CQ1453" s="167">
        <v>14.235500878734623</v>
      </c>
      <c r="CR1453" s="168">
        <v>-1.1000000000000001</v>
      </c>
      <c r="CS1453" s="169">
        <v>2.8</v>
      </c>
      <c r="CT1453" s="170">
        <v>39</v>
      </c>
      <c r="DB1453" s="165">
        <v>41</v>
      </c>
      <c r="DC1453" s="167">
        <v>19.26829268292683</v>
      </c>
      <c r="DD1453" s="168">
        <v>-0.9</v>
      </c>
      <c r="DE1453" s="169">
        <v>3.2</v>
      </c>
      <c r="DF1453" s="170">
        <v>41</v>
      </c>
    </row>
    <row r="1454" spans="40:110" hidden="1" x14ac:dyDescent="0.2">
      <c r="AN1454" s="165">
        <v>10</v>
      </c>
      <c r="AO1454" s="167">
        <v>32.130281690140841</v>
      </c>
      <c r="AP1454" s="168">
        <v>-0.5</v>
      </c>
      <c r="AQ1454" s="169">
        <v>4</v>
      </c>
      <c r="AR1454" s="170">
        <v>45</v>
      </c>
      <c r="AS1454" s="20">
        <f t="shared" si="42"/>
        <v>15</v>
      </c>
      <c r="AT1454" s="165">
        <v>7.5</v>
      </c>
      <c r="AU1454" s="167">
        <v>4.2179261862917397</v>
      </c>
      <c r="AV1454" s="168">
        <v>-1.7</v>
      </c>
      <c r="AW1454" s="169">
        <v>1.6</v>
      </c>
      <c r="AX1454" s="170">
        <v>33</v>
      </c>
      <c r="BX1454" s="165">
        <v>343</v>
      </c>
      <c r="BY1454" s="167">
        <v>4.929577464788732</v>
      </c>
      <c r="BZ1454" s="168">
        <v>-1.7</v>
      </c>
      <c r="CA1454" s="169">
        <v>1.6</v>
      </c>
      <c r="CB1454" s="170">
        <v>33</v>
      </c>
      <c r="CP1454" s="165">
        <v>157</v>
      </c>
      <c r="CQ1454" s="167">
        <v>14.235500878734623</v>
      </c>
      <c r="CR1454" s="168">
        <v>-1.1000000000000001</v>
      </c>
      <c r="CS1454" s="169">
        <v>2.8</v>
      </c>
      <c r="CT1454" s="170">
        <v>39</v>
      </c>
      <c r="DB1454" s="165">
        <v>42</v>
      </c>
      <c r="DC1454" s="167">
        <v>21.341463414634145</v>
      </c>
      <c r="DD1454" s="168">
        <v>-0.8</v>
      </c>
      <c r="DE1454" s="169">
        <v>3.4</v>
      </c>
      <c r="DF1454" s="170">
        <v>42</v>
      </c>
    </row>
    <row r="1455" spans="40:110" hidden="1" x14ac:dyDescent="0.2">
      <c r="AN1455" s="165">
        <v>9</v>
      </c>
      <c r="AO1455" s="167">
        <v>37.411971830985912</v>
      </c>
      <c r="AP1455" s="168">
        <v>-0.3</v>
      </c>
      <c r="AQ1455" s="169">
        <v>4.4000000000000004</v>
      </c>
      <c r="AR1455" s="170">
        <v>47</v>
      </c>
      <c r="AS1455" s="20">
        <f t="shared" si="42"/>
        <v>16</v>
      </c>
      <c r="AT1455" s="165">
        <v>8</v>
      </c>
      <c r="AU1455" s="167">
        <v>5.3602811950790858</v>
      </c>
      <c r="AV1455" s="168">
        <v>-1.6</v>
      </c>
      <c r="AW1455" s="169">
        <v>1.8</v>
      </c>
      <c r="AX1455" s="170">
        <v>34</v>
      </c>
      <c r="BX1455" s="165">
        <v>342</v>
      </c>
      <c r="BY1455" s="167">
        <v>4.929577464788732</v>
      </c>
      <c r="BZ1455" s="168">
        <v>-1.7</v>
      </c>
      <c r="CA1455" s="169">
        <v>1.6</v>
      </c>
      <c r="CB1455" s="170">
        <v>33</v>
      </c>
      <c r="CP1455" s="165">
        <v>156</v>
      </c>
      <c r="CQ1455" s="167">
        <v>14.235500878734623</v>
      </c>
      <c r="CR1455" s="168">
        <v>-1.1000000000000001</v>
      </c>
      <c r="CS1455" s="169">
        <v>2.8</v>
      </c>
      <c r="CT1455" s="170">
        <v>39</v>
      </c>
      <c r="DB1455" s="165">
        <v>43</v>
      </c>
      <c r="DC1455" s="167">
        <v>23.292682926829269</v>
      </c>
      <c r="DD1455" s="168">
        <v>-0.7</v>
      </c>
      <c r="DE1455" s="169">
        <v>3.6</v>
      </c>
      <c r="DF1455" s="170">
        <v>43</v>
      </c>
    </row>
    <row r="1456" spans="40:110" hidden="1" x14ac:dyDescent="0.2">
      <c r="AN1456" s="165">
        <v>8</v>
      </c>
      <c r="AO1456" s="167">
        <v>42.429577464788728</v>
      </c>
      <c r="AP1456" s="168">
        <v>-0.2</v>
      </c>
      <c r="AQ1456" s="169">
        <v>4.5999999999999996</v>
      </c>
      <c r="AR1456" s="170">
        <v>48</v>
      </c>
      <c r="AS1456" s="20">
        <f t="shared" si="42"/>
        <v>17</v>
      </c>
      <c r="AT1456" s="165">
        <v>8.5</v>
      </c>
      <c r="AU1456" s="167">
        <v>6.1511423550087869</v>
      </c>
      <c r="AV1456" s="168">
        <v>-1.5</v>
      </c>
      <c r="AW1456" s="169">
        <v>2</v>
      </c>
      <c r="AX1456" s="170">
        <v>35</v>
      </c>
      <c r="BX1456" s="165">
        <v>341</v>
      </c>
      <c r="BY1456" s="167">
        <v>4.929577464788732</v>
      </c>
      <c r="BZ1456" s="168">
        <v>-1.7</v>
      </c>
      <c r="CA1456" s="169">
        <v>1.6</v>
      </c>
      <c r="CB1456" s="170">
        <v>33</v>
      </c>
      <c r="CP1456" s="165">
        <v>155</v>
      </c>
      <c r="CQ1456" s="167">
        <v>14.235500878734623</v>
      </c>
      <c r="CR1456" s="168">
        <v>-1.1000000000000001</v>
      </c>
      <c r="CS1456" s="169">
        <v>2.8</v>
      </c>
      <c r="CT1456" s="170">
        <v>39</v>
      </c>
      <c r="DB1456" s="165">
        <v>44</v>
      </c>
      <c r="DC1456" s="167">
        <v>25</v>
      </c>
      <c r="DD1456" s="168">
        <v>-0.7</v>
      </c>
      <c r="DE1456" s="169">
        <v>3.6</v>
      </c>
      <c r="DF1456" s="170">
        <v>43</v>
      </c>
    </row>
    <row r="1457" spans="40:110" hidden="1" x14ac:dyDescent="0.2">
      <c r="AN1457" s="165">
        <v>7</v>
      </c>
      <c r="AO1457" s="167">
        <v>47.183098591549296</v>
      </c>
      <c r="AP1457" s="168">
        <v>-0.1</v>
      </c>
      <c r="AQ1457" s="169">
        <v>4.8</v>
      </c>
      <c r="AR1457" s="170">
        <v>49</v>
      </c>
      <c r="AS1457" s="20">
        <f t="shared" si="42"/>
        <v>18</v>
      </c>
      <c r="AT1457" s="165">
        <v>9</v>
      </c>
      <c r="AU1457" s="167">
        <v>7.5571177504393665</v>
      </c>
      <c r="AV1457" s="168">
        <v>-1.4</v>
      </c>
      <c r="AW1457" s="169">
        <v>2.2000000000000002</v>
      </c>
      <c r="AX1457" s="170">
        <v>36</v>
      </c>
      <c r="BX1457" s="165">
        <v>340</v>
      </c>
      <c r="BY1457" s="167">
        <v>4.929577464788732</v>
      </c>
      <c r="BZ1457" s="168">
        <v>-1.7</v>
      </c>
      <c r="CA1457" s="169">
        <v>1.6</v>
      </c>
      <c r="CB1457" s="170">
        <v>33</v>
      </c>
      <c r="CP1457" s="165">
        <v>154</v>
      </c>
      <c r="CQ1457" s="167">
        <v>14.235500878734623</v>
      </c>
      <c r="CR1457" s="168">
        <v>-1.1000000000000001</v>
      </c>
      <c r="CS1457" s="169">
        <v>2.8</v>
      </c>
      <c r="CT1457" s="170">
        <v>39</v>
      </c>
      <c r="DB1457" s="165">
        <v>45</v>
      </c>
      <c r="DC1457" s="167">
        <v>26.829268292682929</v>
      </c>
      <c r="DD1457" s="168">
        <v>-0.6</v>
      </c>
      <c r="DE1457" s="169">
        <v>3.8</v>
      </c>
      <c r="DF1457" s="170">
        <v>44</v>
      </c>
    </row>
    <row r="1458" spans="40:110" hidden="1" x14ac:dyDescent="0.2">
      <c r="AN1458" s="165">
        <v>6</v>
      </c>
      <c r="AO1458" s="167">
        <v>53.785211267605639</v>
      </c>
      <c r="AP1458" s="168">
        <v>0.1</v>
      </c>
      <c r="AQ1458" s="169">
        <v>5.2</v>
      </c>
      <c r="AR1458" s="170">
        <v>51</v>
      </c>
      <c r="AS1458" s="20">
        <f t="shared" si="42"/>
        <v>19</v>
      </c>
      <c r="AT1458" s="165">
        <v>9.5</v>
      </c>
      <c r="AU1458" s="167">
        <v>9.4903339191564147</v>
      </c>
      <c r="AV1458" s="168">
        <v>-1.3</v>
      </c>
      <c r="AW1458" s="169">
        <v>2.4</v>
      </c>
      <c r="AX1458" s="170">
        <v>37</v>
      </c>
      <c r="BX1458" s="165">
        <v>339</v>
      </c>
      <c r="BY1458" s="167">
        <v>5.369718309859155</v>
      </c>
      <c r="BZ1458" s="168">
        <v>-1.6</v>
      </c>
      <c r="CA1458" s="169">
        <v>1.8</v>
      </c>
      <c r="CB1458" s="170">
        <v>34</v>
      </c>
      <c r="CP1458" s="165">
        <v>153</v>
      </c>
      <c r="CQ1458" s="167">
        <v>14.235500878734623</v>
      </c>
      <c r="CR1458" s="168">
        <v>-1.1000000000000001</v>
      </c>
      <c r="CS1458" s="169">
        <v>2.8</v>
      </c>
      <c r="CT1458" s="170">
        <v>39</v>
      </c>
      <c r="DB1458" s="165">
        <v>46</v>
      </c>
      <c r="DC1458" s="167">
        <v>28.780487804878046</v>
      </c>
      <c r="DD1458" s="168">
        <v>-0.6</v>
      </c>
      <c r="DE1458" s="169">
        <v>3.8</v>
      </c>
      <c r="DF1458" s="170">
        <v>44</v>
      </c>
    </row>
    <row r="1459" spans="40:110" hidden="1" x14ac:dyDescent="0.2">
      <c r="AN1459" s="165">
        <v>5</v>
      </c>
      <c r="AO1459" s="167">
        <v>60.563380281690137</v>
      </c>
      <c r="AP1459" s="168">
        <v>0.3</v>
      </c>
      <c r="AQ1459" s="169">
        <v>5.6</v>
      </c>
      <c r="AR1459" s="170">
        <v>53</v>
      </c>
      <c r="AS1459" s="20">
        <f t="shared" si="42"/>
        <v>20</v>
      </c>
      <c r="AT1459" s="165">
        <v>10</v>
      </c>
      <c r="AU1459" s="167">
        <v>11.599297012302284</v>
      </c>
      <c r="AV1459" s="168">
        <v>-1.2</v>
      </c>
      <c r="AW1459" s="169">
        <v>2.6</v>
      </c>
      <c r="AX1459" s="170">
        <v>38</v>
      </c>
      <c r="BX1459" s="165">
        <v>338</v>
      </c>
      <c r="BY1459" s="167">
        <v>5.369718309859155</v>
      </c>
      <c r="BZ1459" s="168">
        <v>-1.6</v>
      </c>
      <c r="CA1459" s="169">
        <v>1.8</v>
      </c>
      <c r="CB1459" s="170">
        <v>34</v>
      </c>
      <c r="CP1459" s="165">
        <v>152</v>
      </c>
      <c r="CQ1459" s="167">
        <v>14.235500878734623</v>
      </c>
      <c r="CR1459" s="168">
        <v>-1.1000000000000001</v>
      </c>
      <c r="CS1459" s="169">
        <v>2.8</v>
      </c>
      <c r="CT1459" s="170">
        <v>39</v>
      </c>
      <c r="DB1459" s="165">
        <v>47</v>
      </c>
      <c r="DC1459" s="167">
        <v>30.73170731707317</v>
      </c>
      <c r="DD1459" s="168">
        <v>-0.5</v>
      </c>
      <c r="DE1459" s="169">
        <v>4</v>
      </c>
      <c r="DF1459" s="170">
        <v>45</v>
      </c>
    </row>
    <row r="1460" spans="40:110" hidden="1" x14ac:dyDescent="0.2">
      <c r="AN1460" s="165">
        <v>4</v>
      </c>
      <c r="AO1460" s="167">
        <v>66.813380281690144</v>
      </c>
      <c r="AP1460" s="168">
        <v>0.4</v>
      </c>
      <c r="AQ1460" s="169">
        <v>5.8</v>
      </c>
      <c r="AR1460" s="170">
        <v>54</v>
      </c>
      <c r="AS1460" s="20">
        <f t="shared" si="42"/>
        <v>21</v>
      </c>
      <c r="AT1460" s="165">
        <v>10.5</v>
      </c>
      <c r="AU1460" s="167">
        <v>14.147627416520212</v>
      </c>
      <c r="AV1460" s="168">
        <v>-1.1000000000000001</v>
      </c>
      <c r="AW1460" s="169">
        <v>2.8</v>
      </c>
      <c r="AX1460" s="170">
        <v>39</v>
      </c>
      <c r="BX1460" s="165">
        <v>337</v>
      </c>
      <c r="BY1460" s="167">
        <v>5.369718309859155</v>
      </c>
      <c r="BZ1460" s="168">
        <v>-1.6</v>
      </c>
      <c r="CA1460" s="169">
        <v>1.8</v>
      </c>
      <c r="CB1460" s="170">
        <v>34</v>
      </c>
      <c r="CP1460" s="165">
        <v>151</v>
      </c>
      <c r="CQ1460" s="167">
        <v>14.235500878734623</v>
      </c>
      <c r="CR1460" s="168">
        <v>-1.1000000000000001</v>
      </c>
      <c r="CS1460" s="169">
        <v>2.8</v>
      </c>
      <c r="CT1460" s="170">
        <v>39</v>
      </c>
      <c r="DB1460" s="165">
        <v>48</v>
      </c>
      <c r="DC1460" s="167">
        <v>32.682926829268297</v>
      </c>
      <c r="DD1460" s="168">
        <v>-0.4</v>
      </c>
      <c r="DE1460" s="169">
        <v>4.2</v>
      </c>
      <c r="DF1460" s="170">
        <v>46</v>
      </c>
    </row>
    <row r="1461" spans="40:110" hidden="1" x14ac:dyDescent="0.2">
      <c r="AN1461" s="165">
        <v>3</v>
      </c>
      <c r="AO1461" s="167">
        <v>73.943661971830991</v>
      </c>
      <c r="AP1461" s="168">
        <v>0.6</v>
      </c>
      <c r="AQ1461" s="169">
        <v>6.2</v>
      </c>
      <c r="AR1461" s="170">
        <v>56</v>
      </c>
      <c r="AS1461" s="20">
        <f t="shared" si="42"/>
        <v>22</v>
      </c>
      <c r="AT1461" s="165">
        <v>11</v>
      </c>
      <c r="AU1461" s="167">
        <v>17.486818980667838</v>
      </c>
      <c r="AV1461" s="168">
        <v>-0.9</v>
      </c>
      <c r="AW1461" s="169">
        <v>3.2</v>
      </c>
      <c r="AX1461" s="170">
        <v>41</v>
      </c>
      <c r="BX1461" s="165">
        <v>336</v>
      </c>
      <c r="BY1461" s="167">
        <v>5.369718309859155</v>
      </c>
      <c r="BZ1461" s="168">
        <v>-1.6</v>
      </c>
      <c r="CA1461" s="169">
        <v>1.8</v>
      </c>
      <c r="CB1461" s="170">
        <v>34</v>
      </c>
      <c r="CP1461" s="165">
        <v>150</v>
      </c>
      <c r="CQ1461" s="167">
        <v>14.235500878734623</v>
      </c>
      <c r="CR1461" s="168">
        <v>-1.1000000000000001</v>
      </c>
      <c r="CS1461" s="169">
        <v>2.8</v>
      </c>
      <c r="CT1461" s="170">
        <v>39</v>
      </c>
      <c r="DB1461" s="165">
        <v>49</v>
      </c>
      <c r="DC1461" s="167">
        <v>35</v>
      </c>
      <c r="DD1461" s="168">
        <v>-0.4</v>
      </c>
      <c r="DE1461" s="169">
        <v>4.2</v>
      </c>
      <c r="DF1461" s="170">
        <v>46</v>
      </c>
    </row>
    <row r="1462" spans="40:110" hidden="1" x14ac:dyDescent="0.2">
      <c r="AN1462" s="165">
        <v>2</v>
      </c>
      <c r="AO1462" s="167">
        <v>82.74647887323944</v>
      </c>
      <c r="AP1462" s="168">
        <v>0.9</v>
      </c>
      <c r="AQ1462" s="169">
        <v>6.8</v>
      </c>
      <c r="AR1462" s="170">
        <v>59</v>
      </c>
      <c r="AS1462" s="20">
        <f t="shared" si="42"/>
        <v>23</v>
      </c>
      <c r="AT1462" s="165">
        <v>11.5</v>
      </c>
      <c r="AU1462" s="167">
        <v>20.210896309314588</v>
      </c>
      <c r="AV1462" s="168">
        <v>-0.8</v>
      </c>
      <c r="AW1462" s="169">
        <v>3.4</v>
      </c>
      <c r="AX1462" s="170">
        <v>42</v>
      </c>
      <c r="BX1462" s="165">
        <v>335</v>
      </c>
      <c r="BY1462" s="167">
        <v>5.369718309859155</v>
      </c>
      <c r="BZ1462" s="168">
        <v>-1.6</v>
      </c>
      <c r="CA1462" s="169">
        <v>1.8</v>
      </c>
      <c r="CB1462" s="170">
        <v>34</v>
      </c>
      <c r="CP1462" s="165">
        <v>149</v>
      </c>
      <c r="CQ1462" s="167">
        <v>17.04745166959578</v>
      </c>
      <c r="CR1462" s="168">
        <v>-1</v>
      </c>
      <c r="CS1462" s="169">
        <v>3</v>
      </c>
      <c r="CT1462" s="170">
        <v>40</v>
      </c>
      <c r="DB1462" s="165">
        <v>50</v>
      </c>
      <c r="DC1462" s="167">
        <v>37.31707317073171</v>
      </c>
      <c r="DD1462" s="168">
        <v>-0.3</v>
      </c>
      <c r="DE1462" s="169">
        <v>4.4000000000000004</v>
      </c>
      <c r="DF1462" s="170">
        <v>47</v>
      </c>
    </row>
    <row r="1463" spans="40:110" hidden="1" x14ac:dyDescent="0.2">
      <c r="AN1463" s="165">
        <v>1</v>
      </c>
      <c r="AO1463" s="167">
        <v>91.197183098591552</v>
      </c>
      <c r="AP1463" s="168">
        <v>1.4</v>
      </c>
      <c r="AQ1463" s="169">
        <v>7.8</v>
      </c>
      <c r="AR1463" s="170">
        <v>64</v>
      </c>
      <c r="AS1463" s="20">
        <f t="shared" si="42"/>
        <v>24</v>
      </c>
      <c r="AT1463" s="165">
        <v>12</v>
      </c>
      <c r="AU1463" s="167">
        <v>24.077328646748683</v>
      </c>
      <c r="AV1463" s="168">
        <v>-0.7</v>
      </c>
      <c r="AW1463" s="169">
        <v>3.6</v>
      </c>
      <c r="AX1463" s="170">
        <v>43</v>
      </c>
      <c r="BX1463" s="165">
        <v>334</v>
      </c>
      <c r="BY1463" s="167">
        <v>5.369718309859155</v>
      </c>
      <c r="BZ1463" s="168">
        <v>-1.6</v>
      </c>
      <c r="CA1463" s="169">
        <v>1.8</v>
      </c>
      <c r="CB1463" s="170">
        <v>34</v>
      </c>
      <c r="CP1463" s="165">
        <v>148</v>
      </c>
      <c r="CQ1463" s="167">
        <v>17.04745166959578</v>
      </c>
      <c r="CR1463" s="168">
        <v>-1</v>
      </c>
      <c r="CS1463" s="169">
        <v>3</v>
      </c>
      <c r="CT1463" s="170">
        <v>40</v>
      </c>
      <c r="DB1463" s="165">
        <v>51</v>
      </c>
      <c r="DC1463" s="167">
        <v>39.146341463414636</v>
      </c>
      <c r="DD1463" s="168">
        <v>-0.3</v>
      </c>
      <c r="DE1463" s="169">
        <v>4.4000000000000004</v>
      </c>
      <c r="DF1463" s="170">
        <v>47</v>
      </c>
    </row>
    <row r="1464" spans="40:110" ht="13.15" hidden="1" thickBot="1" x14ac:dyDescent="0.25">
      <c r="AN1464" s="172">
        <v>0</v>
      </c>
      <c r="AO1464" s="173">
        <v>97.271126760563376</v>
      </c>
      <c r="AP1464" s="174">
        <v>1.9</v>
      </c>
      <c r="AQ1464" s="175">
        <v>8.8000000000000007</v>
      </c>
      <c r="AR1464" s="176">
        <v>69</v>
      </c>
      <c r="AS1464" s="20">
        <f t="shared" si="42"/>
        <v>25</v>
      </c>
      <c r="AT1464" s="165">
        <v>12.5</v>
      </c>
      <c r="AU1464" s="167">
        <v>28.383128295254835</v>
      </c>
      <c r="AV1464" s="168">
        <v>-0.6</v>
      </c>
      <c r="AW1464" s="169">
        <v>3.8</v>
      </c>
      <c r="AX1464" s="170">
        <v>44</v>
      </c>
      <c r="BX1464" s="165">
        <v>333</v>
      </c>
      <c r="BY1464" s="167">
        <v>5.369718309859155</v>
      </c>
      <c r="BZ1464" s="168">
        <v>-1.6</v>
      </c>
      <c r="CA1464" s="169">
        <v>1.8</v>
      </c>
      <c r="CB1464" s="170">
        <v>34</v>
      </c>
      <c r="CP1464" s="165">
        <v>147</v>
      </c>
      <c r="CQ1464" s="167">
        <v>17.04745166959578</v>
      </c>
      <c r="CR1464" s="168">
        <v>-1</v>
      </c>
      <c r="CS1464" s="169">
        <v>3</v>
      </c>
      <c r="CT1464" s="170">
        <v>40</v>
      </c>
      <c r="DB1464" s="165">
        <v>52</v>
      </c>
      <c r="DC1464" s="167">
        <v>41.951219512195124</v>
      </c>
      <c r="DD1464" s="168">
        <v>-0.2</v>
      </c>
      <c r="DE1464" s="169">
        <v>4.5999999999999996</v>
      </c>
      <c r="DF1464" s="170">
        <v>48</v>
      </c>
    </row>
    <row r="1465" spans="40:110" hidden="1" x14ac:dyDescent="0.2">
      <c r="AS1465" s="20">
        <f t="shared" si="42"/>
        <v>26</v>
      </c>
      <c r="AT1465" s="165">
        <v>13</v>
      </c>
      <c r="AU1465" s="167">
        <v>31.195079086115996</v>
      </c>
      <c r="AV1465" s="168">
        <v>-0.5</v>
      </c>
      <c r="AW1465" s="169">
        <v>4</v>
      </c>
      <c r="AX1465" s="170">
        <v>45</v>
      </c>
      <c r="BX1465" s="165">
        <v>332</v>
      </c>
      <c r="BY1465" s="167">
        <v>5.369718309859155</v>
      </c>
      <c r="BZ1465" s="168">
        <v>-1.6</v>
      </c>
      <c r="CA1465" s="169">
        <v>1.8</v>
      </c>
      <c r="CB1465" s="170">
        <v>34</v>
      </c>
      <c r="CP1465" s="165">
        <v>146</v>
      </c>
      <c r="CQ1465" s="167">
        <v>17.04745166959578</v>
      </c>
      <c r="CR1465" s="168">
        <v>-1</v>
      </c>
      <c r="CS1465" s="169">
        <v>3</v>
      </c>
      <c r="CT1465" s="170">
        <v>40</v>
      </c>
      <c r="DB1465" s="165">
        <v>53</v>
      </c>
      <c r="DC1465" s="167">
        <v>45.975609756097562</v>
      </c>
      <c r="DD1465" s="168">
        <v>-0.1</v>
      </c>
      <c r="DE1465" s="169">
        <v>4.8</v>
      </c>
      <c r="DF1465" s="170">
        <v>49</v>
      </c>
    </row>
    <row r="1466" spans="40:110" ht="13.15" hidden="1" thickBot="1" x14ac:dyDescent="0.25">
      <c r="AS1466" s="20">
        <f t="shared" si="42"/>
        <v>27</v>
      </c>
      <c r="AT1466" s="165">
        <v>13.5</v>
      </c>
      <c r="AU1466" s="167">
        <v>33.919156414762739</v>
      </c>
      <c r="AV1466" s="168">
        <v>-0.4</v>
      </c>
      <c r="AW1466" s="169">
        <v>4.2</v>
      </c>
      <c r="AX1466" s="170">
        <v>46</v>
      </c>
      <c r="BX1466" s="165">
        <v>331</v>
      </c>
      <c r="BY1466" s="167">
        <v>5.369718309859155</v>
      </c>
      <c r="BZ1466" s="168">
        <v>-1.6</v>
      </c>
      <c r="CA1466" s="169">
        <v>1.8</v>
      </c>
      <c r="CB1466" s="170">
        <v>34</v>
      </c>
      <c r="CP1466" s="165">
        <v>145</v>
      </c>
      <c r="CQ1466" s="167">
        <v>17.04745166959578</v>
      </c>
      <c r="CR1466" s="168">
        <v>-1</v>
      </c>
      <c r="CS1466" s="169">
        <v>3</v>
      </c>
      <c r="CT1466" s="170">
        <v>40</v>
      </c>
      <c r="DB1466" s="165">
        <v>54</v>
      </c>
      <c r="DC1466" s="167">
        <v>49.634146341463413</v>
      </c>
      <c r="DD1466" s="168">
        <v>0</v>
      </c>
      <c r="DE1466" s="169">
        <v>5</v>
      </c>
      <c r="DF1466" s="170">
        <v>50</v>
      </c>
    </row>
    <row r="1467" spans="40:110" ht="13.15" hidden="1" x14ac:dyDescent="0.25">
      <c r="AN1467" s="138" t="s">
        <v>186</v>
      </c>
      <c r="AO1467" s="139"/>
      <c r="AP1467" s="139"/>
      <c r="AQ1467" s="140" t="s">
        <v>180</v>
      </c>
      <c r="AR1467" s="141">
        <v>568</v>
      </c>
      <c r="AS1467" s="20">
        <f t="shared" si="42"/>
        <v>28</v>
      </c>
      <c r="AT1467" s="165">
        <v>14</v>
      </c>
      <c r="AU1467" s="167">
        <v>40.86115992970123</v>
      </c>
      <c r="AV1467" s="168">
        <v>-0.2</v>
      </c>
      <c r="AW1467" s="169">
        <v>4.5999999999999996</v>
      </c>
      <c r="AX1467" s="170">
        <v>48</v>
      </c>
      <c r="BX1467" s="165">
        <v>330</v>
      </c>
      <c r="BY1467" s="167">
        <v>5.369718309859155</v>
      </c>
      <c r="BZ1467" s="168">
        <v>-1.6</v>
      </c>
      <c r="CA1467" s="169">
        <v>1.8</v>
      </c>
      <c r="CB1467" s="170">
        <v>34</v>
      </c>
      <c r="CP1467" s="165">
        <v>144</v>
      </c>
      <c r="CQ1467" s="167">
        <v>17.04745166959578</v>
      </c>
      <c r="CR1467" s="168">
        <v>-1</v>
      </c>
      <c r="CS1467" s="169">
        <v>3</v>
      </c>
      <c r="CT1467" s="170">
        <v>40</v>
      </c>
      <c r="DB1467" s="165">
        <v>55</v>
      </c>
      <c r="DC1467" s="167">
        <v>52.804878048780488</v>
      </c>
      <c r="DD1467" s="168">
        <v>0.1</v>
      </c>
      <c r="DE1467" s="169">
        <v>5.2</v>
      </c>
      <c r="DF1467" s="170">
        <v>51</v>
      </c>
    </row>
    <row r="1468" spans="40:110" hidden="1" x14ac:dyDescent="0.2">
      <c r="AN1468" s="144" t="s">
        <v>161</v>
      </c>
      <c r="AP1468" s="20" t="s">
        <v>162</v>
      </c>
      <c r="AR1468" s="145"/>
      <c r="AS1468" s="20">
        <f t="shared" si="42"/>
        <v>29</v>
      </c>
      <c r="AT1468" s="165">
        <v>14.5</v>
      </c>
      <c r="AU1468" s="167">
        <v>46.924428822495607</v>
      </c>
      <c r="AV1468" s="168">
        <v>-0.1</v>
      </c>
      <c r="AW1468" s="169">
        <v>4.8</v>
      </c>
      <c r="AX1468" s="170">
        <v>49</v>
      </c>
      <c r="BX1468" s="165">
        <v>329</v>
      </c>
      <c r="BY1468" s="167">
        <v>5.8098591549295771</v>
      </c>
      <c r="BZ1468" s="168">
        <v>-1.6</v>
      </c>
      <c r="CA1468" s="169">
        <v>1.8</v>
      </c>
      <c r="CB1468" s="170">
        <v>34</v>
      </c>
      <c r="CP1468" s="165">
        <v>143</v>
      </c>
      <c r="CQ1468" s="167">
        <v>17.04745166959578</v>
      </c>
      <c r="CR1468" s="168">
        <v>-1</v>
      </c>
      <c r="CS1468" s="169">
        <v>3</v>
      </c>
      <c r="CT1468" s="170">
        <v>40</v>
      </c>
      <c r="DB1468" s="165">
        <v>56</v>
      </c>
      <c r="DC1468" s="167">
        <v>56.707317073170728</v>
      </c>
      <c r="DD1468" s="168">
        <v>0.2</v>
      </c>
      <c r="DE1468" s="169">
        <v>5.4</v>
      </c>
      <c r="DF1468" s="170">
        <v>52</v>
      </c>
    </row>
    <row r="1469" spans="40:110" ht="13.15" hidden="1" thickBot="1" x14ac:dyDescent="0.25">
      <c r="AN1469" s="147"/>
      <c r="AO1469" s="148"/>
      <c r="AP1469" s="179" t="s">
        <v>170</v>
      </c>
      <c r="AQ1469" s="148"/>
      <c r="AR1469" s="149"/>
      <c r="AS1469" s="20">
        <f t="shared" si="42"/>
        <v>30</v>
      </c>
      <c r="AT1469" s="165">
        <v>15</v>
      </c>
      <c r="AU1469" s="167">
        <v>48.330404217926187</v>
      </c>
      <c r="AV1469" s="168">
        <v>0</v>
      </c>
      <c r="AW1469" s="169">
        <v>5</v>
      </c>
      <c r="AX1469" s="170">
        <v>50</v>
      </c>
      <c r="BX1469" s="165">
        <v>328</v>
      </c>
      <c r="BY1469" s="167">
        <v>5.8098591549295771</v>
      </c>
      <c r="BZ1469" s="168">
        <v>-1.6</v>
      </c>
      <c r="CA1469" s="169">
        <v>1.8</v>
      </c>
      <c r="CB1469" s="170">
        <v>34</v>
      </c>
      <c r="CP1469" s="165">
        <v>142</v>
      </c>
      <c r="CQ1469" s="167">
        <v>17.04745166959578</v>
      </c>
      <c r="CR1469" s="168">
        <v>-1</v>
      </c>
      <c r="CS1469" s="169">
        <v>3</v>
      </c>
      <c r="CT1469" s="170">
        <v>40</v>
      </c>
      <c r="DB1469" s="165">
        <v>57</v>
      </c>
      <c r="DC1469" s="167">
        <v>60.487804878048777</v>
      </c>
      <c r="DD1469" s="168">
        <v>0.3</v>
      </c>
      <c r="DE1469" s="169">
        <v>5.6</v>
      </c>
      <c r="DF1469" s="170">
        <v>53</v>
      </c>
    </row>
    <row r="1470" spans="40:110" ht="13.15" hidden="1" thickBot="1" x14ac:dyDescent="0.25">
      <c r="AN1470" s="150" t="s">
        <v>164</v>
      </c>
      <c r="AO1470" s="151" t="s">
        <v>33</v>
      </c>
      <c r="AP1470" s="152"/>
      <c r="AQ1470" s="152"/>
      <c r="AR1470" s="153"/>
      <c r="AS1470" s="20">
        <f t="shared" si="42"/>
        <v>31</v>
      </c>
      <c r="AT1470" s="165">
        <v>15.5</v>
      </c>
      <c r="AU1470" s="167">
        <v>49.736379613356767</v>
      </c>
      <c r="AV1470" s="168">
        <v>0</v>
      </c>
      <c r="AW1470" s="169">
        <v>5</v>
      </c>
      <c r="AX1470" s="170">
        <v>50</v>
      </c>
      <c r="BX1470" s="165">
        <v>327</v>
      </c>
      <c r="BY1470" s="167">
        <v>5.8098591549295771</v>
      </c>
      <c r="BZ1470" s="168">
        <v>-1.6</v>
      </c>
      <c r="CA1470" s="169">
        <v>1.8</v>
      </c>
      <c r="CB1470" s="170">
        <v>34</v>
      </c>
      <c r="CP1470" s="165">
        <v>141</v>
      </c>
      <c r="CQ1470" s="167">
        <v>17.04745166959578</v>
      </c>
      <c r="CR1470" s="168">
        <v>-1</v>
      </c>
      <c r="CS1470" s="169">
        <v>3</v>
      </c>
      <c r="CT1470" s="170">
        <v>40</v>
      </c>
      <c r="DB1470" s="165">
        <v>58</v>
      </c>
      <c r="DC1470" s="167">
        <v>64.024390243902445</v>
      </c>
      <c r="DD1470" s="168">
        <v>0.4</v>
      </c>
      <c r="DE1470" s="169">
        <v>5.8</v>
      </c>
      <c r="DF1470" s="170">
        <v>54</v>
      </c>
    </row>
    <row r="1471" spans="40:110" ht="13.15" hidden="1" thickBot="1" x14ac:dyDescent="0.25">
      <c r="AN1471" s="155" t="s">
        <v>10</v>
      </c>
      <c r="AO1471" s="156" t="s">
        <v>13</v>
      </c>
      <c r="AP1471" s="156" t="s">
        <v>14</v>
      </c>
      <c r="AQ1471" s="156" t="s">
        <v>15</v>
      </c>
      <c r="AR1471" s="159" t="s">
        <v>16</v>
      </c>
      <c r="AS1471" s="20">
        <f t="shared" si="42"/>
        <v>32</v>
      </c>
      <c r="AT1471" s="172">
        <v>16</v>
      </c>
      <c r="AU1471" s="173">
        <v>74.868189806678387</v>
      </c>
      <c r="AV1471" s="174">
        <v>0.7</v>
      </c>
      <c r="AW1471" s="175">
        <v>6.4</v>
      </c>
      <c r="AX1471" s="176">
        <v>57</v>
      </c>
      <c r="BX1471" s="165">
        <v>326</v>
      </c>
      <c r="BY1471" s="167">
        <v>5.8098591549295771</v>
      </c>
      <c r="BZ1471" s="168">
        <v>-1.6</v>
      </c>
      <c r="CA1471" s="169">
        <v>1.8</v>
      </c>
      <c r="CB1471" s="170">
        <v>34</v>
      </c>
      <c r="CP1471" s="165">
        <v>140</v>
      </c>
      <c r="CQ1471" s="167">
        <v>17.04745166959578</v>
      </c>
      <c r="CR1471" s="168">
        <v>-1</v>
      </c>
      <c r="CS1471" s="169">
        <v>3</v>
      </c>
      <c r="CT1471" s="170">
        <v>40</v>
      </c>
      <c r="DB1471" s="165">
        <v>59</v>
      </c>
      <c r="DC1471" s="167">
        <v>67.073170731707322</v>
      </c>
      <c r="DD1471" s="168">
        <v>0.4</v>
      </c>
      <c r="DE1471" s="169">
        <v>5.8</v>
      </c>
      <c r="DF1471" s="170">
        <v>54</v>
      </c>
    </row>
    <row r="1472" spans="40:110" hidden="1" x14ac:dyDescent="0.2">
      <c r="AN1472" s="160">
        <v>5</v>
      </c>
      <c r="AO1472" s="161">
        <v>8.8028169014084515E-2</v>
      </c>
      <c r="AP1472" s="162">
        <v>-3</v>
      </c>
      <c r="AQ1472" s="163">
        <v>-1</v>
      </c>
      <c r="AR1472" s="164">
        <v>20</v>
      </c>
      <c r="BX1472" s="165">
        <v>325</v>
      </c>
      <c r="BY1472" s="167">
        <v>5.8098591549295771</v>
      </c>
      <c r="BZ1472" s="168">
        <v>-1.6</v>
      </c>
      <c r="CA1472" s="169">
        <v>1.8</v>
      </c>
      <c r="CB1472" s="170">
        <v>34</v>
      </c>
      <c r="CP1472" s="165">
        <v>139</v>
      </c>
      <c r="CQ1472" s="167">
        <v>18.980667838312829</v>
      </c>
      <c r="CR1472" s="168">
        <v>-0.9</v>
      </c>
      <c r="CS1472" s="169">
        <v>3.2</v>
      </c>
      <c r="CT1472" s="170">
        <v>41</v>
      </c>
      <c r="DB1472" s="165">
        <v>60</v>
      </c>
      <c r="DC1472" s="167">
        <v>70.365853658536579</v>
      </c>
      <c r="DD1472" s="168">
        <v>0.5</v>
      </c>
      <c r="DE1472" s="169">
        <v>6</v>
      </c>
      <c r="DF1472" s="170">
        <v>55</v>
      </c>
    </row>
    <row r="1473" spans="40:110" hidden="1" x14ac:dyDescent="0.2">
      <c r="AN1473" s="165">
        <v>4</v>
      </c>
      <c r="AO1473" s="167">
        <v>0.2640845070422535</v>
      </c>
      <c r="AP1473" s="168">
        <v>-2.8</v>
      </c>
      <c r="AQ1473" s="169">
        <v>-0.6</v>
      </c>
      <c r="AR1473" s="170">
        <v>22</v>
      </c>
      <c r="BX1473" s="165">
        <v>324</v>
      </c>
      <c r="BY1473" s="167">
        <v>5.8098591549295771</v>
      </c>
      <c r="BZ1473" s="168">
        <v>-1.6</v>
      </c>
      <c r="CA1473" s="169">
        <v>1.8</v>
      </c>
      <c r="CB1473" s="170">
        <v>34</v>
      </c>
      <c r="CP1473" s="165">
        <v>138</v>
      </c>
      <c r="CQ1473" s="167">
        <v>18.980667838312829</v>
      </c>
      <c r="CR1473" s="168">
        <v>-0.9</v>
      </c>
      <c r="CS1473" s="169">
        <v>3.2</v>
      </c>
      <c r="CT1473" s="170">
        <v>41</v>
      </c>
      <c r="DB1473" s="165">
        <v>61</v>
      </c>
      <c r="DC1473" s="167">
        <v>73.048780487804876</v>
      </c>
      <c r="DD1473" s="168">
        <v>0.6</v>
      </c>
      <c r="DE1473" s="169">
        <v>6.2</v>
      </c>
      <c r="DF1473" s="170">
        <v>56</v>
      </c>
    </row>
    <row r="1474" spans="40:110" hidden="1" x14ac:dyDescent="0.2">
      <c r="AN1474" s="165">
        <v>3</v>
      </c>
      <c r="AO1474" s="167">
        <v>0.88028169014084512</v>
      </c>
      <c r="AP1474" s="168">
        <v>-2.4</v>
      </c>
      <c r="AQ1474" s="169">
        <v>0.2</v>
      </c>
      <c r="AR1474" s="170">
        <v>26</v>
      </c>
      <c r="BX1474" s="165">
        <v>323</v>
      </c>
      <c r="BY1474" s="167">
        <v>5.8098591549295771</v>
      </c>
      <c r="BZ1474" s="168">
        <v>-1.6</v>
      </c>
      <c r="CA1474" s="169">
        <v>1.8</v>
      </c>
      <c r="CB1474" s="170">
        <v>34</v>
      </c>
      <c r="CP1474" s="165">
        <v>137</v>
      </c>
      <c r="CQ1474" s="167">
        <v>18.980667838312829</v>
      </c>
      <c r="CR1474" s="168">
        <v>-0.9</v>
      </c>
      <c r="CS1474" s="169">
        <v>3.2</v>
      </c>
      <c r="CT1474" s="170">
        <v>41</v>
      </c>
      <c r="DB1474" s="165">
        <v>62</v>
      </c>
      <c r="DC1474" s="167">
        <v>74.878048780487802</v>
      </c>
      <c r="DD1474" s="168">
        <v>0.7</v>
      </c>
      <c r="DE1474" s="169">
        <v>6.4</v>
      </c>
      <c r="DF1474" s="170">
        <v>57</v>
      </c>
    </row>
    <row r="1475" spans="40:110" hidden="1" x14ac:dyDescent="0.2">
      <c r="AN1475" s="165">
        <v>2</v>
      </c>
      <c r="AO1475" s="167">
        <v>3.080985915492958</v>
      </c>
      <c r="AP1475" s="168">
        <v>-1.9</v>
      </c>
      <c r="AQ1475" s="169">
        <v>1.2</v>
      </c>
      <c r="AR1475" s="170">
        <v>31</v>
      </c>
      <c r="BX1475" s="165">
        <v>322</v>
      </c>
      <c r="BY1475" s="167">
        <v>5.8098591549295771</v>
      </c>
      <c r="BZ1475" s="168">
        <v>-1.6</v>
      </c>
      <c r="CA1475" s="169">
        <v>1.8</v>
      </c>
      <c r="CB1475" s="170">
        <v>34</v>
      </c>
      <c r="CP1475" s="165">
        <v>136</v>
      </c>
      <c r="CQ1475" s="167">
        <v>18.980667838312829</v>
      </c>
      <c r="CR1475" s="168">
        <v>-0.9</v>
      </c>
      <c r="CS1475" s="169">
        <v>3.2</v>
      </c>
      <c r="CT1475" s="170">
        <v>41</v>
      </c>
      <c r="DB1475" s="165">
        <v>63</v>
      </c>
      <c r="DC1475" s="167">
        <v>77.195121951219519</v>
      </c>
      <c r="DD1475" s="168">
        <v>0.7</v>
      </c>
      <c r="DE1475" s="169">
        <v>6.4</v>
      </c>
      <c r="DF1475" s="170">
        <v>57</v>
      </c>
    </row>
    <row r="1476" spans="40:110" hidden="1" x14ac:dyDescent="0.2">
      <c r="AN1476" s="165">
        <v>1</v>
      </c>
      <c r="AO1476" s="167">
        <v>13.29225352112676</v>
      </c>
      <c r="AP1476" s="168">
        <v>-1.1000000000000001</v>
      </c>
      <c r="AQ1476" s="169">
        <v>2.8</v>
      </c>
      <c r="AR1476" s="170">
        <v>39</v>
      </c>
      <c r="BX1476" s="165">
        <v>321</v>
      </c>
      <c r="BY1476" s="167">
        <v>5.8098591549295771</v>
      </c>
      <c r="BZ1476" s="168">
        <v>-1.6</v>
      </c>
      <c r="CA1476" s="169">
        <v>1.8</v>
      </c>
      <c r="CB1476" s="170">
        <v>34</v>
      </c>
      <c r="CP1476" s="165">
        <v>135</v>
      </c>
      <c r="CQ1476" s="167">
        <v>18.980667838312829</v>
      </c>
      <c r="CR1476" s="168">
        <v>-0.9</v>
      </c>
      <c r="CS1476" s="169">
        <v>3.2</v>
      </c>
      <c r="CT1476" s="170">
        <v>41</v>
      </c>
      <c r="DB1476" s="165">
        <v>64</v>
      </c>
      <c r="DC1476" s="167">
        <v>79.146341463414643</v>
      </c>
      <c r="DD1476" s="168">
        <v>0.8</v>
      </c>
      <c r="DE1476" s="169">
        <v>6.6</v>
      </c>
      <c r="DF1476" s="170">
        <v>58</v>
      </c>
    </row>
    <row r="1477" spans="40:110" ht="13.15" hidden="1" thickBot="1" x14ac:dyDescent="0.25">
      <c r="AN1477" s="172">
        <v>0</v>
      </c>
      <c r="AO1477" s="173">
        <v>60.915492957746473</v>
      </c>
      <c r="AP1477" s="174">
        <v>0.3</v>
      </c>
      <c r="AQ1477" s="175">
        <v>5.6</v>
      </c>
      <c r="AR1477" s="176">
        <v>53</v>
      </c>
      <c r="BX1477" s="165">
        <v>320</v>
      </c>
      <c r="BY1477" s="167">
        <v>5.8098591549295771</v>
      </c>
      <c r="BZ1477" s="168">
        <v>-1.6</v>
      </c>
      <c r="CA1477" s="169">
        <v>1.8</v>
      </c>
      <c r="CB1477" s="170">
        <v>34</v>
      </c>
      <c r="CP1477" s="165">
        <v>134</v>
      </c>
      <c r="CQ1477" s="167">
        <v>18.980667838312829</v>
      </c>
      <c r="CR1477" s="168">
        <v>-0.9</v>
      </c>
      <c r="CS1477" s="169">
        <v>3.2</v>
      </c>
      <c r="CT1477" s="170">
        <v>41</v>
      </c>
      <c r="DB1477" s="165">
        <v>65</v>
      </c>
      <c r="DC1477" s="167">
        <v>80.853658536585371</v>
      </c>
      <c r="DD1477" s="168">
        <v>0.9</v>
      </c>
      <c r="DE1477" s="169">
        <v>6.8</v>
      </c>
      <c r="DF1477" s="170">
        <v>59</v>
      </c>
    </row>
    <row r="1478" spans="40:110" hidden="1" x14ac:dyDescent="0.2">
      <c r="BX1478" s="165">
        <v>319</v>
      </c>
      <c r="BY1478" s="167">
        <v>6.6901408450704221</v>
      </c>
      <c r="BZ1478" s="168">
        <v>-1.5</v>
      </c>
      <c r="CA1478" s="169">
        <v>2</v>
      </c>
      <c r="CB1478" s="170">
        <v>35</v>
      </c>
      <c r="CP1478" s="165">
        <v>133</v>
      </c>
      <c r="CQ1478" s="167">
        <v>18.980667838312829</v>
      </c>
      <c r="CR1478" s="168">
        <v>-0.9</v>
      </c>
      <c r="CS1478" s="169">
        <v>3.2</v>
      </c>
      <c r="CT1478" s="170">
        <v>41</v>
      </c>
      <c r="DB1478" s="165">
        <v>66</v>
      </c>
      <c r="DC1478" s="167">
        <v>82.073170731707307</v>
      </c>
      <c r="DD1478" s="168">
        <v>0.9</v>
      </c>
      <c r="DE1478" s="169">
        <v>6.8</v>
      </c>
      <c r="DF1478" s="170">
        <v>59</v>
      </c>
    </row>
    <row r="1479" spans="40:110" ht="13.15" hidden="1" thickBot="1" x14ac:dyDescent="0.25">
      <c r="BX1479" s="165">
        <v>318</v>
      </c>
      <c r="BY1479" s="167">
        <v>6.6901408450704221</v>
      </c>
      <c r="BZ1479" s="168">
        <v>-1.5</v>
      </c>
      <c r="CA1479" s="169">
        <v>2</v>
      </c>
      <c r="CB1479" s="170">
        <v>35</v>
      </c>
      <c r="CP1479" s="165">
        <v>132</v>
      </c>
      <c r="CQ1479" s="167">
        <v>18.980667838312829</v>
      </c>
      <c r="CR1479" s="168">
        <v>-0.9</v>
      </c>
      <c r="CS1479" s="169">
        <v>3.2</v>
      </c>
      <c r="CT1479" s="170">
        <v>41</v>
      </c>
      <c r="DB1479" s="165">
        <v>67</v>
      </c>
      <c r="DC1479" s="167">
        <v>83.414634146341456</v>
      </c>
      <c r="DD1479" s="168">
        <v>1</v>
      </c>
      <c r="DE1479" s="169">
        <v>7</v>
      </c>
      <c r="DF1479" s="170">
        <v>60</v>
      </c>
    </row>
    <row r="1480" spans="40:110" ht="13.8" hidden="1" thickBot="1" x14ac:dyDescent="0.3">
      <c r="AN1480" s="138" t="s">
        <v>186</v>
      </c>
      <c r="AO1480" s="139"/>
      <c r="AP1480" s="139"/>
      <c r="AQ1480" s="140" t="s">
        <v>180</v>
      </c>
      <c r="AR1480" s="141">
        <v>568</v>
      </c>
      <c r="BX1480" s="165">
        <v>317</v>
      </c>
      <c r="BY1480" s="167">
        <v>6.6901408450704221</v>
      </c>
      <c r="BZ1480" s="168">
        <v>-1.5</v>
      </c>
      <c r="CA1480" s="169">
        <v>2</v>
      </c>
      <c r="CB1480" s="170">
        <v>35</v>
      </c>
      <c r="CP1480" s="165">
        <v>131</v>
      </c>
      <c r="CQ1480" s="167">
        <v>18.980667838312829</v>
      </c>
      <c r="CR1480" s="168">
        <v>-0.9</v>
      </c>
      <c r="CS1480" s="169">
        <v>3.2</v>
      </c>
      <c r="CT1480" s="170">
        <v>41</v>
      </c>
      <c r="DB1480" s="165">
        <v>68</v>
      </c>
      <c r="DC1480" s="167">
        <v>84.634146341463406</v>
      </c>
      <c r="DD1480" s="168">
        <v>1</v>
      </c>
      <c r="DE1480" s="169">
        <v>7</v>
      </c>
      <c r="DF1480" s="170">
        <v>60</v>
      </c>
    </row>
    <row r="1481" spans="40:110" ht="13.15" hidden="1" x14ac:dyDescent="0.25">
      <c r="AN1481" s="144" t="s">
        <v>161</v>
      </c>
      <c r="AP1481" s="20" t="s">
        <v>162</v>
      </c>
      <c r="AR1481" s="145"/>
      <c r="AT1481" s="138" t="s">
        <v>203</v>
      </c>
      <c r="AU1481" s="139"/>
      <c r="AV1481" s="139"/>
      <c r="AW1481" s="140"/>
      <c r="AX1481" s="141">
        <v>569</v>
      </c>
      <c r="BX1481" s="165">
        <v>316</v>
      </c>
      <c r="BY1481" s="167">
        <v>6.6901408450704221</v>
      </c>
      <c r="BZ1481" s="168">
        <v>-1.5</v>
      </c>
      <c r="CA1481" s="169">
        <v>2</v>
      </c>
      <c r="CB1481" s="170">
        <v>35</v>
      </c>
      <c r="CP1481" s="165">
        <v>130</v>
      </c>
      <c r="CQ1481" s="167">
        <v>18.980667838312829</v>
      </c>
      <c r="CR1481" s="168">
        <v>-0.9</v>
      </c>
      <c r="CS1481" s="169">
        <v>3.2</v>
      </c>
      <c r="CT1481" s="170">
        <v>41</v>
      </c>
      <c r="DB1481" s="165">
        <v>69</v>
      </c>
      <c r="DC1481" s="167">
        <v>85.853658536585371</v>
      </c>
      <c r="DD1481" s="168">
        <v>1.1000000000000001</v>
      </c>
      <c r="DE1481" s="169">
        <v>7.2</v>
      </c>
      <c r="DF1481" s="170">
        <v>61</v>
      </c>
    </row>
    <row r="1482" spans="40:110" ht="13.15" hidden="1" thickBot="1" x14ac:dyDescent="0.25">
      <c r="AN1482" s="147"/>
      <c r="AO1482" s="148"/>
      <c r="AP1482" s="179" t="s">
        <v>170</v>
      </c>
      <c r="AQ1482" s="148"/>
      <c r="AR1482" s="149"/>
      <c r="AT1482" s="144" t="s">
        <v>161</v>
      </c>
      <c r="AV1482" s="20" t="s">
        <v>336</v>
      </c>
      <c r="AX1482" s="145"/>
      <c r="BX1482" s="165">
        <v>315</v>
      </c>
      <c r="BY1482" s="167">
        <v>6.6901408450704221</v>
      </c>
      <c r="BZ1482" s="168">
        <v>-1.5</v>
      </c>
      <c r="CA1482" s="169">
        <v>2</v>
      </c>
      <c r="CB1482" s="170">
        <v>35</v>
      </c>
      <c r="CP1482" s="165">
        <v>129</v>
      </c>
      <c r="CQ1482" s="167">
        <v>21.441124780316343</v>
      </c>
      <c r="CR1482" s="168">
        <v>-0.8</v>
      </c>
      <c r="CS1482" s="169">
        <v>3.4</v>
      </c>
      <c r="CT1482" s="170">
        <v>42</v>
      </c>
      <c r="DB1482" s="165">
        <v>70</v>
      </c>
      <c r="DC1482" s="167">
        <v>87.439024390243901</v>
      </c>
      <c r="DD1482" s="168">
        <v>1.1000000000000001</v>
      </c>
      <c r="DE1482" s="169">
        <v>7.2</v>
      </c>
      <c r="DF1482" s="170">
        <v>61</v>
      </c>
    </row>
    <row r="1483" spans="40:110" ht="13.15" hidden="1" thickBot="1" x14ac:dyDescent="0.25">
      <c r="AN1483" s="150" t="s">
        <v>164</v>
      </c>
      <c r="AO1483" s="151" t="s">
        <v>35</v>
      </c>
      <c r="AP1483" s="152"/>
      <c r="AQ1483" s="152"/>
      <c r="AR1483" s="153"/>
      <c r="AT1483" s="181" t="s">
        <v>199</v>
      </c>
      <c r="AU1483" s="148"/>
      <c r="AV1483" s="148"/>
      <c r="AW1483" s="148"/>
      <c r="AX1483" s="149"/>
      <c r="BX1483" s="165">
        <v>314</v>
      </c>
      <c r="BY1483" s="167">
        <v>6.6901408450704221</v>
      </c>
      <c r="BZ1483" s="168">
        <v>-1.5</v>
      </c>
      <c r="CA1483" s="169">
        <v>2</v>
      </c>
      <c r="CB1483" s="170">
        <v>35</v>
      </c>
      <c r="CP1483" s="165">
        <v>128</v>
      </c>
      <c r="CQ1483" s="167">
        <v>21.441124780316343</v>
      </c>
      <c r="CR1483" s="168">
        <v>-0.8</v>
      </c>
      <c r="CS1483" s="169">
        <v>3.4</v>
      </c>
      <c r="CT1483" s="170">
        <v>42</v>
      </c>
      <c r="DB1483" s="165">
        <v>71</v>
      </c>
      <c r="DC1483" s="167">
        <v>88.902439024390247</v>
      </c>
      <c r="DD1483" s="168">
        <v>1.2</v>
      </c>
      <c r="DE1483" s="169">
        <v>7.4</v>
      </c>
      <c r="DF1483" s="170">
        <v>62</v>
      </c>
    </row>
    <row r="1484" spans="40:110" ht="13.15" hidden="1" thickBot="1" x14ac:dyDescent="0.25">
      <c r="AN1484" s="155" t="s">
        <v>10</v>
      </c>
      <c r="AO1484" s="156" t="s">
        <v>13</v>
      </c>
      <c r="AP1484" s="156" t="s">
        <v>14</v>
      </c>
      <c r="AQ1484" s="156" t="s">
        <v>15</v>
      </c>
      <c r="AR1484" s="159" t="s">
        <v>16</v>
      </c>
      <c r="AT1484" s="150" t="s">
        <v>164</v>
      </c>
      <c r="AU1484" s="151" t="s">
        <v>332</v>
      </c>
      <c r="AV1484" s="152"/>
      <c r="AW1484" s="152"/>
      <c r="AX1484" s="153"/>
      <c r="BX1484" s="165">
        <v>313</v>
      </c>
      <c r="BY1484" s="167">
        <v>6.6901408450704221</v>
      </c>
      <c r="BZ1484" s="168">
        <v>-1.5</v>
      </c>
      <c r="CA1484" s="169">
        <v>2</v>
      </c>
      <c r="CB1484" s="170">
        <v>35</v>
      </c>
      <c r="CP1484" s="165">
        <v>127</v>
      </c>
      <c r="CQ1484" s="167">
        <v>21.441124780316343</v>
      </c>
      <c r="CR1484" s="168">
        <v>-0.8</v>
      </c>
      <c r="CS1484" s="169">
        <v>3.4</v>
      </c>
      <c r="CT1484" s="170">
        <v>42</v>
      </c>
      <c r="DB1484" s="165">
        <v>72</v>
      </c>
      <c r="DC1484" s="167">
        <v>90.121951219512198</v>
      </c>
      <c r="DD1484" s="168">
        <v>1.3</v>
      </c>
      <c r="DE1484" s="169">
        <v>7.6</v>
      </c>
      <c r="DF1484" s="170">
        <v>63</v>
      </c>
    </row>
    <row r="1485" spans="40:110" ht="13.15" hidden="1" thickBot="1" x14ac:dyDescent="0.25">
      <c r="AN1485" s="160">
        <v>2</v>
      </c>
      <c r="AO1485" s="161">
        <v>8.8028169014084515E-2</v>
      </c>
      <c r="AP1485" s="162">
        <v>-3</v>
      </c>
      <c r="AQ1485" s="163">
        <v>-1</v>
      </c>
      <c r="AR1485" s="164">
        <v>20</v>
      </c>
      <c r="AT1485" s="155" t="s">
        <v>10</v>
      </c>
      <c r="AU1485" s="156" t="s">
        <v>13</v>
      </c>
      <c r="AV1485" s="156" t="s">
        <v>14</v>
      </c>
      <c r="AW1485" s="156" t="s">
        <v>15</v>
      </c>
      <c r="AX1485" s="159" t="s">
        <v>16</v>
      </c>
      <c r="BX1485" s="165">
        <v>312</v>
      </c>
      <c r="BY1485" s="167">
        <v>6.6901408450704221</v>
      </c>
      <c r="BZ1485" s="168">
        <v>-1.5</v>
      </c>
      <c r="CA1485" s="169">
        <v>2</v>
      </c>
      <c r="CB1485" s="170">
        <v>35</v>
      </c>
      <c r="CP1485" s="165">
        <v>126</v>
      </c>
      <c r="CQ1485" s="167">
        <v>21.441124780316343</v>
      </c>
      <c r="CR1485" s="168">
        <v>-0.8</v>
      </c>
      <c r="CS1485" s="169">
        <v>3.4</v>
      </c>
      <c r="CT1485" s="170">
        <v>42</v>
      </c>
      <c r="DB1485" s="165">
        <v>73</v>
      </c>
      <c r="DC1485" s="167">
        <v>91.341463414634148</v>
      </c>
      <c r="DD1485" s="168">
        <v>1.4</v>
      </c>
      <c r="DE1485" s="169">
        <v>7.8</v>
      </c>
      <c r="DF1485" s="170">
        <v>64</v>
      </c>
    </row>
    <row r="1486" spans="40:110" hidden="1" x14ac:dyDescent="0.2">
      <c r="AN1486" s="165">
        <v>1</v>
      </c>
      <c r="AO1486" s="167">
        <v>0.61619718309859151</v>
      </c>
      <c r="AP1486" s="168">
        <v>-2.5</v>
      </c>
      <c r="AQ1486" s="169">
        <v>0</v>
      </c>
      <c r="AR1486" s="170">
        <v>25</v>
      </c>
      <c r="AS1486" s="20">
        <f t="shared" ref="AS1486:AS1518" si="43">AT1486*2</f>
        <v>0</v>
      </c>
      <c r="AT1486" s="160">
        <v>0</v>
      </c>
      <c r="AU1486" s="161">
        <v>0</v>
      </c>
      <c r="AV1486" s="162">
        <v>-3.1</v>
      </c>
      <c r="AW1486" s="163">
        <v>-1.2</v>
      </c>
      <c r="AX1486" s="164">
        <v>19</v>
      </c>
      <c r="BX1486" s="165">
        <v>311</v>
      </c>
      <c r="BY1486" s="167">
        <v>6.6901408450704221</v>
      </c>
      <c r="BZ1486" s="168">
        <v>-1.5</v>
      </c>
      <c r="CA1486" s="169">
        <v>2</v>
      </c>
      <c r="CB1486" s="170">
        <v>35</v>
      </c>
      <c r="CP1486" s="165">
        <v>125</v>
      </c>
      <c r="CQ1486" s="167">
        <v>21.441124780316343</v>
      </c>
      <c r="CR1486" s="168">
        <v>-0.8</v>
      </c>
      <c r="CS1486" s="169">
        <v>3.4</v>
      </c>
      <c r="CT1486" s="170">
        <v>42</v>
      </c>
      <c r="DB1486" s="165">
        <v>74</v>
      </c>
      <c r="DC1486" s="167">
        <v>92.195121951219519</v>
      </c>
      <c r="DD1486" s="168">
        <v>1.4</v>
      </c>
      <c r="DE1486" s="169">
        <v>7.8</v>
      </c>
      <c r="DF1486" s="170">
        <v>64</v>
      </c>
    </row>
    <row r="1487" spans="40:110" ht="13.15" hidden="1" thickBot="1" x14ac:dyDescent="0.25">
      <c r="AN1487" s="172">
        <v>0</v>
      </c>
      <c r="AO1487" s="173">
        <v>50.528169014084511</v>
      </c>
      <c r="AP1487" s="174">
        <v>0</v>
      </c>
      <c r="AQ1487" s="175">
        <v>5</v>
      </c>
      <c r="AR1487" s="176">
        <v>50</v>
      </c>
      <c r="AS1487" s="20">
        <f t="shared" si="43"/>
        <v>1</v>
      </c>
      <c r="AT1487" s="165">
        <v>0.5</v>
      </c>
      <c r="AU1487" s="167">
        <v>0</v>
      </c>
      <c r="AV1487" s="168">
        <v>-3.1</v>
      </c>
      <c r="AW1487" s="169">
        <v>-1.2</v>
      </c>
      <c r="AX1487" s="170">
        <v>19</v>
      </c>
      <c r="BX1487" s="165">
        <v>310</v>
      </c>
      <c r="BY1487" s="167">
        <v>6.6901408450704221</v>
      </c>
      <c r="BZ1487" s="168">
        <v>-1.5</v>
      </c>
      <c r="CA1487" s="169">
        <v>2</v>
      </c>
      <c r="CB1487" s="170">
        <v>35</v>
      </c>
      <c r="CP1487" s="165">
        <v>124</v>
      </c>
      <c r="CQ1487" s="167">
        <v>21.441124780316343</v>
      </c>
      <c r="CR1487" s="168">
        <v>-0.8</v>
      </c>
      <c r="CS1487" s="169">
        <v>3.4</v>
      </c>
      <c r="CT1487" s="170">
        <v>42</v>
      </c>
      <c r="DB1487" s="165">
        <v>75</v>
      </c>
      <c r="DC1487" s="167">
        <v>92.682926829268297</v>
      </c>
      <c r="DD1487" s="168">
        <v>1.5</v>
      </c>
      <c r="DE1487" s="169">
        <v>8</v>
      </c>
      <c r="DF1487" s="170">
        <v>65</v>
      </c>
    </row>
    <row r="1488" spans="40:110" hidden="1" x14ac:dyDescent="0.2">
      <c r="AS1488" s="20">
        <f t="shared" si="43"/>
        <v>2</v>
      </c>
      <c r="AT1488" s="165">
        <v>1</v>
      </c>
      <c r="AU1488" s="167">
        <v>0</v>
      </c>
      <c r="AV1488" s="168">
        <v>-3.1</v>
      </c>
      <c r="AW1488" s="169">
        <v>-1.2</v>
      </c>
      <c r="AX1488" s="170">
        <v>19</v>
      </c>
      <c r="BX1488" s="165">
        <v>309</v>
      </c>
      <c r="BY1488" s="167">
        <v>7.3943661971830981</v>
      </c>
      <c r="BZ1488" s="168">
        <v>-1.4</v>
      </c>
      <c r="CA1488" s="169">
        <v>2.2000000000000002</v>
      </c>
      <c r="CB1488" s="170">
        <v>36</v>
      </c>
      <c r="CP1488" s="165">
        <v>123</v>
      </c>
      <c r="CQ1488" s="167">
        <v>21.441124780316343</v>
      </c>
      <c r="CR1488" s="168">
        <v>-0.8</v>
      </c>
      <c r="CS1488" s="169">
        <v>3.4</v>
      </c>
      <c r="CT1488" s="170">
        <v>42</v>
      </c>
      <c r="DB1488" s="165">
        <v>76</v>
      </c>
      <c r="DC1488" s="167">
        <v>93.292682926829272</v>
      </c>
      <c r="DD1488" s="168">
        <v>1.5</v>
      </c>
      <c r="DE1488" s="169">
        <v>8</v>
      </c>
      <c r="DF1488" s="170">
        <v>65</v>
      </c>
    </row>
    <row r="1489" spans="40:110" ht="13.15" hidden="1" thickBot="1" x14ac:dyDescent="0.25">
      <c r="AS1489" s="20">
        <f t="shared" si="43"/>
        <v>3</v>
      </c>
      <c r="AT1489" s="165">
        <v>1.5</v>
      </c>
      <c r="AU1489" s="167">
        <v>0</v>
      </c>
      <c r="AV1489" s="168">
        <v>-3.1</v>
      </c>
      <c r="AW1489" s="169">
        <v>-1.2</v>
      </c>
      <c r="AX1489" s="170">
        <v>19</v>
      </c>
      <c r="BX1489" s="165">
        <v>308</v>
      </c>
      <c r="BY1489" s="167">
        <v>7.3943661971830981</v>
      </c>
      <c r="BZ1489" s="168">
        <v>-1.4</v>
      </c>
      <c r="CA1489" s="169">
        <v>2.2000000000000002</v>
      </c>
      <c r="CB1489" s="170">
        <v>36</v>
      </c>
      <c r="CP1489" s="165">
        <v>122</v>
      </c>
      <c r="CQ1489" s="167">
        <v>21.441124780316343</v>
      </c>
      <c r="CR1489" s="168">
        <v>-0.8</v>
      </c>
      <c r="CS1489" s="169">
        <v>3.4</v>
      </c>
      <c r="CT1489" s="170">
        <v>42</v>
      </c>
      <c r="DB1489" s="165">
        <v>77</v>
      </c>
      <c r="DC1489" s="167">
        <v>93.902439024390233</v>
      </c>
      <c r="DD1489" s="168">
        <v>1.5</v>
      </c>
      <c r="DE1489" s="169">
        <v>8</v>
      </c>
      <c r="DF1489" s="170">
        <v>65</v>
      </c>
    </row>
    <row r="1490" spans="40:110" ht="13.15" hidden="1" x14ac:dyDescent="0.25">
      <c r="AN1490" s="138" t="s">
        <v>186</v>
      </c>
      <c r="AO1490" s="139"/>
      <c r="AP1490" s="139"/>
      <c r="AQ1490" s="140" t="s">
        <v>180</v>
      </c>
      <c r="AR1490" s="141">
        <v>567</v>
      </c>
      <c r="AS1490" s="20">
        <f t="shared" si="43"/>
        <v>4</v>
      </c>
      <c r="AT1490" s="165">
        <v>2</v>
      </c>
      <c r="AU1490" s="167">
        <v>0</v>
      </c>
      <c r="AV1490" s="168">
        <v>-3.1</v>
      </c>
      <c r="AW1490" s="169">
        <v>-1.2</v>
      </c>
      <c r="AX1490" s="170">
        <v>19</v>
      </c>
      <c r="BX1490" s="165">
        <v>307</v>
      </c>
      <c r="BY1490" s="167">
        <v>7.3943661971830981</v>
      </c>
      <c r="BZ1490" s="168">
        <v>-1.4</v>
      </c>
      <c r="CA1490" s="169">
        <v>2.2000000000000002</v>
      </c>
      <c r="CB1490" s="170">
        <v>36</v>
      </c>
      <c r="CP1490" s="165">
        <v>121</v>
      </c>
      <c r="CQ1490" s="167">
        <v>21.441124780316343</v>
      </c>
      <c r="CR1490" s="168">
        <v>-0.8</v>
      </c>
      <c r="CS1490" s="169">
        <v>3.4</v>
      </c>
      <c r="CT1490" s="170">
        <v>42</v>
      </c>
      <c r="DB1490" s="165">
        <v>78</v>
      </c>
      <c r="DC1490" s="167">
        <v>94.390243902439025</v>
      </c>
      <c r="DD1490" s="168">
        <v>1.6</v>
      </c>
      <c r="DE1490" s="169">
        <v>8.1999999999999993</v>
      </c>
      <c r="DF1490" s="170">
        <v>66</v>
      </c>
    </row>
    <row r="1491" spans="40:110" hidden="1" x14ac:dyDescent="0.2">
      <c r="AN1491" s="144" t="s">
        <v>161</v>
      </c>
      <c r="AP1491" s="20" t="s">
        <v>162</v>
      </c>
      <c r="AR1491" s="145"/>
      <c r="AS1491" s="20">
        <f t="shared" si="43"/>
        <v>5</v>
      </c>
      <c r="AT1491" s="165">
        <v>2.5</v>
      </c>
      <c r="AU1491" s="167">
        <v>0</v>
      </c>
      <c r="AV1491" s="168">
        <v>-3.1</v>
      </c>
      <c r="AW1491" s="169">
        <v>-1.2</v>
      </c>
      <c r="AX1491" s="170">
        <v>19</v>
      </c>
      <c r="BX1491" s="165">
        <v>306</v>
      </c>
      <c r="BY1491" s="167">
        <v>7.3943661971830981</v>
      </c>
      <c r="BZ1491" s="168">
        <v>-1.4</v>
      </c>
      <c r="CA1491" s="169">
        <v>2.2000000000000002</v>
      </c>
      <c r="CB1491" s="170">
        <v>36</v>
      </c>
      <c r="CP1491" s="165">
        <v>120</v>
      </c>
      <c r="CQ1491" s="167">
        <v>21.441124780316343</v>
      </c>
      <c r="CR1491" s="168">
        <v>-0.8</v>
      </c>
      <c r="CS1491" s="169">
        <v>3.4</v>
      </c>
      <c r="CT1491" s="170">
        <v>42</v>
      </c>
      <c r="DB1491" s="165">
        <v>79</v>
      </c>
      <c r="DC1491" s="167">
        <v>95.243902439024382</v>
      </c>
      <c r="DD1491" s="168">
        <v>1.7</v>
      </c>
      <c r="DE1491" s="169">
        <v>8.4</v>
      </c>
      <c r="DF1491" s="170">
        <v>67</v>
      </c>
    </row>
    <row r="1492" spans="40:110" ht="13.15" hidden="1" thickBot="1" x14ac:dyDescent="0.25">
      <c r="AN1492" s="147"/>
      <c r="AO1492" s="148"/>
      <c r="AP1492" s="179" t="s">
        <v>170</v>
      </c>
      <c r="AQ1492" s="148"/>
      <c r="AR1492" s="149"/>
      <c r="AS1492" s="20">
        <f t="shared" si="43"/>
        <v>6</v>
      </c>
      <c r="AT1492" s="165">
        <v>3</v>
      </c>
      <c r="AU1492" s="167">
        <v>0</v>
      </c>
      <c r="AV1492" s="168">
        <v>-3.1</v>
      </c>
      <c r="AW1492" s="169">
        <v>-1.2</v>
      </c>
      <c r="AX1492" s="170">
        <v>19</v>
      </c>
      <c r="BX1492" s="165">
        <v>305</v>
      </c>
      <c r="BY1492" s="167">
        <v>7.3943661971830981</v>
      </c>
      <c r="BZ1492" s="168">
        <v>-1.4</v>
      </c>
      <c r="CA1492" s="169">
        <v>2.2000000000000002</v>
      </c>
      <c r="CB1492" s="170">
        <v>36</v>
      </c>
      <c r="CP1492" s="165">
        <v>119</v>
      </c>
      <c r="CQ1492" s="167">
        <v>25.395430579964852</v>
      </c>
      <c r="CR1492" s="168">
        <v>-0.7</v>
      </c>
      <c r="CS1492" s="169">
        <v>3.6</v>
      </c>
      <c r="CT1492" s="170">
        <v>43</v>
      </c>
      <c r="DB1492" s="165">
        <v>80</v>
      </c>
      <c r="DC1492" s="167">
        <v>95.243902439024382</v>
      </c>
      <c r="DD1492" s="168">
        <v>1.7</v>
      </c>
      <c r="DE1492" s="169">
        <v>8.4</v>
      </c>
      <c r="DF1492" s="170">
        <v>67</v>
      </c>
    </row>
    <row r="1493" spans="40:110" ht="13.15" hidden="1" thickBot="1" x14ac:dyDescent="0.25">
      <c r="AN1493" s="150" t="s">
        <v>164</v>
      </c>
      <c r="AO1493" s="151" t="s">
        <v>36</v>
      </c>
      <c r="AP1493" s="152"/>
      <c r="AQ1493" s="152"/>
      <c r="AR1493" s="153"/>
      <c r="AS1493" s="20">
        <f t="shared" si="43"/>
        <v>7</v>
      </c>
      <c r="AT1493" s="165">
        <v>3.5</v>
      </c>
      <c r="AU1493" s="167">
        <v>0</v>
      </c>
      <c r="AV1493" s="168">
        <v>-3.1</v>
      </c>
      <c r="AW1493" s="169">
        <v>-1.2</v>
      </c>
      <c r="AX1493" s="170">
        <v>19</v>
      </c>
      <c r="BX1493" s="165">
        <v>304</v>
      </c>
      <c r="BY1493" s="167">
        <v>7.3943661971830981</v>
      </c>
      <c r="BZ1493" s="168">
        <v>-1.4</v>
      </c>
      <c r="CA1493" s="169">
        <v>2.2000000000000002</v>
      </c>
      <c r="CB1493" s="170">
        <v>36</v>
      </c>
      <c r="CP1493" s="165">
        <v>118</v>
      </c>
      <c r="CQ1493" s="167">
        <v>25.395430579964852</v>
      </c>
      <c r="CR1493" s="168">
        <v>-0.7</v>
      </c>
      <c r="CS1493" s="169">
        <v>3.6</v>
      </c>
      <c r="CT1493" s="170">
        <v>43</v>
      </c>
      <c r="DB1493" s="165">
        <v>81</v>
      </c>
      <c r="DC1493" s="167">
        <v>96.341463414634148</v>
      </c>
      <c r="DD1493" s="168">
        <v>1.8</v>
      </c>
      <c r="DE1493" s="169">
        <v>8.6</v>
      </c>
      <c r="DF1493" s="170">
        <v>68</v>
      </c>
    </row>
    <row r="1494" spans="40:110" ht="13.15" hidden="1" thickBot="1" x14ac:dyDescent="0.25">
      <c r="AN1494" s="155" t="s">
        <v>10</v>
      </c>
      <c r="AO1494" s="156" t="s">
        <v>13</v>
      </c>
      <c r="AP1494" s="156" t="s">
        <v>14</v>
      </c>
      <c r="AQ1494" s="156" t="s">
        <v>15</v>
      </c>
      <c r="AR1494" s="159" t="s">
        <v>16</v>
      </c>
      <c r="AS1494" s="20">
        <f t="shared" si="43"/>
        <v>8</v>
      </c>
      <c r="AT1494" s="165">
        <v>4</v>
      </c>
      <c r="AU1494" s="167">
        <v>0</v>
      </c>
      <c r="AV1494" s="168">
        <v>-3.1</v>
      </c>
      <c r="AW1494" s="169">
        <v>-1.2</v>
      </c>
      <c r="AX1494" s="170">
        <v>19</v>
      </c>
      <c r="BX1494" s="165">
        <v>303</v>
      </c>
      <c r="BY1494" s="167">
        <v>7.3943661971830981</v>
      </c>
      <c r="BZ1494" s="168">
        <v>-1.4</v>
      </c>
      <c r="CA1494" s="169">
        <v>2.2000000000000002</v>
      </c>
      <c r="CB1494" s="170">
        <v>36</v>
      </c>
      <c r="CP1494" s="165">
        <v>117</v>
      </c>
      <c r="CQ1494" s="167">
        <v>25.395430579964852</v>
      </c>
      <c r="CR1494" s="168">
        <v>-0.7</v>
      </c>
      <c r="CS1494" s="169">
        <v>3.6</v>
      </c>
      <c r="CT1494" s="170">
        <v>43</v>
      </c>
      <c r="DB1494" s="165">
        <v>82</v>
      </c>
      <c r="DC1494" s="167">
        <v>97.195121951219505</v>
      </c>
      <c r="DD1494" s="168">
        <v>1.9</v>
      </c>
      <c r="DE1494" s="169">
        <v>8.8000000000000007</v>
      </c>
      <c r="DF1494" s="170">
        <v>69</v>
      </c>
    </row>
    <row r="1495" spans="40:110" hidden="1" x14ac:dyDescent="0.2">
      <c r="AN1495" s="160">
        <v>2</v>
      </c>
      <c r="AO1495" s="161">
        <v>8.8183421516754845E-2</v>
      </c>
      <c r="AP1495" s="162">
        <v>-3</v>
      </c>
      <c r="AQ1495" s="163">
        <v>-1</v>
      </c>
      <c r="AR1495" s="164">
        <v>20</v>
      </c>
      <c r="AS1495" s="20">
        <f t="shared" si="43"/>
        <v>9</v>
      </c>
      <c r="AT1495" s="165">
        <v>4.5</v>
      </c>
      <c r="AU1495" s="167">
        <v>0.17574692442882248</v>
      </c>
      <c r="AV1495" s="168">
        <v>-2.9</v>
      </c>
      <c r="AW1495" s="169">
        <v>-0.8</v>
      </c>
      <c r="AX1495" s="170">
        <v>21</v>
      </c>
      <c r="BX1495" s="165">
        <v>302</v>
      </c>
      <c r="BY1495" s="167">
        <v>7.3943661971830981</v>
      </c>
      <c r="BZ1495" s="168">
        <v>-1.4</v>
      </c>
      <c r="CA1495" s="169">
        <v>2.2000000000000002</v>
      </c>
      <c r="CB1495" s="170">
        <v>36</v>
      </c>
      <c r="CP1495" s="165">
        <v>116</v>
      </c>
      <c r="CQ1495" s="167">
        <v>25.395430579964852</v>
      </c>
      <c r="CR1495" s="168">
        <v>-0.7</v>
      </c>
      <c r="CS1495" s="169">
        <v>3.6</v>
      </c>
      <c r="CT1495" s="170">
        <v>43</v>
      </c>
      <c r="DB1495" s="165">
        <v>83</v>
      </c>
      <c r="DC1495" s="167">
        <v>97.926829268292678</v>
      </c>
      <c r="DD1495" s="168">
        <v>2</v>
      </c>
      <c r="DE1495" s="169">
        <v>9</v>
      </c>
      <c r="DF1495" s="170">
        <v>70</v>
      </c>
    </row>
    <row r="1496" spans="40:110" hidden="1" x14ac:dyDescent="0.2">
      <c r="AN1496" s="165">
        <v>1</v>
      </c>
      <c r="AO1496" s="167">
        <v>0.70546737213403876</v>
      </c>
      <c r="AP1496" s="168">
        <v>-2.5</v>
      </c>
      <c r="AQ1496" s="169">
        <v>0</v>
      </c>
      <c r="AR1496" s="170">
        <v>25</v>
      </c>
      <c r="AS1496" s="20">
        <f t="shared" si="43"/>
        <v>10</v>
      </c>
      <c r="AT1496" s="165">
        <v>5</v>
      </c>
      <c r="AU1496" s="167">
        <v>0.52724077328646746</v>
      </c>
      <c r="AV1496" s="168">
        <v>-2.6</v>
      </c>
      <c r="AW1496" s="169">
        <v>-0.2</v>
      </c>
      <c r="AX1496" s="170">
        <v>24</v>
      </c>
      <c r="BX1496" s="165">
        <v>301</v>
      </c>
      <c r="BY1496" s="167">
        <v>7.3943661971830981</v>
      </c>
      <c r="BZ1496" s="168">
        <v>-1.4</v>
      </c>
      <c r="CA1496" s="169">
        <v>2.2000000000000002</v>
      </c>
      <c r="CB1496" s="170">
        <v>36</v>
      </c>
      <c r="CP1496" s="165">
        <v>115</v>
      </c>
      <c r="CQ1496" s="167">
        <v>25.395430579964852</v>
      </c>
      <c r="CR1496" s="168">
        <v>-0.7</v>
      </c>
      <c r="CS1496" s="169">
        <v>3.6</v>
      </c>
      <c r="CT1496" s="170">
        <v>43</v>
      </c>
      <c r="DB1496" s="165">
        <v>84</v>
      </c>
      <c r="DC1496" s="167">
        <v>97.926829268292678</v>
      </c>
      <c r="DD1496" s="168">
        <v>2</v>
      </c>
      <c r="DE1496" s="169">
        <v>9</v>
      </c>
      <c r="DF1496" s="170">
        <v>70</v>
      </c>
    </row>
    <row r="1497" spans="40:110" ht="13.15" hidden="1" thickBot="1" x14ac:dyDescent="0.25">
      <c r="AN1497" s="172">
        <v>0</v>
      </c>
      <c r="AO1497" s="173">
        <v>50.617283950617285</v>
      </c>
      <c r="AP1497" s="174">
        <v>0</v>
      </c>
      <c r="AQ1497" s="175">
        <v>5</v>
      </c>
      <c r="AR1497" s="176">
        <v>50</v>
      </c>
      <c r="AS1497" s="20">
        <f t="shared" si="43"/>
        <v>11</v>
      </c>
      <c r="AT1497" s="165">
        <v>5.5</v>
      </c>
      <c r="AU1497" s="167">
        <v>0.96660808435852363</v>
      </c>
      <c r="AV1497" s="168">
        <v>-2.2999999999999998</v>
      </c>
      <c r="AW1497" s="169">
        <v>0.4</v>
      </c>
      <c r="AX1497" s="170">
        <v>27</v>
      </c>
      <c r="BX1497" s="165">
        <v>300</v>
      </c>
      <c r="BY1497" s="167">
        <v>7.3943661971830981</v>
      </c>
      <c r="BZ1497" s="168">
        <v>-1.4</v>
      </c>
      <c r="CA1497" s="169">
        <v>2.2000000000000002</v>
      </c>
      <c r="CB1497" s="170">
        <v>36</v>
      </c>
      <c r="CP1497" s="165">
        <v>114</v>
      </c>
      <c r="CQ1497" s="167">
        <v>25.395430579964852</v>
      </c>
      <c r="CR1497" s="168">
        <v>-0.7</v>
      </c>
      <c r="CS1497" s="169">
        <v>3.6</v>
      </c>
      <c r="CT1497" s="170">
        <v>43</v>
      </c>
      <c r="DB1497" s="165">
        <v>85</v>
      </c>
      <c r="DC1497" s="167">
        <v>98.536585365853654</v>
      </c>
      <c r="DD1497" s="168">
        <v>2.2000000000000002</v>
      </c>
      <c r="DE1497" s="169">
        <v>9.4</v>
      </c>
      <c r="DF1497" s="170">
        <v>72</v>
      </c>
    </row>
    <row r="1498" spans="40:110" hidden="1" x14ac:dyDescent="0.2">
      <c r="AS1498" s="20">
        <f t="shared" si="43"/>
        <v>12</v>
      </c>
      <c r="AT1498" s="165">
        <v>6</v>
      </c>
      <c r="AU1498" s="167">
        <v>1.4059753954305798</v>
      </c>
      <c r="AV1498" s="168">
        <v>-2.2000000000000002</v>
      </c>
      <c r="AW1498" s="169">
        <v>0.6</v>
      </c>
      <c r="AX1498" s="170">
        <v>28</v>
      </c>
      <c r="BX1498" s="165">
        <v>299</v>
      </c>
      <c r="BY1498" s="167">
        <v>8.362676056338028</v>
      </c>
      <c r="BZ1498" s="168">
        <v>-1.4</v>
      </c>
      <c r="CA1498" s="169">
        <v>2.2000000000000002</v>
      </c>
      <c r="CB1498" s="170">
        <v>36</v>
      </c>
      <c r="CP1498" s="165">
        <v>113</v>
      </c>
      <c r="CQ1498" s="167">
        <v>25.395430579964852</v>
      </c>
      <c r="CR1498" s="168">
        <v>-0.7</v>
      </c>
      <c r="CS1498" s="169">
        <v>3.6</v>
      </c>
      <c r="CT1498" s="170">
        <v>43</v>
      </c>
      <c r="DB1498" s="165">
        <v>86</v>
      </c>
      <c r="DC1498" s="167">
        <v>98.536585365853654</v>
      </c>
      <c r="DD1498" s="168">
        <v>2.2000000000000002</v>
      </c>
      <c r="DE1498" s="169">
        <v>9.4</v>
      </c>
      <c r="DF1498" s="170">
        <v>72</v>
      </c>
    </row>
    <row r="1499" spans="40:110" hidden="1" x14ac:dyDescent="0.2">
      <c r="AS1499" s="20">
        <f t="shared" si="43"/>
        <v>13</v>
      </c>
      <c r="AT1499" s="165">
        <v>6.5</v>
      </c>
      <c r="AU1499" s="167">
        <v>1.6695957820738139</v>
      </c>
      <c r="AV1499" s="168">
        <v>-2.1</v>
      </c>
      <c r="AW1499" s="169">
        <v>0.8</v>
      </c>
      <c r="AX1499" s="170">
        <v>29</v>
      </c>
      <c r="BX1499" s="165">
        <v>298</v>
      </c>
      <c r="BY1499" s="167">
        <v>8.362676056338028</v>
      </c>
      <c r="BZ1499" s="168">
        <v>-1.4</v>
      </c>
      <c r="CA1499" s="169">
        <v>2.2000000000000002</v>
      </c>
      <c r="CB1499" s="170">
        <v>36</v>
      </c>
      <c r="CP1499" s="165">
        <v>112</v>
      </c>
      <c r="CQ1499" s="167">
        <v>25.395430579964852</v>
      </c>
      <c r="CR1499" s="168">
        <v>-0.7</v>
      </c>
      <c r="CS1499" s="169">
        <v>3.6</v>
      </c>
      <c r="CT1499" s="170">
        <v>43</v>
      </c>
      <c r="DB1499" s="165">
        <v>87</v>
      </c>
      <c r="DC1499" s="167">
        <v>98.902439024390247</v>
      </c>
      <c r="DD1499" s="168">
        <v>2.2999999999999998</v>
      </c>
      <c r="DE1499" s="169">
        <v>9.6</v>
      </c>
      <c r="DF1499" s="170">
        <v>73</v>
      </c>
    </row>
    <row r="1500" spans="40:110" hidden="1" x14ac:dyDescent="0.2">
      <c r="AS1500" s="20">
        <f t="shared" si="43"/>
        <v>14</v>
      </c>
      <c r="AT1500" s="165">
        <v>7</v>
      </c>
      <c r="AU1500" s="167">
        <v>1.845342706502636</v>
      </c>
      <c r="AV1500" s="168">
        <v>-2.1</v>
      </c>
      <c r="AW1500" s="169">
        <v>0.8</v>
      </c>
      <c r="AX1500" s="170">
        <v>29</v>
      </c>
      <c r="BX1500" s="165">
        <v>297</v>
      </c>
      <c r="BY1500" s="167">
        <v>8.362676056338028</v>
      </c>
      <c r="BZ1500" s="168">
        <v>-1.4</v>
      </c>
      <c r="CA1500" s="169">
        <v>2.2000000000000002</v>
      </c>
      <c r="CB1500" s="170">
        <v>36</v>
      </c>
      <c r="CP1500" s="165">
        <v>111</v>
      </c>
      <c r="CQ1500" s="167">
        <v>25.395430579964852</v>
      </c>
      <c r="CR1500" s="168">
        <v>-0.7</v>
      </c>
      <c r="CS1500" s="169">
        <v>3.6</v>
      </c>
      <c r="CT1500" s="170">
        <v>43</v>
      </c>
      <c r="DB1500" s="165">
        <v>88</v>
      </c>
      <c r="DC1500" s="167">
        <v>99.146341463414629</v>
      </c>
      <c r="DD1500" s="168">
        <v>2.4</v>
      </c>
      <c r="DE1500" s="169">
        <v>9.8000000000000007</v>
      </c>
      <c r="DF1500" s="170">
        <v>74</v>
      </c>
    </row>
    <row r="1501" spans="40:110" ht="13.15" hidden="1" thickBot="1" x14ac:dyDescent="0.25">
      <c r="AS1501" s="20">
        <f t="shared" si="43"/>
        <v>15</v>
      </c>
      <c r="AT1501" s="165">
        <v>7.5</v>
      </c>
      <c r="AU1501" s="167">
        <v>2.2847100175746924</v>
      </c>
      <c r="AV1501" s="168">
        <v>-2</v>
      </c>
      <c r="AW1501" s="169">
        <v>1</v>
      </c>
      <c r="AX1501" s="170">
        <v>30</v>
      </c>
      <c r="BX1501" s="165">
        <v>296</v>
      </c>
      <c r="BY1501" s="167">
        <v>8.362676056338028</v>
      </c>
      <c r="BZ1501" s="168">
        <v>-1.4</v>
      </c>
      <c r="CA1501" s="169">
        <v>2.2000000000000002</v>
      </c>
      <c r="CB1501" s="170">
        <v>36</v>
      </c>
      <c r="CP1501" s="165">
        <v>110</v>
      </c>
      <c r="CQ1501" s="167">
        <v>25.395430579964852</v>
      </c>
      <c r="CR1501" s="168">
        <v>-0.7</v>
      </c>
      <c r="CS1501" s="169">
        <v>3.6</v>
      </c>
      <c r="CT1501" s="170">
        <v>43</v>
      </c>
      <c r="DB1501" s="165">
        <v>89</v>
      </c>
      <c r="DC1501" s="167">
        <v>99.390243902439025</v>
      </c>
      <c r="DD1501" s="168">
        <v>2.5</v>
      </c>
      <c r="DE1501" s="169">
        <v>10</v>
      </c>
      <c r="DF1501" s="170">
        <v>75</v>
      </c>
    </row>
    <row r="1502" spans="40:110" ht="13.15" hidden="1" x14ac:dyDescent="0.25">
      <c r="AN1502" s="138" t="s">
        <v>186</v>
      </c>
      <c r="AO1502" s="139"/>
      <c r="AP1502" s="139"/>
      <c r="AQ1502" s="140" t="s">
        <v>180</v>
      </c>
      <c r="AR1502" s="141">
        <v>568</v>
      </c>
      <c r="AS1502" s="20">
        <f t="shared" si="43"/>
        <v>16</v>
      </c>
      <c r="AT1502" s="165">
        <v>8</v>
      </c>
      <c r="AU1502" s="167">
        <v>2.7240773286467488</v>
      </c>
      <c r="AV1502" s="168">
        <v>-1.9</v>
      </c>
      <c r="AW1502" s="169">
        <v>1.2</v>
      </c>
      <c r="AX1502" s="170">
        <v>31</v>
      </c>
      <c r="BX1502" s="165">
        <v>295</v>
      </c>
      <c r="BY1502" s="167">
        <v>8.362676056338028</v>
      </c>
      <c r="BZ1502" s="168">
        <v>-1.4</v>
      </c>
      <c r="CA1502" s="169">
        <v>2.2000000000000002</v>
      </c>
      <c r="CB1502" s="170">
        <v>36</v>
      </c>
      <c r="CP1502" s="165">
        <v>109</v>
      </c>
      <c r="CQ1502" s="167">
        <v>29.173989455184536</v>
      </c>
      <c r="CR1502" s="168">
        <v>-0.5</v>
      </c>
      <c r="CS1502" s="169">
        <v>4</v>
      </c>
      <c r="CT1502" s="170">
        <v>45</v>
      </c>
      <c r="DB1502" s="165">
        <v>90</v>
      </c>
      <c r="DC1502" s="167">
        <v>99.390243902439025</v>
      </c>
      <c r="DD1502" s="168">
        <v>2.5</v>
      </c>
      <c r="DE1502" s="169">
        <v>10</v>
      </c>
      <c r="DF1502" s="170">
        <v>75</v>
      </c>
    </row>
    <row r="1503" spans="40:110" ht="13.15" hidden="1" thickBot="1" x14ac:dyDescent="0.25">
      <c r="AN1503" s="144" t="s">
        <v>161</v>
      </c>
      <c r="AP1503" s="20" t="s">
        <v>162</v>
      </c>
      <c r="AR1503" s="145"/>
      <c r="AS1503" s="20">
        <f t="shared" si="43"/>
        <v>17</v>
      </c>
      <c r="AT1503" s="165">
        <v>8.5</v>
      </c>
      <c r="AU1503" s="167">
        <v>3.2513181019332165</v>
      </c>
      <c r="AV1503" s="168">
        <v>-1.8</v>
      </c>
      <c r="AW1503" s="169">
        <v>1.4</v>
      </c>
      <c r="AX1503" s="170">
        <v>32</v>
      </c>
      <c r="BX1503" s="165">
        <v>294</v>
      </c>
      <c r="BY1503" s="167">
        <v>8.362676056338028</v>
      </c>
      <c r="BZ1503" s="168">
        <v>-1.4</v>
      </c>
      <c r="CA1503" s="169">
        <v>2.2000000000000002</v>
      </c>
      <c r="CB1503" s="170">
        <v>36</v>
      </c>
      <c r="CP1503" s="165">
        <v>108</v>
      </c>
      <c r="CQ1503" s="167">
        <v>29.173989455184536</v>
      </c>
      <c r="CR1503" s="168">
        <v>-0.5</v>
      </c>
      <c r="CS1503" s="169">
        <v>4</v>
      </c>
      <c r="CT1503" s="170">
        <v>45</v>
      </c>
      <c r="DB1503" s="172">
        <v>91</v>
      </c>
      <c r="DC1503" s="173">
        <v>99.390243902439025</v>
      </c>
      <c r="DD1503" s="174">
        <v>2.5</v>
      </c>
      <c r="DE1503" s="175">
        <v>10</v>
      </c>
      <c r="DF1503" s="176">
        <v>75</v>
      </c>
    </row>
    <row r="1504" spans="40:110" ht="13.15" hidden="1" thickBot="1" x14ac:dyDescent="0.25">
      <c r="AN1504" s="181" t="s">
        <v>199</v>
      </c>
      <c r="AO1504" s="148"/>
      <c r="AP1504" s="148"/>
      <c r="AQ1504" s="148"/>
      <c r="AR1504" s="149"/>
      <c r="AS1504" s="20">
        <f t="shared" si="43"/>
        <v>18</v>
      </c>
      <c r="AT1504" s="165">
        <v>9</v>
      </c>
      <c r="AU1504" s="167">
        <v>4.3936731107205622</v>
      </c>
      <c r="AV1504" s="168">
        <v>-1.7</v>
      </c>
      <c r="AW1504" s="169">
        <v>1.6</v>
      </c>
      <c r="AX1504" s="170">
        <v>33</v>
      </c>
      <c r="BX1504" s="165">
        <v>293</v>
      </c>
      <c r="BY1504" s="167">
        <v>8.362676056338028</v>
      </c>
      <c r="BZ1504" s="168">
        <v>-1.4</v>
      </c>
      <c r="CA1504" s="169">
        <v>2.2000000000000002</v>
      </c>
      <c r="CB1504" s="170">
        <v>36</v>
      </c>
      <c r="CP1504" s="165">
        <v>107</v>
      </c>
      <c r="CQ1504" s="167">
        <v>29.173989455184536</v>
      </c>
      <c r="CR1504" s="168">
        <v>-0.5</v>
      </c>
      <c r="CS1504" s="169">
        <v>4</v>
      </c>
      <c r="CT1504" s="170">
        <v>45</v>
      </c>
    </row>
    <row r="1505" spans="40:110" ht="13.15" hidden="1" thickBot="1" x14ac:dyDescent="0.25">
      <c r="AN1505" s="150" t="s">
        <v>164</v>
      </c>
      <c r="AO1505" s="151" t="s">
        <v>200</v>
      </c>
      <c r="AP1505" s="152"/>
      <c r="AQ1505" s="152"/>
      <c r="AR1505" s="153"/>
      <c r="AS1505" s="20">
        <f t="shared" si="43"/>
        <v>19</v>
      </c>
      <c r="AT1505" s="165">
        <v>9.5</v>
      </c>
      <c r="AU1505" s="167">
        <v>5.272407732864675</v>
      </c>
      <c r="AV1505" s="168">
        <v>-1.6</v>
      </c>
      <c r="AW1505" s="169">
        <v>1.8</v>
      </c>
      <c r="AX1505" s="170">
        <v>34</v>
      </c>
      <c r="BX1505" s="165">
        <v>292</v>
      </c>
      <c r="BY1505" s="167">
        <v>8.362676056338028</v>
      </c>
      <c r="BZ1505" s="168">
        <v>-1.4</v>
      </c>
      <c r="CA1505" s="169">
        <v>2.2000000000000002</v>
      </c>
      <c r="CB1505" s="170">
        <v>36</v>
      </c>
      <c r="CP1505" s="165">
        <v>106</v>
      </c>
      <c r="CQ1505" s="167">
        <v>29.173989455184536</v>
      </c>
      <c r="CR1505" s="168">
        <v>-0.5</v>
      </c>
      <c r="CS1505" s="169">
        <v>4</v>
      </c>
      <c r="CT1505" s="170">
        <v>45</v>
      </c>
    </row>
    <row r="1506" spans="40:110" ht="13.8" hidden="1" thickBot="1" x14ac:dyDescent="0.3">
      <c r="AN1506" s="155" t="s">
        <v>10</v>
      </c>
      <c r="AO1506" s="156" t="s">
        <v>13</v>
      </c>
      <c r="AP1506" s="156" t="s">
        <v>14</v>
      </c>
      <c r="AQ1506" s="156" t="s">
        <v>15</v>
      </c>
      <c r="AR1506" s="157" t="s">
        <v>16</v>
      </c>
      <c r="AS1506" s="20">
        <f t="shared" si="43"/>
        <v>20</v>
      </c>
      <c r="AT1506" s="165">
        <v>10</v>
      </c>
      <c r="AU1506" s="167">
        <v>5.8875219683655535</v>
      </c>
      <c r="AV1506" s="168">
        <v>-1.6</v>
      </c>
      <c r="AW1506" s="169">
        <v>1.8</v>
      </c>
      <c r="AX1506" s="170">
        <v>34</v>
      </c>
      <c r="BX1506" s="165">
        <v>291</v>
      </c>
      <c r="BY1506" s="167">
        <v>8.362676056338028</v>
      </c>
      <c r="BZ1506" s="168">
        <v>-1.4</v>
      </c>
      <c r="CA1506" s="169">
        <v>2.2000000000000002</v>
      </c>
      <c r="CB1506" s="170">
        <v>36</v>
      </c>
      <c r="CP1506" s="165">
        <v>105</v>
      </c>
      <c r="CQ1506" s="167">
        <v>29.173989455184536</v>
      </c>
      <c r="CR1506" s="168">
        <v>-0.5</v>
      </c>
      <c r="CS1506" s="169">
        <v>4</v>
      </c>
      <c r="CT1506" s="170">
        <v>45</v>
      </c>
      <c r="DB1506" s="138" t="s">
        <v>114</v>
      </c>
      <c r="DC1506" s="139"/>
      <c r="DD1506" s="139"/>
      <c r="DE1506" s="140" t="s">
        <v>215</v>
      </c>
      <c r="DF1506" s="141">
        <v>408</v>
      </c>
    </row>
    <row r="1507" spans="40:110" hidden="1" x14ac:dyDescent="0.2">
      <c r="AN1507" s="160">
        <v>20</v>
      </c>
      <c r="AO1507" s="161">
        <v>8.8028169014084515E-2</v>
      </c>
      <c r="AP1507" s="162">
        <v>-3</v>
      </c>
      <c r="AQ1507" s="163">
        <v>-1</v>
      </c>
      <c r="AR1507" s="164">
        <v>20</v>
      </c>
      <c r="AS1507" s="20">
        <f t="shared" si="43"/>
        <v>21</v>
      </c>
      <c r="AT1507" s="165">
        <v>10.5</v>
      </c>
      <c r="AU1507" s="167">
        <v>6.7662565905096654</v>
      </c>
      <c r="AV1507" s="168">
        <v>-1.5</v>
      </c>
      <c r="AW1507" s="169">
        <v>2</v>
      </c>
      <c r="AX1507" s="170">
        <v>35</v>
      </c>
      <c r="BX1507" s="165">
        <v>290</v>
      </c>
      <c r="BY1507" s="167">
        <v>8.362676056338028</v>
      </c>
      <c r="BZ1507" s="168">
        <v>-1.4</v>
      </c>
      <c r="CA1507" s="169">
        <v>2.2000000000000002</v>
      </c>
      <c r="CB1507" s="170">
        <v>36</v>
      </c>
      <c r="CP1507" s="165">
        <v>104</v>
      </c>
      <c r="CQ1507" s="167">
        <v>29.173989455184536</v>
      </c>
      <c r="CR1507" s="168">
        <v>-0.5</v>
      </c>
      <c r="CS1507" s="169">
        <v>4</v>
      </c>
      <c r="CT1507" s="170">
        <v>45</v>
      </c>
      <c r="DB1507" s="144" t="s">
        <v>161</v>
      </c>
      <c r="DD1507" s="20" t="s">
        <v>162</v>
      </c>
      <c r="DF1507" s="145"/>
    </row>
    <row r="1508" spans="40:110" ht="13.15" hidden="1" thickBot="1" x14ac:dyDescent="0.25">
      <c r="AN1508" s="165">
        <v>21</v>
      </c>
      <c r="AO1508" s="167">
        <v>0.2640845070422535</v>
      </c>
      <c r="AP1508" s="168">
        <v>-2.8</v>
      </c>
      <c r="AQ1508" s="169">
        <v>-0.6</v>
      </c>
      <c r="AR1508" s="170">
        <v>22</v>
      </c>
      <c r="AS1508" s="20">
        <f t="shared" si="43"/>
        <v>22</v>
      </c>
      <c r="AT1508" s="165">
        <v>11</v>
      </c>
      <c r="AU1508" s="167">
        <v>7.9964850615114242</v>
      </c>
      <c r="AV1508" s="168">
        <v>-1.4</v>
      </c>
      <c r="AW1508" s="169">
        <v>2.2000000000000002</v>
      </c>
      <c r="AX1508" s="170">
        <v>36</v>
      </c>
      <c r="BX1508" s="165">
        <v>289</v>
      </c>
      <c r="BY1508" s="167">
        <v>9.5070422535211261</v>
      </c>
      <c r="BZ1508" s="168">
        <v>-1.3</v>
      </c>
      <c r="CA1508" s="169">
        <v>2.4</v>
      </c>
      <c r="CB1508" s="170">
        <v>37</v>
      </c>
      <c r="CP1508" s="165">
        <v>103</v>
      </c>
      <c r="CQ1508" s="167">
        <v>29.173989455184536</v>
      </c>
      <c r="CR1508" s="168">
        <v>-0.5</v>
      </c>
      <c r="CS1508" s="169">
        <v>4</v>
      </c>
      <c r="CT1508" s="170">
        <v>45</v>
      </c>
      <c r="DB1508" s="181" t="s">
        <v>266</v>
      </c>
      <c r="DC1508" s="148"/>
      <c r="DD1508" s="148"/>
      <c r="DE1508" s="148"/>
      <c r="DF1508" s="149"/>
    </row>
    <row r="1509" spans="40:110" ht="13.15" hidden="1" thickBot="1" x14ac:dyDescent="0.25">
      <c r="AN1509" s="165">
        <v>22</v>
      </c>
      <c r="AO1509" s="167">
        <v>0.2640845070422535</v>
      </c>
      <c r="AP1509" s="168">
        <v>-2.8</v>
      </c>
      <c r="AQ1509" s="169">
        <v>-0.6</v>
      </c>
      <c r="AR1509" s="170">
        <v>22</v>
      </c>
      <c r="AS1509" s="20">
        <f t="shared" si="43"/>
        <v>23</v>
      </c>
      <c r="AT1509" s="165">
        <v>11.5</v>
      </c>
      <c r="AU1509" s="167">
        <v>9.4024604569420038</v>
      </c>
      <c r="AV1509" s="168">
        <v>-1.3</v>
      </c>
      <c r="AW1509" s="169">
        <v>2.4</v>
      </c>
      <c r="AX1509" s="170">
        <v>37</v>
      </c>
      <c r="BX1509" s="165">
        <v>288</v>
      </c>
      <c r="BY1509" s="167">
        <v>9.5070422535211261</v>
      </c>
      <c r="BZ1509" s="168">
        <v>-1.3</v>
      </c>
      <c r="CA1509" s="169">
        <v>2.4</v>
      </c>
      <c r="CB1509" s="170">
        <v>37</v>
      </c>
      <c r="CP1509" s="165">
        <v>102</v>
      </c>
      <c r="CQ1509" s="167">
        <v>29.173989455184536</v>
      </c>
      <c r="CR1509" s="168">
        <v>-0.5</v>
      </c>
      <c r="CS1509" s="169">
        <v>4</v>
      </c>
      <c r="CT1509" s="170">
        <v>45</v>
      </c>
      <c r="DB1509" s="150" t="s">
        <v>164</v>
      </c>
      <c r="DC1509" s="151" t="s">
        <v>267</v>
      </c>
      <c r="DD1509" s="152"/>
      <c r="DE1509" s="152"/>
      <c r="DF1509" s="153"/>
    </row>
    <row r="1510" spans="40:110" ht="13.15" hidden="1" thickBot="1" x14ac:dyDescent="0.25">
      <c r="AN1510" s="165">
        <v>23</v>
      </c>
      <c r="AO1510" s="167">
        <v>0.44014084507042256</v>
      </c>
      <c r="AP1510" s="168">
        <v>-2.6</v>
      </c>
      <c r="AQ1510" s="169">
        <v>-0.2</v>
      </c>
      <c r="AR1510" s="170">
        <v>24</v>
      </c>
      <c r="AS1510" s="20">
        <f t="shared" si="43"/>
        <v>24</v>
      </c>
      <c r="AT1510" s="165">
        <v>12</v>
      </c>
      <c r="AU1510" s="167">
        <v>12.302284710017574</v>
      </c>
      <c r="AV1510" s="168">
        <v>-1.2</v>
      </c>
      <c r="AW1510" s="169">
        <v>2.6</v>
      </c>
      <c r="AX1510" s="170">
        <v>38</v>
      </c>
      <c r="BX1510" s="165">
        <v>287</v>
      </c>
      <c r="BY1510" s="167">
        <v>9.5070422535211261</v>
      </c>
      <c r="BZ1510" s="168">
        <v>-1.3</v>
      </c>
      <c r="CA1510" s="169">
        <v>2.4</v>
      </c>
      <c r="CB1510" s="170">
        <v>37</v>
      </c>
      <c r="CP1510" s="165">
        <v>101</v>
      </c>
      <c r="CQ1510" s="167">
        <v>29.173989455184536</v>
      </c>
      <c r="CR1510" s="168">
        <v>-0.5</v>
      </c>
      <c r="CS1510" s="169">
        <v>4</v>
      </c>
      <c r="CT1510" s="170">
        <v>45</v>
      </c>
      <c r="DB1510" s="155" t="s">
        <v>10</v>
      </c>
      <c r="DC1510" s="158" t="s">
        <v>13</v>
      </c>
      <c r="DD1510" s="156" t="s">
        <v>14</v>
      </c>
      <c r="DE1510" s="156" t="s">
        <v>15</v>
      </c>
      <c r="DF1510" s="159" t="s">
        <v>16</v>
      </c>
    </row>
    <row r="1511" spans="40:110" hidden="1" x14ac:dyDescent="0.2">
      <c r="AN1511" s="165">
        <v>24</v>
      </c>
      <c r="AO1511" s="167">
        <v>0.88028169014084512</v>
      </c>
      <c r="AP1511" s="168">
        <v>-2.4</v>
      </c>
      <c r="AQ1511" s="169">
        <v>0.2</v>
      </c>
      <c r="AR1511" s="170">
        <v>26</v>
      </c>
      <c r="AS1511" s="20">
        <f t="shared" si="43"/>
        <v>25</v>
      </c>
      <c r="AT1511" s="165">
        <v>12.5</v>
      </c>
      <c r="AU1511" s="167">
        <v>15.465729349736378</v>
      </c>
      <c r="AV1511" s="168">
        <v>-1</v>
      </c>
      <c r="AW1511" s="169">
        <v>3</v>
      </c>
      <c r="AX1511" s="170">
        <v>40</v>
      </c>
      <c r="BX1511" s="165">
        <v>286</v>
      </c>
      <c r="BY1511" s="167">
        <v>9.5070422535211261</v>
      </c>
      <c r="BZ1511" s="168">
        <v>-1.3</v>
      </c>
      <c r="CA1511" s="169">
        <v>2.4</v>
      </c>
      <c r="CB1511" s="170">
        <v>37</v>
      </c>
      <c r="CP1511" s="165">
        <v>100</v>
      </c>
      <c r="CQ1511" s="167">
        <v>29.173989455184536</v>
      </c>
      <c r="CR1511" s="168">
        <v>-0.5</v>
      </c>
      <c r="CS1511" s="169">
        <v>4</v>
      </c>
      <c r="CT1511" s="170">
        <v>45</v>
      </c>
      <c r="DB1511" s="160">
        <v>6</v>
      </c>
      <c r="DC1511" s="161">
        <v>0.12195121951219512</v>
      </c>
      <c r="DD1511" s="162">
        <v>-3</v>
      </c>
      <c r="DE1511" s="163">
        <v>-1</v>
      </c>
      <c r="DF1511" s="164">
        <v>20</v>
      </c>
    </row>
    <row r="1512" spans="40:110" hidden="1" x14ac:dyDescent="0.2">
      <c r="AN1512" s="165">
        <v>25</v>
      </c>
      <c r="AO1512" s="167">
        <v>1.4084507042253522</v>
      </c>
      <c r="AP1512" s="168">
        <v>-2.2000000000000002</v>
      </c>
      <c r="AQ1512" s="169">
        <v>0.6</v>
      </c>
      <c r="AR1512" s="170">
        <v>28</v>
      </c>
      <c r="AS1512" s="20">
        <f t="shared" si="43"/>
        <v>26</v>
      </c>
      <c r="AT1512" s="165">
        <v>13</v>
      </c>
      <c r="AU1512" s="167">
        <v>17.574692442882249</v>
      </c>
      <c r="AV1512" s="168">
        <v>-0.9</v>
      </c>
      <c r="AW1512" s="169">
        <v>3.2</v>
      </c>
      <c r="AX1512" s="170">
        <v>41</v>
      </c>
      <c r="BX1512" s="165">
        <v>285</v>
      </c>
      <c r="BY1512" s="167">
        <v>9.5070422535211261</v>
      </c>
      <c r="BZ1512" s="168">
        <v>-1.3</v>
      </c>
      <c r="CA1512" s="169">
        <v>2.4</v>
      </c>
      <c r="CB1512" s="170">
        <v>37</v>
      </c>
      <c r="CP1512" s="165">
        <v>99</v>
      </c>
      <c r="CQ1512" s="167">
        <v>33.128295254833041</v>
      </c>
      <c r="CR1512" s="168">
        <v>-0.4</v>
      </c>
      <c r="CS1512" s="169">
        <v>4.2</v>
      </c>
      <c r="CT1512" s="170">
        <v>46</v>
      </c>
      <c r="DB1512" s="165">
        <v>7</v>
      </c>
      <c r="DC1512" s="167">
        <v>0.36585365853658541</v>
      </c>
      <c r="DD1512" s="168">
        <v>-2.7</v>
      </c>
      <c r="DE1512" s="169">
        <v>-0.4</v>
      </c>
      <c r="DF1512" s="170">
        <v>23</v>
      </c>
    </row>
    <row r="1513" spans="40:110" hidden="1" x14ac:dyDescent="0.2">
      <c r="AN1513" s="165">
        <v>26</v>
      </c>
      <c r="AO1513" s="167">
        <v>1.584507042253521</v>
      </c>
      <c r="AP1513" s="168">
        <v>-2.2000000000000002</v>
      </c>
      <c r="AQ1513" s="169">
        <v>0.6</v>
      </c>
      <c r="AR1513" s="170">
        <v>28</v>
      </c>
      <c r="AS1513" s="20">
        <f t="shared" si="43"/>
        <v>27</v>
      </c>
      <c r="AT1513" s="165">
        <v>13.5</v>
      </c>
      <c r="AU1513" s="167">
        <v>19.068541300527244</v>
      </c>
      <c r="AV1513" s="168">
        <v>-0.9</v>
      </c>
      <c r="AW1513" s="169">
        <v>3.2</v>
      </c>
      <c r="AX1513" s="170">
        <v>41</v>
      </c>
      <c r="BX1513" s="165">
        <v>284</v>
      </c>
      <c r="BY1513" s="167">
        <v>9.5070422535211261</v>
      </c>
      <c r="BZ1513" s="168">
        <v>-1.3</v>
      </c>
      <c r="CA1513" s="169">
        <v>2.4</v>
      </c>
      <c r="CB1513" s="170">
        <v>37</v>
      </c>
      <c r="CP1513" s="165">
        <v>98</v>
      </c>
      <c r="CQ1513" s="167">
        <v>33.128295254833041</v>
      </c>
      <c r="CR1513" s="168">
        <v>-0.4</v>
      </c>
      <c r="CS1513" s="169">
        <v>4.2</v>
      </c>
      <c r="CT1513" s="170">
        <v>46</v>
      </c>
      <c r="DB1513" s="165">
        <v>8</v>
      </c>
      <c r="DC1513" s="167">
        <v>0.36585365853658541</v>
      </c>
      <c r="DD1513" s="168">
        <v>-2.7</v>
      </c>
      <c r="DE1513" s="169">
        <v>-0.4</v>
      </c>
      <c r="DF1513" s="170">
        <v>23</v>
      </c>
    </row>
    <row r="1514" spans="40:110" hidden="1" x14ac:dyDescent="0.2">
      <c r="AN1514" s="165">
        <v>27</v>
      </c>
      <c r="AO1514" s="167">
        <v>1.6725352112676055</v>
      </c>
      <c r="AP1514" s="168">
        <v>-2.1</v>
      </c>
      <c r="AQ1514" s="169">
        <v>0.8</v>
      </c>
      <c r="AR1514" s="170">
        <v>29</v>
      </c>
      <c r="AS1514" s="20">
        <f t="shared" si="43"/>
        <v>28</v>
      </c>
      <c r="AT1514" s="165">
        <v>14</v>
      </c>
      <c r="AU1514" s="167">
        <v>25.043936731107209</v>
      </c>
      <c r="AV1514" s="168">
        <v>-0.7</v>
      </c>
      <c r="AW1514" s="169">
        <v>3.6</v>
      </c>
      <c r="AX1514" s="170">
        <v>43</v>
      </c>
      <c r="BX1514" s="165">
        <v>283</v>
      </c>
      <c r="BY1514" s="167">
        <v>9.5070422535211261</v>
      </c>
      <c r="BZ1514" s="168">
        <v>-1.3</v>
      </c>
      <c r="CA1514" s="169">
        <v>2.4</v>
      </c>
      <c r="CB1514" s="170">
        <v>37</v>
      </c>
      <c r="CP1514" s="165">
        <v>97</v>
      </c>
      <c r="CQ1514" s="167">
        <v>33.128295254833041</v>
      </c>
      <c r="CR1514" s="168">
        <v>-0.4</v>
      </c>
      <c r="CS1514" s="169">
        <v>4.2</v>
      </c>
      <c r="CT1514" s="170">
        <v>46</v>
      </c>
      <c r="DB1514" s="165">
        <v>9</v>
      </c>
      <c r="DC1514" s="167">
        <v>0.6097560975609756</v>
      </c>
      <c r="DD1514" s="168">
        <v>-2.5</v>
      </c>
      <c r="DE1514" s="169">
        <v>0</v>
      </c>
      <c r="DF1514" s="170">
        <v>25</v>
      </c>
    </row>
    <row r="1515" spans="40:110" hidden="1" x14ac:dyDescent="0.2">
      <c r="AN1515" s="165">
        <v>28</v>
      </c>
      <c r="AO1515" s="167">
        <v>2.2887323943661975</v>
      </c>
      <c r="AP1515" s="168">
        <v>-2</v>
      </c>
      <c r="AQ1515" s="169">
        <v>1</v>
      </c>
      <c r="AR1515" s="170">
        <v>30</v>
      </c>
      <c r="AS1515" s="20">
        <f t="shared" si="43"/>
        <v>29</v>
      </c>
      <c r="AT1515" s="165">
        <v>14.5</v>
      </c>
      <c r="AU1515" s="167">
        <v>30.755711775043938</v>
      </c>
      <c r="AV1515" s="168">
        <v>-0.5</v>
      </c>
      <c r="AW1515" s="169">
        <v>4</v>
      </c>
      <c r="AX1515" s="170">
        <v>45</v>
      </c>
      <c r="BX1515" s="165">
        <v>282</v>
      </c>
      <c r="BY1515" s="167">
        <v>9.5070422535211261</v>
      </c>
      <c r="BZ1515" s="168">
        <v>-1.3</v>
      </c>
      <c r="CA1515" s="169">
        <v>2.4</v>
      </c>
      <c r="CB1515" s="170">
        <v>37</v>
      </c>
      <c r="CP1515" s="165">
        <v>96</v>
      </c>
      <c r="CQ1515" s="167">
        <v>33.128295254833041</v>
      </c>
      <c r="CR1515" s="168">
        <v>-0.4</v>
      </c>
      <c r="CS1515" s="169">
        <v>4.2</v>
      </c>
      <c r="CT1515" s="170">
        <v>46</v>
      </c>
      <c r="DB1515" s="165">
        <v>10</v>
      </c>
      <c r="DC1515" s="167">
        <v>0.6097560975609756</v>
      </c>
      <c r="DD1515" s="168">
        <v>-2.5</v>
      </c>
      <c r="DE1515" s="169">
        <v>0</v>
      </c>
      <c r="DF1515" s="170">
        <v>25</v>
      </c>
    </row>
    <row r="1516" spans="40:110" hidden="1" x14ac:dyDescent="0.2">
      <c r="AN1516" s="165">
        <v>29</v>
      </c>
      <c r="AO1516" s="167">
        <v>2.640845070422535</v>
      </c>
      <c r="AP1516" s="168">
        <v>-1.9</v>
      </c>
      <c r="AQ1516" s="169">
        <v>1.2</v>
      </c>
      <c r="AR1516" s="170">
        <v>31</v>
      </c>
      <c r="AS1516" s="20">
        <f t="shared" si="43"/>
        <v>30</v>
      </c>
      <c r="AT1516" s="165">
        <v>15</v>
      </c>
      <c r="AU1516" s="167">
        <v>32.073813708260104</v>
      </c>
      <c r="AV1516" s="168">
        <v>-0.5</v>
      </c>
      <c r="AW1516" s="169">
        <v>4</v>
      </c>
      <c r="AX1516" s="170">
        <v>45</v>
      </c>
      <c r="BX1516" s="165">
        <v>281</v>
      </c>
      <c r="BY1516" s="167">
        <v>9.5070422535211261</v>
      </c>
      <c r="BZ1516" s="168">
        <v>-1.3</v>
      </c>
      <c r="CA1516" s="169">
        <v>2.4</v>
      </c>
      <c r="CB1516" s="170">
        <v>37</v>
      </c>
      <c r="CP1516" s="165">
        <v>95</v>
      </c>
      <c r="CQ1516" s="167">
        <v>33.128295254833041</v>
      </c>
      <c r="CR1516" s="168">
        <v>-0.4</v>
      </c>
      <c r="CS1516" s="169">
        <v>4.2</v>
      </c>
      <c r="CT1516" s="170">
        <v>46</v>
      </c>
      <c r="DB1516" s="165">
        <v>11</v>
      </c>
      <c r="DC1516" s="167">
        <v>0.6097560975609756</v>
      </c>
      <c r="DD1516" s="168">
        <v>-2.5</v>
      </c>
      <c r="DE1516" s="169">
        <v>0</v>
      </c>
      <c r="DF1516" s="170">
        <v>25</v>
      </c>
    </row>
    <row r="1517" spans="40:110" hidden="1" x14ac:dyDescent="0.2">
      <c r="AN1517" s="165">
        <v>30</v>
      </c>
      <c r="AO1517" s="167">
        <v>2.992957746478873</v>
      </c>
      <c r="AP1517" s="168">
        <v>-1.9</v>
      </c>
      <c r="AQ1517" s="169">
        <v>1.2</v>
      </c>
      <c r="AR1517" s="170">
        <v>31</v>
      </c>
      <c r="AS1517" s="20">
        <f t="shared" si="43"/>
        <v>31</v>
      </c>
      <c r="AT1517" s="165">
        <v>15.5</v>
      </c>
      <c r="AU1517" s="167">
        <v>33.391915641476274</v>
      </c>
      <c r="AV1517" s="168">
        <v>-0.4</v>
      </c>
      <c r="AW1517" s="169">
        <v>4.2</v>
      </c>
      <c r="AX1517" s="170">
        <v>46</v>
      </c>
      <c r="BX1517" s="165">
        <v>280</v>
      </c>
      <c r="BY1517" s="167">
        <v>9.5070422535211261</v>
      </c>
      <c r="BZ1517" s="168">
        <v>-1.3</v>
      </c>
      <c r="CA1517" s="169">
        <v>2.4</v>
      </c>
      <c r="CB1517" s="170">
        <v>37</v>
      </c>
      <c r="CP1517" s="165">
        <v>94</v>
      </c>
      <c r="CQ1517" s="167">
        <v>33.128295254833041</v>
      </c>
      <c r="CR1517" s="168">
        <v>-0.4</v>
      </c>
      <c r="CS1517" s="169">
        <v>4.2</v>
      </c>
      <c r="CT1517" s="170">
        <v>46</v>
      </c>
      <c r="DB1517" s="165">
        <v>12</v>
      </c>
      <c r="DC1517" s="167">
        <v>0.97560975609756095</v>
      </c>
      <c r="DD1517" s="168">
        <v>-2.2999999999999998</v>
      </c>
      <c r="DE1517" s="169">
        <v>0.4</v>
      </c>
      <c r="DF1517" s="170">
        <v>27</v>
      </c>
    </row>
    <row r="1518" spans="40:110" ht="13.15" hidden="1" thickBot="1" x14ac:dyDescent="0.25">
      <c r="AN1518" s="165">
        <v>31</v>
      </c>
      <c r="AO1518" s="167">
        <v>3.345070422535211</v>
      </c>
      <c r="AP1518" s="168">
        <v>-1.8</v>
      </c>
      <c r="AQ1518" s="169">
        <v>1.4</v>
      </c>
      <c r="AR1518" s="170">
        <v>32</v>
      </c>
      <c r="AS1518" s="20">
        <f t="shared" si="43"/>
        <v>32</v>
      </c>
      <c r="AT1518" s="172">
        <v>16</v>
      </c>
      <c r="AU1518" s="173">
        <v>66.695957820738144</v>
      </c>
      <c r="AV1518" s="174">
        <v>0.4</v>
      </c>
      <c r="AW1518" s="175">
        <v>5.8</v>
      </c>
      <c r="AX1518" s="176">
        <v>54</v>
      </c>
      <c r="BX1518" s="165">
        <v>279</v>
      </c>
      <c r="BY1518" s="167">
        <v>10.475352112676056</v>
      </c>
      <c r="BZ1518" s="168">
        <v>-1.3</v>
      </c>
      <c r="CA1518" s="169">
        <v>2.4</v>
      </c>
      <c r="CB1518" s="170">
        <v>37</v>
      </c>
      <c r="CP1518" s="165">
        <v>93</v>
      </c>
      <c r="CQ1518" s="167">
        <v>33.128295254833041</v>
      </c>
      <c r="CR1518" s="168">
        <v>-0.4</v>
      </c>
      <c r="CS1518" s="169">
        <v>4.2</v>
      </c>
      <c r="CT1518" s="170">
        <v>46</v>
      </c>
      <c r="DB1518" s="165">
        <v>13</v>
      </c>
      <c r="DC1518" s="167">
        <v>1.3414634146341464</v>
      </c>
      <c r="DD1518" s="168">
        <v>-2.2000000000000002</v>
      </c>
      <c r="DE1518" s="169">
        <v>0.6</v>
      </c>
      <c r="DF1518" s="170">
        <v>28</v>
      </c>
    </row>
    <row r="1519" spans="40:110" hidden="1" x14ac:dyDescent="0.2">
      <c r="AN1519" s="165">
        <v>32</v>
      </c>
      <c r="AO1519" s="167">
        <v>3.433098591549296</v>
      </c>
      <c r="AP1519" s="168">
        <v>-1.8</v>
      </c>
      <c r="AQ1519" s="169">
        <v>1.4</v>
      </c>
      <c r="AR1519" s="170">
        <v>32</v>
      </c>
      <c r="BX1519" s="165">
        <v>278</v>
      </c>
      <c r="BY1519" s="167">
        <v>10.475352112676056</v>
      </c>
      <c r="BZ1519" s="168">
        <v>-1.3</v>
      </c>
      <c r="CA1519" s="169">
        <v>2.4</v>
      </c>
      <c r="CB1519" s="170">
        <v>37</v>
      </c>
      <c r="CP1519" s="165">
        <v>92</v>
      </c>
      <c r="CQ1519" s="167">
        <v>33.128295254833041</v>
      </c>
      <c r="CR1519" s="168">
        <v>-0.4</v>
      </c>
      <c r="CS1519" s="169">
        <v>4.2</v>
      </c>
      <c r="CT1519" s="170">
        <v>46</v>
      </c>
      <c r="DB1519" s="165">
        <v>14</v>
      </c>
      <c r="DC1519" s="167">
        <v>1.7073170731707319</v>
      </c>
      <c r="DD1519" s="168">
        <v>-2.1</v>
      </c>
      <c r="DE1519" s="169">
        <v>0.8</v>
      </c>
      <c r="DF1519" s="170">
        <v>29</v>
      </c>
    </row>
    <row r="1520" spans="40:110" hidden="1" x14ac:dyDescent="0.2">
      <c r="AN1520" s="165">
        <v>33</v>
      </c>
      <c r="AO1520" s="167">
        <v>4.0492957746478879</v>
      </c>
      <c r="AP1520" s="168">
        <v>-1.7</v>
      </c>
      <c r="AQ1520" s="169">
        <v>1.6</v>
      </c>
      <c r="AR1520" s="170">
        <v>33</v>
      </c>
      <c r="BX1520" s="165">
        <v>277</v>
      </c>
      <c r="BY1520" s="167">
        <v>10.475352112676056</v>
      </c>
      <c r="BZ1520" s="168">
        <v>-1.3</v>
      </c>
      <c r="CA1520" s="169">
        <v>2.4</v>
      </c>
      <c r="CB1520" s="170">
        <v>37</v>
      </c>
      <c r="CP1520" s="165">
        <v>91</v>
      </c>
      <c r="CQ1520" s="167">
        <v>33.128295254833041</v>
      </c>
      <c r="CR1520" s="168">
        <v>-0.4</v>
      </c>
      <c r="CS1520" s="169">
        <v>4.2</v>
      </c>
      <c r="CT1520" s="170">
        <v>46</v>
      </c>
      <c r="DB1520" s="165">
        <v>15</v>
      </c>
      <c r="DC1520" s="167">
        <v>1.7073170731707319</v>
      </c>
      <c r="DD1520" s="168">
        <v>-2.1</v>
      </c>
      <c r="DE1520" s="169">
        <v>0.8</v>
      </c>
      <c r="DF1520" s="170">
        <v>29</v>
      </c>
    </row>
    <row r="1521" spans="40:110" hidden="1" x14ac:dyDescent="0.2">
      <c r="AN1521" s="165">
        <v>34</v>
      </c>
      <c r="AO1521" s="167">
        <v>5.369718309859155</v>
      </c>
      <c r="AP1521" s="168">
        <v>-1.6</v>
      </c>
      <c r="AQ1521" s="169">
        <v>1.8</v>
      </c>
      <c r="AR1521" s="170">
        <v>34</v>
      </c>
      <c r="BX1521" s="165">
        <v>276</v>
      </c>
      <c r="BY1521" s="167">
        <v>10.475352112676056</v>
      </c>
      <c r="BZ1521" s="168">
        <v>-1.3</v>
      </c>
      <c r="CA1521" s="169">
        <v>2.4</v>
      </c>
      <c r="CB1521" s="170">
        <v>37</v>
      </c>
      <c r="CP1521" s="165">
        <v>90</v>
      </c>
      <c r="CQ1521" s="167">
        <v>33.128295254833041</v>
      </c>
      <c r="CR1521" s="168">
        <v>-0.4</v>
      </c>
      <c r="CS1521" s="169">
        <v>4.2</v>
      </c>
      <c r="CT1521" s="170">
        <v>46</v>
      </c>
      <c r="DB1521" s="165">
        <v>16</v>
      </c>
      <c r="DC1521" s="167">
        <v>2.0731707317073171</v>
      </c>
      <c r="DD1521" s="168">
        <v>-2</v>
      </c>
      <c r="DE1521" s="169">
        <v>1</v>
      </c>
      <c r="DF1521" s="170">
        <v>30</v>
      </c>
    </row>
    <row r="1522" spans="40:110" ht="13.15" hidden="1" thickBot="1" x14ac:dyDescent="0.25">
      <c r="AN1522" s="165">
        <v>35</v>
      </c>
      <c r="AO1522" s="167">
        <v>6.5140845070422531</v>
      </c>
      <c r="AP1522" s="168">
        <v>-1.5</v>
      </c>
      <c r="AQ1522" s="169">
        <v>2</v>
      </c>
      <c r="AR1522" s="170">
        <v>35</v>
      </c>
      <c r="BX1522" s="165">
        <v>275</v>
      </c>
      <c r="BY1522" s="167">
        <v>10.475352112676056</v>
      </c>
      <c r="BZ1522" s="168">
        <v>-1.3</v>
      </c>
      <c r="CA1522" s="169">
        <v>2.4</v>
      </c>
      <c r="CB1522" s="170">
        <v>37</v>
      </c>
      <c r="CP1522" s="165">
        <v>89</v>
      </c>
      <c r="CQ1522" s="167">
        <v>37.873462214411248</v>
      </c>
      <c r="CR1522" s="168">
        <v>-0.3</v>
      </c>
      <c r="CS1522" s="169">
        <v>4.4000000000000004</v>
      </c>
      <c r="CT1522" s="170">
        <v>47</v>
      </c>
      <c r="DB1522" s="165">
        <v>17</v>
      </c>
      <c r="DC1522" s="167">
        <v>2.4390243902439024</v>
      </c>
      <c r="DD1522" s="168">
        <v>-2</v>
      </c>
      <c r="DE1522" s="169">
        <v>1</v>
      </c>
      <c r="DF1522" s="170">
        <v>30</v>
      </c>
    </row>
    <row r="1523" spans="40:110" ht="13.15" hidden="1" x14ac:dyDescent="0.25">
      <c r="AN1523" s="165">
        <v>36</v>
      </c>
      <c r="AO1523" s="167">
        <v>7.5704225352112671</v>
      </c>
      <c r="AP1523" s="168">
        <v>-1.4</v>
      </c>
      <c r="AQ1523" s="169">
        <v>2.2000000000000002</v>
      </c>
      <c r="AR1523" s="170">
        <v>36</v>
      </c>
      <c r="AT1523" s="138" t="s">
        <v>203</v>
      </c>
      <c r="AU1523" s="139"/>
      <c r="AV1523" s="139"/>
      <c r="AW1523" s="140"/>
      <c r="AX1523" s="141">
        <v>569</v>
      </c>
      <c r="BX1523" s="165">
        <v>274</v>
      </c>
      <c r="BY1523" s="167">
        <v>10.475352112676056</v>
      </c>
      <c r="BZ1523" s="168">
        <v>-1.3</v>
      </c>
      <c r="CA1523" s="169">
        <v>2.4</v>
      </c>
      <c r="CB1523" s="170">
        <v>37</v>
      </c>
      <c r="CP1523" s="165">
        <v>88</v>
      </c>
      <c r="CQ1523" s="167">
        <v>37.873462214411248</v>
      </c>
      <c r="CR1523" s="168">
        <v>-0.3</v>
      </c>
      <c r="CS1523" s="169">
        <v>4.4000000000000004</v>
      </c>
      <c r="CT1523" s="170">
        <v>47</v>
      </c>
      <c r="DB1523" s="165">
        <v>18</v>
      </c>
      <c r="DC1523" s="167">
        <v>2.8048780487804881</v>
      </c>
      <c r="DD1523" s="168">
        <v>-1.9</v>
      </c>
      <c r="DE1523" s="169">
        <v>1.2</v>
      </c>
      <c r="DF1523" s="170">
        <v>31</v>
      </c>
    </row>
    <row r="1524" spans="40:110" hidden="1" x14ac:dyDescent="0.2">
      <c r="AN1524" s="165">
        <v>37</v>
      </c>
      <c r="AO1524" s="167">
        <v>8.274647887323944</v>
      </c>
      <c r="AP1524" s="168">
        <v>-1.4</v>
      </c>
      <c r="AQ1524" s="169">
        <v>2.2000000000000002</v>
      </c>
      <c r="AR1524" s="170">
        <v>36</v>
      </c>
      <c r="AT1524" s="144" t="s">
        <v>161</v>
      </c>
      <c r="AV1524" s="20" t="s">
        <v>336</v>
      </c>
      <c r="AX1524" s="145"/>
      <c r="BX1524" s="165">
        <v>273</v>
      </c>
      <c r="BY1524" s="167">
        <v>10.475352112676056</v>
      </c>
      <c r="BZ1524" s="168">
        <v>-1.3</v>
      </c>
      <c r="CA1524" s="169">
        <v>2.4</v>
      </c>
      <c r="CB1524" s="170">
        <v>37</v>
      </c>
      <c r="CP1524" s="165">
        <v>87</v>
      </c>
      <c r="CQ1524" s="167">
        <v>37.873462214411248</v>
      </c>
      <c r="CR1524" s="168">
        <v>-0.3</v>
      </c>
      <c r="CS1524" s="169">
        <v>4.4000000000000004</v>
      </c>
      <c r="CT1524" s="170">
        <v>47</v>
      </c>
      <c r="DB1524" s="165">
        <v>19</v>
      </c>
      <c r="DC1524" s="167">
        <v>3.0487804878048781</v>
      </c>
      <c r="DD1524" s="168">
        <v>-1.9</v>
      </c>
      <c r="DE1524" s="169">
        <v>1.2</v>
      </c>
      <c r="DF1524" s="170">
        <v>31</v>
      </c>
    </row>
    <row r="1525" spans="40:110" ht="13.15" hidden="1" thickBot="1" x14ac:dyDescent="0.25">
      <c r="AN1525" s="165">
        <v>38</v>
      </c>
      <c r="AO1525" s="167">
        <v>10.387323943661972</v>
      </c>
      <c r="AP1525" s="168">
        <v>-1.3</v>
      </c>
      <c r="AQ1525" s="169">
        <v>2.4</v>
      </c>
      <c r="AR1525" s="170">
        <v>37</v>
      </c>
      <c r="AT1525" s="181" t="s">
        <v>199</v>
      </c>
      <c r="AU1525" s="148"/>
      <c r="AV1525" s="148"/>
      <c r="AW1525" s="148"/>
      <c r="AX1525" s="149"/>
      <c r="BX1525" s="165">
        <v>272</v>
      </c>
      <c r="BY1525" s="167">
        <v>10.475352112676056</v>
      </c>
      <c r="BZ1525" s="168">
        <v>-1.3</v>
      </c>
      <c r="CA1525" s="169">
        <v>2.4</v>
      </c>
      <c r="CB1525" s="170">
        <v>37</v>
      </c>
      <c r="CP1525" s="165">
        <v>86</v>
      </c>
      <c r="CQ1525" s="167">
        <v>37.873462214411248</v>
      </c>
      <c r="CR1525" s="168">
        <v>-0.3</v>
      </c>
      <c r="CS1525" s="169">
        <v>4.4000000000000004</v>
      </c>
      <c r="CT1525" s="170">
        <v>47</v>
      </c>
      <c r="DB1525" s="165">
        <v>20</v>
      </c>
      <c r="DC1525" s="167">
        <v>3.4146341463414638</v>
      </c>
      <c r="DD1525" s="168">
        <v>-1.8</v>
      </c>
      <c r="DE1525" s="169">
        <v>1.4</v>
      </c>
      <c r="DF1525" s="170">
        <v>32</v>
      </c>
    </row>
    <row r="1526" spans="40:110" ht="13.15" hidden="1" thickBot="1" x14ac:dyDescent="0.25">
      <c r="AN1526" s="165">
        <v>39</v>
      </c>
      <c r="AO1526" s="167">
        <v>12.676056338028168</v>
      </c>
      <c r="AP1526" s="168">
        <v>-1.1000000000000001</v>
      </c>
      <c r="AQ1526" s="169">
        <v>2.8</v>
      </c>
      <c r="AR1526" s="170">
        <v>39</v>
      </c>
      <c r="AT1526" s="150" t="s">
        <v>164</v>
      </c>
      <c r="AU1526" s="151" t="s">
        <v>334</v>
      </c>
      <c r="AV1526" s="152"/>
      <c r="AW1526" s="152"/>
      <c r="AX1526" s="153"/>
      <c r="BX1526" s="165">
        <v>271</v>
      </c>
      <c r="BY1526" s="167">
        <v>10.475352112676056</v>
      </c>
      <c r="BZ1526" s="168">
        <v>-1.3</v>
      </c>
      <c r="CA1526" s="169">
        <v>2.4</v>
      </c>
      <c r="CB1526" s="170">
        <v>37</v>
      </c>
      <c r="CP1526" s="165">
        <v>85</v>
      </c>
      <c r="CQ1526" s="167">
        <v>37.873462214411248</v>
      </c>
      <c r="CR1526" s="168">
        <v>-0.3</v>
      </c>
      <c r="CS1526" s="169">
        <v>4.4000000000000004</v>
      </c>
      <c r="CT1526" s="170">
        <v>47</v>
      </c>
      <c r="DB1526" s="165">
        <v>21</v>
      </c>
      <c r="DC1526" s="167">
        <v>3.9024390243902438</v>
      </c>
      <c r="DD1526" s="168">
        <v>-1.8</v>
      </c>
      <c r="DE1526" s="169">
        <v>1.4</v>
      </c>
      <c r="DF1526" s="170">
        <v>32</v>
      </c>
    </row>
    <row r="1527" spans="40:110" ht="13.15" hidden="1" thickBot="1" x14ac:dyDescent="0.25">
      <c r="AN1527" s="165">
        <v>40</v>
      </c>
      <c r="AO1527" s="167">
        <v>14.43661971830986</v>
      </c>
      <c r="AP1527" s="167">
        <v>-1.1000000000000001</v>
      </c>
      <c r="AQ1527" s="169">
        <v>2.8</v>
      </c>
      <c r="AR1527" s="170">
        <v>39</v>
      </c>
      <c r="AT1527" s="155" t="s">
        <v>10</v>
      </c>
      <c r="AU1527" s="156" t="s">
        <v>13</v>
      </c>
      <c r="AV1527" s="156" t="s">
        <v>14</v>
      </c>
      <c r="AW1527" s="156" t="s">
        <v>15</v>
      </c>
      <c r="AX1527" s="159" t="s">
        <v>16</v>
      </c>
      <c r="BX1527" s="165">
        <v>270</v>
      </c>
      <c r="BY1527" s="167">
        <v>10.475352112676056</v>
      </c>
      <c r="BZ1527" s="168">
        <v>-1.3</v>
      </c>
      <c r="CA1527" s="169">
        <v>2.4</v>
      </c>
      <c r="CB1527" s="170">
        <v>37</v>
      </c>
      <c r="CP1527" s="165">
        <v>84</v>
      </c>
      <c r="CQ1527" s="167">
        <v>37.873462214411248</v>
      </c>
      <c r="CR1527" s="168">
        <v>-0.3</v>
      </c>
      <c r="CS1527" s="169">
        <v>4.4000000000000004</v>
      </c>
      <c r="CT1527" s="170">
        <v>47</v>
      </c>
      <c r="DB1527" s="165">
        <v>22</v>
      </c>
      <c r="DC1527" s="167">
        <v>4.6341463414634143</v>
      </c>
      <c r="DD1527" s="168">
        <v>-1.7</v>
      </c>
      <c r="DE1527" s="169">
        <v>1.6</v>
      </c>
      <c r="DF1527" s="170">
        <v>33</v>
      </c>
    </row>
    <row r="1528" spans="40:110" hidden="1" x14ac:dyDescent="0.2">
      <c r="AN1528" s="165">
        <v>41</v>
      </c>
      <c r="AO1528" s="167">
        <v>16.02112676056338</v>
      </c>
      <c r="AP1528" s="168">
        <v>-1</v>
      </c>
      <c r="AQ1528" s="169">
        <v>3</v>
      </c>
      <c r="AR1528" s="170">
        <v>40</v>
      </c>
      <c r="AS1528" s="20">
        <f t="shared" ref="AS1528:AS1560" si="44">AT1528*2</f>
        <v>0</v>
      </c>
      <c r="AT1528" s="160">
        <v>0</v>
      </c>
      <c r="AU1528" s="161">
        <v>0</v>
      </c>
      <c r="AV1528" s="162">
        <v>-3.1</v>
      </c>
      <c r="AW1528" s="163">
        <v>-1.2</v>
      </c>
      <c r="AX1528" s="164">
        <v>19</v>
      </c>
      <c r="BX1528" s="165">
        <v>269</v>
      </c>
      <c r="BY1528" s="167">
        <v>11.70774647887324</v>
      </c>
      <c r="BZ1528" s="168">
        <v>-1.2</v>
      </c>
      <c r="CA1528" s="169">
        <v>2.6</v>
      </c>
      <c r="CB1528" s="170">
        <v>38</v>
      </c>
      <c r="CP1528" s="165">
        <v>83</v>
      </c>
      <c r="CQ1528" s="167">
        <v>37.873462214411248</v>
      </c>
      <c r="CR1528" s="168">
        <v>-0.3</v>
      </c>
      <c r="CS1528" s="169">
        <v>4.4000000000000004</v>
      </c>
      <c r="CT1528" s="170">
        <v>47</v>
      </c>
      <c r="DB1528" s="165">
        <v>23</v>
      </c>
      <c r="DC1528" s="167">
        <v>5.6097560975609762</v>
      </c>
      <c r="DD1528" s="168">
        <v>-1.6</v>
      </c>
      <c r="DE1528" s="169">
        <v>1.8</v>
      </c>
      <c r="DF1528" s="170">
        <v>34</v>
      </c>
    </row>
    <row r="1529" spans="40:110" hidden="1" x14ac:dyDescent="0.2">
      <c r="AN1529" s="165">
        <v>42</v>
      </c>
      <c r="AO1529" s="167">
        <v>18.485915492957748</v>
      </c>
      <c r="AP1529" s="168">
        <v>-0.9</v>
      </c>
      <c r="AQ1529" s="169">
        <v>3.2</v>
      </c>
      <c r="AR1529" s="170">
        <v>41</v>
      </c>
      <c r="AS1529" s="20">
        <f t="shared" si="44"/>
        <v>1</v>
      </c>
      <c r="AT1529" s="165">
        <v>0.5</v>
      </c>
      <c r="AU1529" s="167">
        <v>0</v>
      </c>
      <c r="AV1529" s="168">
        <v>-3.1</v>
      </c>
      <c r="AW1529" s="169">
        <v>-1.2</v>
      </c>
      <c r="AX1529" s="170">
        <v>19</v>
      </c>
      <c r="BX1529" s="165">
        <v>268</v>
      </c>
      <c r="BY1529" s="167">
        <v>11.70774647887324</v>
      </c>
      <c r="BZ1529" s="168">
        <v>-1.2</v>
      </c>
      <c r="CA1529" s="169">
        <v>2.6</v>
      </c>
      <c r="CB1529" s="170">
        <v>38</v>
      </c>
      <c r="CP1529" s="165">
        <v>82</v>
      </c>
      <c r="CQ1529" s="167">
        <v>37.873462214411248</v>
      </c>
      <c r="CR1529" s="168">
        <v>-0.3</v>
      </c>
      <c r="CS1529" s="169">
        <v>4.4000000000000004</v>
      </c>
      <c r="CT1529" s="170">
        <v>47</v>
      </c>
      <c r="DB1529" s="165">
        <v>24</v>
      </c>
      <c r="DC1529" s="167">
        <v>6.5853658536585371</v>
      </c>
      <c r="DD1529" s="168">
        <v>-1.5</v>
      </c>
      <c r="DE1529" s="169">
        <v>2</v>
      </c>
      <c r="DF1529" s="170">
        <v>35</v>
      </c>
    </row>
    <row r="1530" spans="40:110" hidden="1" x14ac:dyDescent="0.2">
      <c r="AN1530" s="165">
        <v>43</v>
      </c>
      <c r="AO1530" s="167">
        <v>20.950704225352112</v>
      </c>
      <c r="AP1530" s="168">
        <v>-0.8</v>
      </c>
      <c r="AQ1530" s="169">
        <v>3.4</v>
      </c>
      <c r="AR1530" s="170">
        <v>42</v>
      </c>
      <c r="AS1530" s="20">
        <f t="shared" si="44"/>
        <v>2</v>
      </c>
      <c r="AT1530" s="165">
        <v>1</v>
      </c>
      <c r="AU1530" s="167">
        <v>0</v>
      </c>
      <c r="AV1530" s="168">
        <v>-3.1</v>
      </c>
      <c r="AW1530" s="169">
        <v>-1.2</v>
      </c>
      <c r="AX1530" s="170">
        <v>19</v>
      </c>
      <c r="BX1530" s="165">
        <v>267</v>
      </c>
      <c r="BY1530" s="167">
        <v>11.70774647887324</v>
      </c>
      <c r="BZ1530" s="168">
        <v>-1.2</v>
      </c>
      <c r="CA1530" s="169">
        <v>2.6</v>
      </c>
      <c r="CB1530" s="170">
        <v>38</v>
      </c>
      <c r="CP1530" s="165">
        <v>81</v>
      </c>
      <c r="CQ1530" s="167">
        <v>37.873462214411248</v>
      </c>
      <c r="CR1530" s="168">
        <v>-0.3</v>
      </c>
      <c r="CS1530" s="169">
        <v>4.4000000000000004</v>
      </c>
      <c r="CT1530" s="170">
        <v>47</v>
      </c>
      <c r="DB1530" s="165">
        <v>25</v>
      </c>
      <c r="DC1530" s="167">
        <v>7.4390243902439019</v>
      </c>
      <c r="DD1530" s="168">
        <v>-1.4</v>
      </c>
      <c r="DE1530" s="169">
        <v>2.2000000000000002</v>
      </c>
      <c r="DF1530" s="170">
        <v>36</v>
      </c>
    </row>
    <row r="1531" spans="40:110" hidden="1" x14ac:dyDescent="0.2">
      <c r="AN1531" s="165">
        <v>44</v>
      </c>
      <c r="AO1531" s="167">
        <v>22.799295774647888</v>
      </c>
      <c r="AP1531" s="168">
        <v>-0.7</v>
      </c>
      <c r="AQ1531" s="169">
        <v>3.6</v>
      </c>
      <c r="AR1531" s="170">
        <v>43</v>
      </c>
      <c r="AS1531" s="20">
        <f t="shared" si="44"/>
        <v>3</v>
      </c>
      <c r="AT1531" s="165">
        <v>1.5</v>
      </c>
      <c r="AU1531" s="167">
        <v>0</v>
      </c>
      <c r="AV1531" s="168">
        <v>-3.1</v>
      </c>
      <c r="AW1531" s="169">
        <v>-1.2</v>
      </c>
      <c r="AX1531" s="170">
        <v>19</v>
      </c>
      <c r="BX1531" s="165">
        <v>266</v>
      </c>
      <c r="BY1531" s="167">
        <v>11.70774647887324</v>
      </c>
      <c r="BZ1531" s="168">
        <v>-1.2</v>
      </c>
      <c r="CA1531" s="169">
        <v>2.6</v>
      </c>
      <c r="CB1531" s="170">
        <v>38</v>
      </c>
      <c r="CP1531" s="165">
        <v>80</v>
      </c>
      <c r="CQ1531" s="167">
        <v>37.873462214411248</v>
      </c>
      <c r="CR1531" s="168">
        <v>-0.3</v>
      </c>
      <c r="CS1531" s="169">
        <v>4.4000000000000004</v>
      </c>
      <c r="CT1531" s="170">
        <v>47</v>
      </c>
      <c r="DB1531" s="165">
        <v>26</v>
      </c>
      <c r="DC1531" s="167">
        <v>8.536585365853659</v>
      </c>
      <c r="DD1531" s="168">
        <v>-1.4</v>
      </c>
      <c r="DE1531" s="169">
        <v>2.2000000000000002</v>
      </c>
      <c r="DF1531" s="170">
        <v>36</v>
      </c>
    </row>
    <row r="1532" spans="40:110" hidden="1" x14ac:dyDescent="0.2">
      <c r="AN1532" s="165">
        <v>45</v>
      </c>
      <c r="AO1532" s="167">
        <v>25.088028169014088</v>
      </c>
      <c r="AP1532" s="168">
        <v>-0.7</v>
      </c>
      <c r="AQ1532" s="169">
        <v>3.6</v>
      </c>
      <c r="AR1532" s="170">
        <v>43</v>
      </c>
      <c r="AS1532" s="20">
        <f t="shared" si="44"/>
        <v>4</v>
      </c>
      <c r="AT1532" s="165">
        <v>2</v>
      </c>
      <c r="AU1532" s="167">
        <v>0</v>
      </c>
      <c r="AV1532" s="168">
        <v>-3.1</v>
      </c>
      <c r="AW1532" s="169">
        <v>-1.2</v>
      </c>
      <c r="AX1532" s="170">
        <v>19</v>
      </c>
      <c r="BX1532" s="165">
        <v>265</v>
      </c>
      <c r="BY1532" s="167">
        <v>11.70774647887324</v>
      </c>
      <c r="BZ1532" s="168">
        <v>-1.2</v>
      </c>
      <c r="CA1532" s="169">
        <v>2.6</v>
      </c>
      <c r="CB1532" s="170">
        <v>38</v>
      </c>
      <c r="CP1532" s="165">
        <v>79</v>
      </c>
      <c r="CQ1532" s="167">
        <v>43.848857644991213</v>
      </c>
      <c r="CR1532" s="168">
        <v>-0.2</v>
      </c>
      <c r="CS1532" s="169">
        <v>4.5999999999999996</v>
      </c>
      <c r="CT1532" s="170">
        <v>48</v>
      </c>
      <c r="DB1532" s="165">
        <v>27</v>
      </c>
      <c r="DC1532" s="167">
        <v>10.365853658536585</v>
      </c>
      <c r="DD1532" s="168">
        <v>-1.3</v>
      </c>
      <c r="DE1532" s="169">
        <v>2.4</v>
      </c>
      <c r="DF1532" s="170">
        <v>37</v>
      </c>
    </row>
    <row r="1533" spans="40:110" hidden="1" x14ac:dyDescent="0.2">
      <c r="AN1533" s="165">
        <v>46</v>
      </c>
      <c r="AO1533" s="167">
        <v>26.760563380281688</v>
      </c>
      <c r="AP1533" s="168">
        <v>-0.6</v>
      </c>
      <c r="AQ1533" s="169">
        <v>3.8</v>
      </c>
      <c r="AR1533" s="170">
        <v>44</v>
      </c>
      <c r="AS1533" s="20">
        <f t="shared" si="44"/>
        <v>5</v>
      </c>
      <c r="AT1533" s="165">
        <v>2.5</v>
      </c>
      <c r="AU1533" s="167">
        <v>0</v>
      </c>
      <c r="AV1533" s="168">
        <v>-3.1</v>
      </c>
      <c r="AW1533" s="169">
        <v>-1.2</v>
      </c>
      <c r="AX1533" s="170">
        <v>19</v>
      </c>
      <c r="BX1533" s="165">
        <v>264</v>
      </c>
      <c r="BY1533" s="167">
        <v>11.70774647887324</v>
      </c>
      <c r="BZ1533" s="168">
        <v>-1.2</v>
      </c>
      <c r="CA1533" s="169">
        <v>2.6</v>
      </c>
      <c r="CB1533" s="170">
        <v>38</v>
      </c>
      <c r="CP1533" s="165">
        <v>78</v>
      </c>
      <c r="CQ1533" s="167">
        <v>43.848857644991213</v>
      </c>
      <c r="CR1533" s="168">
        <v>-0.2</v>
      </c>
      <c r="CS1533" s="169">
        <v>4.5999999999999996</v>
      </c>
      <c r="CT1533" s="170">
        <v>48</v>
      </c>
      <c r="DB1533" s="165">
        <v>28</v>
      </c>
      <c r="DC1533" s="167">
        <v>12.804878048780488</v>
      </c>
      <c r="DD1533" s="168">
        <v>-1.1000000000000001</v>
      </c>
      <c r="DE1533" s="169">
        <v>2.8</v>
      </c>
      <c r="DF1533" s="170">
        <v>39</v>
      </c>
    </row>
    <row r="1534" spans="40:110" hidden="1" x14ac:dyDescent="0.2">
      <c r="AN1534" s="165">
        <v>47</v>
      </c>
      <c r="AO1534" s="167">
        <v>28.87323943661972</v>
      </c>
      <c r="AP1534" s="168">
        <v>-0.6</v>
      </c>
      <c r="AQ1534" s="169">
        <v>3.8</v>
      </c>
      <c r="AR1534" s="170">
        <v>44</v>
      </c>
      <c r="AS1534" s="20">
        <f t="shared" si="44"/>
        <v>6</v>
      </c>
      <c r="AT1534" s="165">
        <v>3</v>
      </c>
      <c r="AU1534" s="167">
        <v>0</v>
      </c>
      <c r="AV1534" s="168">
        <v>-3.1</v>
      </c>
      <c r="AW1534" s="169">
        <v>-1.2</v>
      </c>
      <c r="AX1534" s="170">
        <v>19</v>
      </c>
      <c r="BX1534" s="165">
        <v>263</v>
      </c>
      <c r="BY1534" s="167">
        <v>11.70774647887324</v>
      </c>
      <c r="BZ1534" s="168">
        <v>-1.2</v>
      </c>
      <c r="CA1534" s="169">
        <v>2.6</v>
      </c>
      <c r="CB1534" s="170">
        <v>38</v>
      </c>
      <c r="CP1534" s="165">
        <v>77</v>
      </c>
      <c r="CQ1534" s="167">
        <v>43.848857644991213</v>
      </c>
      <c r="CR1534" s="168">
        <v>-0.2</v>
      </c>
      <c r="CS1534" s="169">
        <v>4.5999999999999996</v>
      </c>
      <c r="CT1534" s="170">
        <v>48</v>
      </c>
      <c r="DB1534" s="165">
        <v>29</v>
      </c>
      <c r="DC1534" s="167">
        <v>14.512195121951219</v>
      </c>
      <c r="DD1534" s="168">
        <v>-1.1000000000000001</v>
      </c>
      <c r="DE1534" s="169">
        <v>2.8</v>
      </c>
      <c r="DF1534" s="170">
        <v>39</v>
      </c>
    </row>
    <row r="1535" spans="40:110" hidden="1" x14ac:dyDescent="0.2">
      <c r="AN1535" s="165">
        <v>48</v>
      </c>
      <c r="AO1535" s="167">
        <v>30.985915492957744</v>
      </c>
      <c r="AP1535" s="168">
        <v>-0.5</v>
      </c>
      <c r="AQ1535" s="169">
        <v>4</v>
      </c>
      <c r="AR1535" s="170">
        <v>45</v>
      </c>
      <c r="AS1535" s="20">
        <f t="shared" si="44"/>
        <v>7</v>
      </c>
      <c r="AT1535" s="165">
        <v>3.5</v>
      </c>
      <c r="AU1535" s="167">
        <v>0</v>
      </c>
      <c r="AV1535" s="168">
        <v>-3.1</v>
      </c>
      <c r="AW1535" s="169">
        <v>-1.2</v>
      </c>
      <c r="AX1535" s="170">
        <v>19</v>
      </c>
      <c r="BX1535" s="165">
        <v>262</v>
      </c>
      <c r="BY1535" s="167">
        <v>11.70774647887324</v>
      </c>
      <c r="BZ1535" s="168">
        <v>-1.2</v>
      </c>
      <c r="CA1535" s="169">
        <v>2.6</v>
      </c>
      <c r="CB1535" s="170">
        <v>38</v>
      </c>
      <c r="CP1535" s="165">
        <v>76</v>
      </c>
      <c r="CQ1535" s="167">
        <v>43.848857644991213</v>
      </c>
      <c r="CR1535" s="168">
        <v>-0.2</v>
      </c>
      <c r="CS1535" s="169">
        <v>4.5999999999999996</v>
      </c>
      <c r="CT1535" s="170">
        <v>48</v>
      </c>
      <c r="DB1535" s="165">
        <v>30</v>
      </c>
      <c r="DC1535" s="167">
        <v>15.365853658536585</v>
      </c>
      <c r="DD1535" s="168">
        <v>-1</v>
      </c>
      <c r="DE1535" s="169">
        <v>3</v>
      </c>
      <c r="DF1535" s="170">
        <v>40</v>
      </c>
    </row>
    <row r="1536" spans="40:110" hidden="1" x14ac:dyDescent="0.2">
      <c r="AN1536" s="165">
        <v>49</v>
      </c>
      <c r="AO1536" s="167">
        <v>33.098591549295776</v>
      </c>
      <c r="AP1536" s="168">
        <v>-0.4</v>
      </c>
      <c r="AQ1536" s="169">
        <v>4.2</v>
      </c>
      <c r="AR1536" s="170">
        <v>46</v>
      </c>
      <c r="AS1536" s="20">
        <f t="shared" si="44"/>
        <v>8</v>
      </c>
      <c r="AT1536" s="165">
        <v>4</v>
      </c>
      <c r="AU1536" s="167">
        <v>0</v>
      </c>
      <c r="AV1536" s="168">
        <v>-3.1</v>
      </c>
      <c r="AW1536" s="169">
        <v>-1.2</v>
      </c>
      <c r="AX1536" s="170">
        <v>19</v>
      </c>
      <c r="BX1536" s="165">
        <v>261</v>
      </c>
      <c r="BY1536" s="167">
        <v>11.70774647887324</v>
      </c>
      <c r="BZ1536" s="168">
        <v>-1.2</v>
      </c>
      <c r="CA1536" s="169">
        <v>2.6</v>
      </c>
      <c r="CB1536" s="170">
        <v>38</v>
      </c>
      <c r="CP1536" s="165">
        <v>75</v>
      </c>
      <c r="CQ1536" s="167">
        <v>43.848857644991213</v>
      </c>
      <c r="CR1536" s="168">
        <v>-0.2</v>
      </c>
      <c r="CS1536" s="169">
        <v>4.5999999999999996</v>
      </c>
      <c r="CT1536" s="170">
        <v>48</v>
      </c>
      <c r="DB1536" s="165">
        <v>31</v>
      </c>
      <c r="DC1536" s="167">
        <v>17.195121951219512</v>
      </c>
      <c r="DD1536" s="168">
        <v>-0.9</v>
      </c>
      <c r="DE1536" s="169">
        <v>3.2</v>
      </c>
      <c r="DF1536" s="170">
        <v>41</v>
      </c>
    </row>
    <row r="1537" spans="40:110" hidden="1" x14ac:dyDescent="0.2">
      <c r="AN1537" s="165">
        <v>50</v>
      </c>
      <c r="AO1537" s="167">
        <v>35.299295774647888</v>
      </c>
      <c r="AP1537" s="168">
        <v>-0.4</v>
      </c>
      <c r="AQ1537" s="169">
        <v>4.2</v>
      </c>
      <c r="AR1537" s="170">
        <v>46</v>
      </c>
      <c r="AS1537" s="20">
        <f t="shared" si="44"/>
        <v>9</v>
      </c>
      <c r="AT1537" s="165">
        <v>4.5</v>
      </c>
      <c r="AU1537" s="167">
        <v>0</v>
      </c>
      <c r="AV1537" s="168">
        <v>-3.1</v>
      </c>
      <c r="AW1537" s="169">
        <v>-1.2</v>
      </c>
      <c r="AX1537" s="170">
        <v>19</v>
      </c>
      <c r="BX1537" s="165">
        <v>260</v>
      </c>
      <c r="BY1537" s="167">
        <v>11.70774647887324</v>
      </c>
      <c r="BZ1537" s="168">
        <v>-1.2</v>
      </c>
      <c r="CA1537" s="169">
        <v>2.6</v>
      </c>
      <c r="CB1537" s="170">
        <v>38</v>
      </c>
      <c r="CP1537" s="165">
        <v>74</v>
      </c>
      <c r="CQ1537" s="167">
        <v>43.848857644991213</v>
      </c>
      <c r="CR1537" s="168">
        <v>-0.2</v>
      </c>
      <c r="CS1537" s="169">
        <v>4.5999999999999996</v>
      </c>
      <c r="CT1537" s="170">
        <v>48</v>
      </c>
      <c r="DB1537" s="165">
        <v>32</v>
      </c>
      <c r="DC1537" s="167">
        <v>19.878048780487806</v>
      </c>
      <c r="DD1537" s="168">
        <v>-0.8</v>
      </c>
      <c r="DE1537" s="169">
        <v>3.4</v>
      </c>
      <c r="DF1537" s="170">
        <v>42</v>
      </c>
    </row>
    <row r="1538" spans="40:110" hidden="1" x14ac:dyDescent="0.2">
      <c r="AN1538" s="165">
        <v>51</v>
      </c>
      <c r="AO1538" s="167">
        <v>37.411971830985912</v>
      </c>
      <c r="AP1538" s="168">
        <v>-0.3</v>
      </c>
      <c r="AQ1538" s="169">
        <v>4.4000000000000004</v>
      </c>
      <c r="AR1538" s="170">
        <v>47</v>
      </c>
      <c r="AS1538" s="20">
        <f t="shared" si="44"/>
        <v>10</v>
      </c>
      <c r="AT1538" s="165">
        <v>5</v>
      </c>
      <c r="AU1538" s="167">
        <v>8.7873462214411238E-2</v>
      </c>
      <c r="AV1538" s="168">
        <v>-3</v>
      </c>
      <c r="AW1538" s="169">
        <v>-1</v>
      </c>
      <c r="AX1538" s="170">
        <v>20</v>
      </c>
      <c r="BX1538" s="165">
        <v>259</v>
      </c>
      <c r="BY1538" s="167">
        <v>12.940140845070422</v>
      </c>
      <c r="BZ1538" s="168">
        <v>-1.1000000000000001</v>
      </c>
      <c r="CA1538" s="169">
        <v>2.8</v>
      </c>
      <c r="CB1538" s="170">
        <v>39</v>
      </c>
      <c r="CP1538" s="165">
        <v>73</v>
      </c>
      <c r="CQ1538" s="167">
        <v>43.848857644991213</v>
      </c>
      <c r="CR1538" s="168">
        <v>-0.2</v>
      </c>
      <c r="CS1538" s="169">
        <v>4.5999999999999996</v>
      </c>
      <c r="CT1538" s="170">
        <v>48</v>
      </c>
      <c r="DB1538" s="165">
        <v>33</v>
      </c>
      <c r="DC1538" s="167">
        <v>22.073170731707318</v>
      </c>
      <c r="DD1538" s="168">
        <v>-0.8</v>
      </c>
      <c r="DE1538" s="169">
        <v>3.4</v>
      </c>
      <c r="DF1538" s="170">
        <v>42</v>
      </c>
    </row>
    <row r="1539" spans="40:110" hidden="1" x14ac:dyDescent="0.2">
      <c r="AN1539" s="165">
        <v>52</v>
      </c>
      <c r="AO1539" s="167">
        <v>42.16549295774648</v>
      </c>
      <c r="AP1539" s="168">
        <v>-0.2</v>
      </c>
      <c r="AQ1539" s="169">
        <v>4.5999999999999996</v>
      </c>
      <c r="AR1539" s="170">
        <v>48</v>
      </c>
      <c r="AS1539" s="20">
        <f t="shared" si="44"/>
        <v>11</v>
      </c>
      <c r="AT1539" s="165">
        <v>5.5</v>
      </c>
      <c r="AU1539" s="167">
        <v>0.17574692442882248</v>
      </c>
      <c r="AV1539" s="168">
        <v>-2.9</v>
      </c>
      <c r="AW1539" s="169">
        <v>-0.8</v>
      </c>
      <c r="AX1539" s="170">
        <v>21</v>
      </c>
      <c r="BX1539" s="165">
        <v>258</v>
      </c>
      <c r="BY1539" s="167">
        <v>12.940140845070422</v>
      </c>
      <c r="BZ1539" s="168">
        <v>-1.1000000000000001</v>
      </c>
      <c r="CA1539" s="169">
        <v>2.8</v>
      </c>
      <c r="CB1539" s="170">
        <v>39</v>
      </c>
      <c r="CP1539" s="165">
        <v>72</v>
      </c>
      <c r="CQ1539" s="167">
        <v>43.848857644991213</v>
      </c>
      <c r="CR1539" s="168">
        <v>-0.2</v>
      </c>
      <c r="CS1539" s="169">
        <v>4.5999999999999996</v>
      </c>
      <c r="CT1539" s="170">
        <v>48</v>
      </c>
      <c r="DB1539" s="165">
        <v>34</v>
      </c>
      <c r="DC1539" s="167">
        <v>23.902439024390244</v>
      </c>
      <c r="DD1539" s="168">
        <v>-0.7</v>
      </c>
      <c r="DE1539" s="169">
        <v>3.6</v>
      </c>
      <c r="DF1539" s="170">
        <v>43</v>
      </c>
    </row>
    <row r="1540" spans="40:110" hidden="1" x14ac:dyDescent="0.2">
      <c r="AN1540" s="165">
        <v>53</v>
      </c>
      <c r="AO1540" s="167">
        <v>46.0387323943662</v>
      </c>
      <c r="AP1540" s="168">
        <v>-0.1</v>
      </c>
      <c r="AQ1540" s="169">
        <v>4.8</v>
      </c>
      <c r="AR1540" s="170">
        <v>49</v>
      </c>
      <c r="AS1540" s="20">
        <f t="shared" si="44"/>
        <v>12</v>
      </c>
      <c r="AT1540" s="165">
        <v>6</v>
      </c>
      <c r="AU1540" s="167">
        <v>0.35149384885764495</v>
      </c>
      <c r="AV1540" s="168">
        <v>-2.7</v>
      </c>
      <c r="AW1540" s="169">
        <v>-0.4</v>
      </c>
      <c r="AX1540" s="170">
        <v>23</v>
      </c>
      <c r="BX1540" s="165">
        <v>257</v>
      </c>
      <c r="BY1540" s="167">
        <v>12.940140845070422</v>
      </c>
      <c r="BZ1540" s="168">
        <v>-1.1000000000000001</v>
      </c>
      <c r="CA1540" s="169">
        <v>2.8</v>
      </c>
      <c r="CB1540" s="170">
        <v>39</v>
      </c>
      <c r="CP1540" s="165">
        <v>71</v>
      </c>
      <c r="CQ1540" s="167">
        <v>43.848857644991213</v>
      </c>
      <c r="CR1540" s="168">
        <v>-0.2</v>
      </c>
      <c r="CS1540" s="169">
        <v>4.5999999999999996</v>
      </c>
      <c r="CT1540" s="170">
        <v>48</v>
      </c>
      <c r="DB1540" s="165">
        <v>35</v>
      </c>
      <c r="DC1540" s="167">
        <v>25.853658536585368</v>
      </c>
      <c r="DD1540" s="168">
        <v>-0.6</v>
      </c>
      <c r="DE1540" s="169">
        <v>3.8</v>
      </c>
      <c r="DF1540" s="170">
        <v>44</v>
      </c>
    </row>
    <row r="1541" spans="40:110" hidden="1" x14ac:dyDescent="0.2">
      <c r="AN1541" s="165">
        <v>54</v>
      </c>
      <c r="AO1541" s="167">
        <v>49.559859154929576</v>
      </c>
      <c r="AP1541" s="168">
        <v>0</v>
      </c>
      <c r="AQ1541" s="169">
        <v>5</v>
      </c>
      <c r="AR1541" s="170">
        <v>50</v>
      </c>
      <c r="AS1541" s="20">
        <f t="shared" si="44"/>
        <v>13</v>
      </c>
      <c r="AT1541" s="165">
        <v>6.5</v>
      </c>
      <c r="AU1541" s="167">
        <v>0.61511423550087874</v>
      </c>
      <c r="AV1541" s="168">
        <v>-2.5</v>
      </c>
      <c r="AW1541" s="169">
        <v>0</v>
      </c>
      <c r="AX1541" s="170">
        <v>25</v>
      </c>
      <c r="BX1541" s="165">
        <v>256</v>
      </c>
      <c r="BY1541" s="167">
        <v>12.940140845070422</v>
      </c>
      <c r="BZ1541" s="168">
        <v>-1.1000000000000001</v>
      </c>
      <c r="CA1541" s="169">
        <v>2.8</v>
      </c>
      <c r="CB1541" s="170">
        <v>39</v>
      </c>
      <c r="CP1541" s="165">
        <v>70</v>
      </c>
      <c r="CQ1541" s="167">
        <v>43.848857644991213</v>
      </c>
      <c r="CR1541" s="168">
        <v>-0.2</v>
      </c>
      <c r="CS1541" s="169">
        <v>4.5999999999999996</v>
      </c>
      <c r="CT1541" s="170">
        <v>48</v>
      </c>
      <c r="DB1541" s="165">
        <v>36</v>
      </c>
      <c r="DC1541" s="167">
        <v>28.780487804878046</v>
      </c>
      <c r="DD1541" s="168">
        <v>-0.6</v>
      </c>
      <c r="DE1541" s="169">
        <v>3.8</v>
      </c>
      <c r="DF1541" s="170">
        <v>44</v>
      </c>
    </row>
    <row r="1542" spans="40:110" hidden="1" x14ac:dyDescent="0.2">
      <c r="AN1542" s="165">
        <v>55</v>
      </c>
      <c r="AO1542" s="167">
        <v>52.640845070422536</v>
      </c>
      <c r="AP1542" s="168">
        <v>0.1</v>
      </c>
      <c r="AQ1542" s="169">
        <v>5.2</v>
      </c>
      <c r="AR1542" s="170">
        <v>51</v>
      </c>
      <c r="AS1542" s="20">
        <f t="shared" si="44"/>
        <v>14</v>
      </c>
      <c r="AT1542" s="165">
        <v>7</v>
      </c>
      <c r="AU1542" s="167">
        <v>0.96660808435852363</v>
      </c>
      <c r="AV1542" s="168">
        <v>-2.2999999999999998</v>
      </c>
      <c r="AW1542" s="169">
        <v>0.4</v>
      </c>
      <c r="AX1542" s="170">
        <v>27</v>
      </c>
      <c r="BX1542" s="165">
        <v>255</v>
      </c>
      <c r="BY1542" s="167">
        <v>12.940140845070422</v>
      </c>
      <c r="BZ1542" s="168">
        <v>-1.1000000000000001</v>
      </c>
      <c r="CA1542" s="169">
        <v>2.8</v>
      </c>
      <c r="CB1542" s="170">
        <v>39</v>
      </c>
      <c r="CP1542" s="165">
        <v>69</v>
      </c>
      <c r="CQ1542" s="167">
        <v>51.230228471001759</v>
      </c>
      <c r="CR1542" s="168">
        <v>0</v>
      </c>
      <c r="CS1542" s="169">
        <v>5</v>
      </c>
      <c r="CT1542" s="170">
        <v>50</v>
      </c>
      <c r="DB1542" s="165">
        <v>37</v>
      </c>
      <c r="DC1542" s="167">
        <v>31.585365853658537</v>
      </c>
      <c r="DD1542" s="168">
        <v>-0.5</v>
      </c>
      <c r="DE1542" s="169">
        <v>4</v>
      </c>
      <c r="DF1542" s="170">
        <v>45</v>
      </c>
    </row>
    <row r="1543" spans="40:110" hidden="1" x14ac:dyDescent="0.2">
      <c r="AN1543" s="165">
        <v>56</v>
      </c>
      <c r="AO1543" s="167">
        <v>55.985915492957751</v>
      </c>
      <c r="AP1543" s="168">
        <v>0.2</v>
      </c>
      <c r="AQ1543" s="169">
        <v>5.4</v>
      </c>
      <c r="AR1543" s="170">
        <v>52</v>
      </c>
      <c r="AS1543" s="20">
        <f t="shared" si="44"/>
        <v>15</v>
      </c>
      <c r="AT1543" s="165">
        <v>7.5</v>
      </c>
      <c r="AU1543" s="167">
        <v>1.3181019332161688</v>
      </c>
      <c r="AV1543" s="168">
        <v>-2.2000000000000002</v>
      </c>
      <c r="AW1543" s="169">
        <v>0.6</v>
      </c>
      <c r="AX1543" s="170">
        <v>28</v>
      </c>
      <c r="BX1543" s="165">
        <v>254</v>
      </c>
      <c r="BY1543" s="167">
        <v>12.940140845070422</v>
      </c>
      <c r="BZ1543" s="168">
        <v>-1.1000000000000001</v>
      </c>
      <c r="CA1543" s="169">
        <v>2.8</v>
      </c>
      <c r="CB1543" s="170">
        <v>39</v>
      </c>
      <c r="CP1543" s="165">
        <v>68</v>
      </c>
      <c r="CQ1543" s="167">
        <v>51.230228471001759</v>
      </c>
      <c r="CR1543" s="168">
        <v>0</v>
      </c>
      <c r="CS1543" s="169">
        <v>5</v>
      </c>
      <c r="CT1543" s="170">
        <v>50</v>
      </c>
      <c r="DB1543" s="165">
        <v>38</v>
      </c>
      <c r="DC1543" s="167">
        <v>33.780487804878049</v>
      </c>
      <c r="DD1543" s="168">
        <v>-0.4</v>
      </c>
      <c r="DE1543" s="169">
        <v>4.2</v>
      </c>
      <c r="DF1543" s="170">
        <v>46</v>
      </c>
    </row>
    <row r="1544" spans="40:110" hidden="1" x14ac:dyDescent="0.2">
      <c r="AN1544" s="165">
        <v>57</v>
      </c>
      <c r="AO1544" s="167">
        <v>59.066901408450704</v>
      </c>
      <c r="AP1544" s="168">
        <v>0.2</v>
      </c>
      <c r="AQ1544" s="169">
        <v>5.4</v>
      </c>
      <c r="AR1544" s="170">
        <v>52</v>
      </c>
      <c r="AS1544" s="20">
        <f t="shared" si="44"/>
        <v>16</v>
      </c>
      <c r="AT1544" s="165">
        <v>8</v>
      </c>
      <c r="AU1544" s="167">
        <v>1.5817223198594026</v>
      </c>
      <c r="AV1544" s="168">
        <v>-2.2000000000000002</v>
      </c>
      <c r="AW1544" s="169">
        <v>0.6</v>
      </c>
      <c r="AX1544" s="170">
        <v>28</v>
      </c>
      <c r="BX1544" s="165">
        <v>253</v>
      </c>
      <c r="BY1544" s="167">
        <v>12.940140845070422</v>
      </c>
      <c r="BZ1544" s="168">
        <v>-1.1000000000000001</v>
      </c>
      <c r="CA1544" s="169">
        <v>2.8</v>
      </c>
      <c r="CB1544" s="170">
        <v>39</v>
      </c>
      <c r="CP1544" s="165">
        <v>67</v>
      </c>
      <c r="CQ1544" s="167">
        <v>51.230228471001759</v>
      </c>
      <c r="CR1544" s="168">
        <v>0</v>
      </c>
      <c r="CS1544" s="169">
        <v>5</v>
      </c>
      <c r="CT1544" s="170">
        <v>50</v>
      </c>
      <c r="DB1544" s="165">
        <v>39</v>
      </c>
      <c r="DC1544" s="167">
        <v>36.707317073170728</v>
      </c>
      <c r="DD1544" s="168">
        <v>-0.3</v>
      </c>
      <c r="DE1544" s="169">
        <v>4.4000000000000004</v>
      </c>
      <c r="DF1544" s="170">
        <v>47</v>
      </c>
    </row>
    <row r="1545" spans="40:110" hidden="1" x14ac:dyDescent="0.2">
      <c r="AN1545" s="165">
        <v>58</v>
      </c>
      <c r="AO1545" s="167">
        <v>62.323943661971825</v>
      </c>
      <c r="AP1545" s="168">
        <v>0.3</v>
      </c>
      <c r="AQ1545" s="169">
        <v>5.6</v>
      </c>
      <c r="AR1545" s="170">
        <v>53</v>
      </c>
      <c r="AS1545" s="20">
        <f t="shared" si="44"/>
        <v>17</v>
      </c>
      <c r="AT1545" s="165">
        <v>8.5</v>
      </c>
      <c r="AU1545" s="167">
        <v>1.9332161687170473</v>
      </c>
      <c r="AV1545" s="168">
        <v>-2.1</v>
      </c>
      <c r="AW1545" s="169">
        <v>0.8</v>
      </c>
      <c r="AX1545" s="170">
        <v>29</v>
      </c>
      <c r="BX1545" s="165">
        <v>252</v>
      </c>
      <c r="BY1545" s="167">
        <v>12.940140845070422</v>
      </c>
      <c r="BZ1545" s="168">
        <v>-1.1000000000000001</v>
      </c>
      <c r="CA1545" s="169">
        <v>2.8</v>
      </c>
      <c r="CB1545" s="170">
        <v>39</v>
      </c>
      <c r="CP1545" s="165">
        <v>66</v>
      </c>
      <c r="CQ1545" s="167">
        <v>51.230228471001759</v>
      </c>
      <c r="CR1545" s="168">
        <v>0</v>
      </c>
      <c r="CS1545" s="169">
        <v>5</v>
      </c>
      <c r="CT1545" s="170">
        <v>50</v>
      </c>
      <c r="DB1545" s="165">
        <v>40</v>
      </c>
      <c r="DC1545" s="167">
        <v>39.146341463414636</v>
      </c>
      <c r="DD1545" s="168">
        <v>-0.3</v>
      </c>
      <c r="DE1545" s="169">
        <v>4.4000000000000004</v>
      </c>
      <c r="DF1545" s="170">
        <v>47</v>
      </c>
    </row>
    <row r="1546" spans="40:110" hidden="1" x14ac:dyDescent="0.2">
      <c r="AN1546" s="165">
        <v>59</v>
      </c>
      <c r="AO1546" s="167">
        <v>67.341549295774655</v>
      </c>
      <c r="AP1546" s="168">
        <v>0.4</v>
      </c>
      <c r="AQ1546" s="169">
        <v>5.8</v>
      </c>
      <c r="AR1546" s="170">
        <v>54</v>
      </c>
      <c r="AS1546" s="20">
        <f t="shared" si="44"/>
        <v>18</v>
      </c>
      <c r="AT1546" s="165">
        <v>9</v>
      </c>
      <c r="AU1546" s="167">
        <v>2.2847100175746924</v>
      </c>
      <c r="AV1546" s="168">
        <v>-2</v>
      </c>
      <c r="AW1546" s="169">
        <v>1</v>
      </c>
      <c r="AX1546" s="170">
        <v>30</v>
      </c>
      <c r="BX1546" s="165">
        <v>251</v>
      </c>
      <c r="BY1546" s="167">
        <v>12.940140845070422</v>
      </c>
      <c r="BZ1546" s="168">
        <v>-1.1000000000000001</v>
      </c>
      <c r="CA1546" s="169">
        <v>2.8</v>
      </c>
      <c r="CB1546" s="170">
        <v>39</v>
      </c>
      <c r="CP1546" s="165">
        <v>65</v>
      </c>
      <c r="CQ1546" s="167">
        <v>51.230228471001759</v>
      </c>
      <c r="CR1546" s="168">
        <v>0</v>
      </c>
      <c r="CS1546" s="169">
        <v>5</v>
      </c>
      <c r="CT1546" s="170">
        <v>50</v>
      </c>
      <c r="DB1546" s="165">
        <v>41</v>
      </c>
      <c r="DC1546" s="167">
        <v>41.707317073170728</v>
      </c>
      <c r="DD1546" s="168">
        <v>-0.2</v>
      </c>
      <c r="DE1546" s="169">
        <v>4.5999999999999996</v>
      </c>
      <c r="DF1546" s="170">
        <v>48</v>
      </c>
    </row>
    <row r="1547" spans="40:110" hidden="1" x14ac:dyDescent="0.2">
      <c r="AN1547" s="165">
        <v>60</v>
      </c>
      <c r="AO1547" s="167">
        <v>71.038732394366207</v>
      </c>
      <c r="AP1547" s="168">
        <v>0.6</v>
      </c>
      <c r="AQ1547" s="169">
        <v>6.2</v>
      </c>
      <c r="AR1547" s="170">
        <v>56</v>
      </c>
      <c r="AS1547" s="20">
        <f t="shared" si="44"/>
        <v>19</v>
      </c>
      <c r="AT1547" s="165">
        <v>9.5</v>
      </c>
      <c r="AU1547" s="167">
        <v>2.6362038664323375</v>
      </c>
      <c r="AV1547" s="168">
        <v>-1.9</v>
      </c>
      <c r="AW1547" s="169">
        <v>1.2</v>
      </c>
      <c r="AX1547" s="170">
        <v>31</v>
      </c>
      <c r="BX1547" s="165">
        <v>250</v>
      </c>
      <c r="BY1547" s="167">
        <v>12.940140845070422</v>
      </c>
      <c r="BZ1547" s="168">
        <v>-1.1000000000000001</v>
      </c>
      <c r="CA1547" s="169">
        <v>2.8</v>
      </c>
      <c r="CB1547" s="170">
        <v>39</v>
      </c>
      <c r="CP1547" s="165">
        <v>64</v>
      </c>
      <c r="CQ1547" s="167">
        <v>51.230228471001759</v>
      </c>
      <c r="CR1547" s="168">
        <v>0</v>
      </c>
      <c r="CS1547" s="169">
        <v>5</v>
      </c>
      <c r="CT1547" s="170">
        <v>50</v>
      </c>
      <c r="DB1547" s="165">
        <v>42</v>
      </c>
      <c r="DC1547" s="167">
        <v>44.390243902439025</v>
      </c>
      <c r="DD1547" s="168">
        <v>-0.1</v>
      </c>
      <c r="DE1547" s="169">
        <v>4.8</v>
      </c>
      <c r="DF1547" s="170">
        <v>49</v>
      </c>
    </row>
    <row r="1548" spans="40:110" hidden="1" x14ac:dyDescent="0.2">
      <c r="AN1548" s="165">
        <v>61</v>
      </c>
      <c r="AO1548" s="167">
        <v>73.855633802816897</v>
      </c>
      <c r="AP1548" s="168">
        <v>0.6</v>
      </c>
      <c r="AQ1548" s="169">
        <v>6.2</v>
      </c>
      <c r="AR1548" s="170">
        <v>56</v>
      </c>
      <c r="AS1548" s="20">
        <f t="shared" si="44"/>
        <v>20</v>
      </c>
      <c r="AT1548" s="165">
        <v>10</v>
      </c>
      <c r="AU1548" s="167">
        <v>3.690685413005272</v>
      </c>
      <c r="AV1548" s="168">
        <v>-1.8</v>
      </c>
      <c r="AW1548" s="169">
        <v>1.4</v>
      </c>
      <c r="AX1548" s="170">
        <v>32</v>
      </c>
      <c r="BX1548" s="165">
        <v>249</v>
      </c>
      <c r="BY1548" s="167">
        <v>15.845070422535212</v>
      </c>
      <c r="BZ1548" s="168">
        <v>-1</v>
      </c>
      <c r="CA1548" s="169">
        <v>3</v>
      </c>
      <c r="CB1548" s="170">
        <v>40</v>
      </c>
      <c r="CP1548" s="165">
        <v>63</v>
      </c>
      <c r="CQ1548" s="167">
        <v>51.230228471001759</v>
      </c>
      <c r="CR1548" s="168">
        <v>0</v>
      </c>
      <c r="CS1548" s="169">
        <v>5</v>
      </c>
      <c r="CT1548" s="170">
        <v>50</v>
      </c>
      <c r="DB1548" s="165">
        <v>43</v>
      </c>
      <c r="DC1548" s="167">
        <v>46.463414634146346</v>
      </c>
      <c r="DD1548" s="168">
        <v>-0.1</v>
      </c>
      <c r="DE1548" s="169">
        <v>4.8</v>
      </c>
      <c r="DF1548" s="170">
        <v>49</v>
      </c>
    </row>
    <row r="1549" spans="40:110" hidden="1" x14ac:dyDescent="0.2">
      <c r="AN1549" s="165">
        <v>62</v>
      </c>
      <c r="AO1549" s="167">
        <v>77.464788732394368</v>
      </c>
      <c r="AP1549" s="168">
        <v>0.8</v>
      </c>
      <c r="AQ1549" s="169">
        <v>6.6</v>
      </c>
      <c r="AR1549" s="170">
        <v>58</v>
      </c>
      <c r="AS1549" s="20">
        <f t="shared" si="44"/>
        <v>21</v>
      </c>
      <c r="AT1549" s="165">
        <v>10.5</v>
      </c>
      <c r="AU1549" s="167">
        <v>5.0966608084358525</v>
      </c>
      <c r="AV1549" s="168">
        <v>-1.6</v>
      </c>
      <c r="AW1549" s="169">
        <v>1.8</v>
      </c>
      <c r="AX1549" s="170">
        <v>34</v>
      </c>
      <c r="BX1549" s="165">
        <v>248</v>
      </c>
      <c r="BY1549" s="167">
        <v>15.845070422535212</v>
      </c>
      <c r="BZ1549" s="168">
        <v>-1</v>
      </c>
      <c r="CA1549" s="169">
        <v>3</v>
      </c>
      <c r="CB1549" s="170">
        <v>40</v>
      </c>
      <c r="CP1549" s="165">
        <v>62</v>
      </c>
      <c r="CQ1549" s="167">
        <v>51.230228471001759</v>
      </c>
      <c r="CR1549" s="168">
        <v>0</v>
      </c>
      <c r="CS1549" s="169">
        <v>5</v>
      </c>
      <c r="CT1549" s="170">
        <v>50</v>
      </c>
      <c r="DB1549" s="165">
        <v>44</v>
      </c>
      <c r="DC1549" s="167">
        <v>48.658536585365852</v>
      </c>
      <c r="DD1549" s="168">
        <v>0</v>
      </c>
      <c r="DE1549" s="169">
        <v>5</v>
      </c>
      <c r="DF1549" s="170">
        <v>50</v>
      </c>
    </row>
    <row r="1550" spans="40:110" hidden="1" x14ac:dyDescent="0.2">
      <c r="AN1550" s="165">
        <v>63</v>
      </c>
      <c r="AO1550" s="167">
        <v>80.809859154929569</v>
      </c>
      <c r="AP1550" s="168">
        <v>0.9</v>
      </c>
      <c r="AQ1550" s="169">
        <v>6.8</v>
      </c>
      <c r="AR1550" s="170">
        <v>59</v>
      </c>
      <c r="AS1550" s="20">
        <f t="shared" si="44"/>
        <v>22</v>
      </c>
      <c r="AT1550" s="165">
        <v>11</v>
      </c>
      <c r="AU1550" s="167">
        <v>6.0632688927943761</v>
      </c>
      <c r="AV1550" s="168">
        <v>-1.6</v>
      </c>
      <c r="AW1550" s="169">
        <v>1.8</v>
      </c>
      <c r="AX1550" s="170">
        <v>34</v>
      </c>
      <c r="BX1550" s="165">
        <v>247</v>
      </c>
      <c r="BY1550" s="167">
        <v>15.845070422535212</v>
      </c>
      <c r="BZ1550" s="168">
        <v>-1</v>
      </c>
      <c r="CA1550" s="169">
        <v>3</v>
      </c>
      <c r="CB1550" s="170">
        <v>40</v>
      </c>
      <c r="CP1550" s="165">
        <v>61</v>
      </c>
      <c r="CQ1550" s="167">
        <v>51.230228471001759</v>
      </c>
      <c r="CR1550" s="168">
        <v>0</v>
      </c>
      <c r="CS1550" s="169">
        <v>5</v>
      </c>
      <c r="CT1550" s="170">
        <v>50</v>
      </c>
      <c r="DB1550" s="165">
        <v>45</v>
      </c>
      <c r="DC1550" s="167">
        <v>51.585365853658537</v>
      </c>
      <c r="DD1550" s="168">
        <v>0</v>
      </c>
      <c r="DE1550" s="169">
        <v>5</v>
      </c>
      <c r="DF1550" s="170">
        <v>50</v>
      </c>
    </row>
    <row r="1551" spans="40:110" hidden="1" x14ac:dyDescent="0.2">
      <c r="AN1551" s="165">
        <v>64</v>
      </c>
      <c r="AO1551" s="167">
        <v>83.802816901408448</v>
      </c>
      <c r="AP1551" s="168">
        <v>1</v>
      </c>
      <c r="AQ1551" s="169">
        <v>7</v>
      </c>
      <c r="AR1551" s="170">
        <v>60</v>
      </c>
      <c r="AS1551" s="20">
        <f t="shared" si="44"/>
        <v>23</v>
      </c>
      <c r="AT1551" s="165">
        <v>11.5</v>
      </c>
      <c r="AU1551" s="167">
        <v>6.854130052724078</v>
      </c>
      <c r="AV1551" s="168">
        <v>-1.5</v>
      </c>
      <c r="AW1551" s="169">
        <v>2</v>
      </c>
      <c r="AX1551" s="170">
        <v>35</v>
      </c>
      <c r="BX1551" s="165">
        <v>246</v>
      </c>
      <c r="BY1551" s="167">
        <v>15.845070422535212</v>
      </c>
      <c r="BZ1551" s="168">
        <v>-1</v>
      </c>
      <c r="CA1551" s="169">
        <v>3</v>
      </c>
      <c r="CB1551" s="170">
        <v>40</v>
      </c>
      <c r="CP1551" s="165">
        <v>60</v>
      </c>
      <c r="CQ1551" s="167">
        <v>51.230228471001759</v>
      </c>
      <c r="CR1551" s="168">
        <v>0</v>
      </c>
      <c r="CS1551" s="169">
        <v>5</v>
      </c>
      <c r="CT1551" s="170">
        <v>50</v>
      </c>
      <c r="DB1551" s="165">
        <v>46</v>
      </c>
      <c r="DC1551" s="167">
        <v>55.365853658536594</v>
      </c>
      <c r="DD1551" s="168">
        <v>0.1</v>
      </c>
      <c r="DE1551" s="169">
        <v>5.2</v>
      </c>
      <c r="DF1551" s="170">
        <v>51</v>
      </c>
    </row>
    <row r="1552" spans="40:110" hidden="1" x14ac:dyDescent="0.2">
      <c r="AN1552" s="165">
        <v>65</v>
      </c>
      <c r="AO1552" s="167">
        <v>86.443661971830991</v>
      </c>
      <c r="AP1552" s="168">
        <v>1.1000000000000001</v>
      </c>
      <c r="AQ1552" s="169">
        <v>7.2</v>
      </c>
      <c r="AR1552" s="170">
        <v>61</v>
      </c>
      <c r="AS1552" s="20">
        <f t="shared" si="44"/>
        <v>24</v>
      </c>
      <c r="AT1552" s="165">
        <v>12</v>
      </c>
      <c r="AU1552" s="167">
        <v>8.172231985940245</v>
      </c>
      <c r="AV1552" s="168">
        <v>-1.4</v>
      </c>
      <c r="AW1552" s="169">
        <v>2.2000000000000002</v>
      </c>
      <c r="AX1552" s="170">
        <v>36</v>
      </c>
      <c r="BX1552" s="165">
        <v>245</v>
      </c>
      <c r="BY1552" s="167">
        <v>15.845070422535212</v>
      </c>
      <c r="BZ1552" s="168">
        <v>-1</v>
      </c>
      <c r="CA1552" s="169">
        <v>3</v>
      </c>
      <c r="CB1552" s="170">
        <v>40</v>
      </c>
      <c r="CP1552" s="165">
        <v>59</v>
      </c>
      <c r="CQ1552" s="167">
        <v>58.611599297012305</v>
      </c>
      <c r="CR1552" s="168">
        <v>0.2</v>
      </c>
      <c r="CS1552" s="169">
        <v>5.4</v>
      </c>
      <c r="CT1552" s="170">
        <v>52</v>
      </c>
      <c r="DB1552" s="165">
        <v>47</v>
      </c>
      <c r="DC1552" s="167">
        <v>58.170731707317067</v>
      </c>
      <c r="DD1552" s="168">
        <v>0.2</v>
      </c>
      <c r="DE1552" s="169">
        <v>5.4</v>
      </c>
      <c r="DF1552" s="170">
        <v>52</v>
      </c>
    </row>
    <row r="1553" spans="40:110" hidden="1" x14ac:dyDescent="0.2">
      <c r="AN1553" s="165">
        <v>66</v>
      </c>
      <c r="AO1553" s="167">
        <v>89.172535211267601</v>
      </c>
      <c r="AP1553" s="168">
        <v>1.2</v>
      </c>
      <c r="AQ1553" s="169">
        <v>7.4</v>
      </c>
      <c r="AR1553" s="170">
        <v>62</v>
      </c>
      <c r="AS1553" s="20">
        <f t="shared" si="44"/>
        <v>25</v>
      </c>
      <c r="AT1553" s="165">
        <v>12.5</v>
      </c>
      <c r="AU1553" s="167">
        <v>9.6660808435852363</v>
      </c>
      <c r="AV1553" s="168">
        <v>-1.3</v>
      </c>
      <c r="AW1553" s="169">
        <v>2.4</v>
      </c>
      <c r="AX1553" s="170">
        <v>37</v>
      </c>
      <c r="BX1553" s="165">
        <v>244</v>
      </c>
      <c r="BY1553" s="167">
        <v>15.845070422535212</v>
      </c>
      <c r="BZ1553" s="168">
        <v>-1</v>
      </c>
      <c r="CA1553" s="169">
        <v>3</v>
      </c>
      <c r="CB1553" s="170">
        <v>40</v>
      </c>
      <c r="CP1553" s="165">
        <v>58</v>
      </c>
      <c r="CQ1553" s="167">
        <v>58.611599297012305</v>
      </c>
      <c r="CR1553" s="168">
        <v>0.2</v>
      </c>
      <c r="CS1553" s="169">
        <v>5.4</v>
      </c>
      <c r="CT1553" s="170">
        <v>52</v>
      </c>
      <c r="DB1553" s="165">
        <v>48</v>
      </c>
      <c r="DC1553" s="167">
        <v>59.756097560975604</v>
      </c>
      <c r="DD1553" s="168">
        <v>0.2</v>
      </c>
      <c r="DE1553" s="169">
        <v>5.4</v>
      </c>
      <c r="DF1553" s="170">
        <v>52</v>
      </c>
    </row>
    <row r="1554" spans="40:110" hidden="1" x14ac:dyDescent="0.2">
      <c r="AN1554" s="165">
        <v>67</v>
      </c>
      <c r="AO1554" s="167">
        <v>92.077464788732399</v>
      </c>
      <c r="AP1554" s="168">
        <v>1.4</v>
      </c>
      <c r="AQ1554" s="169">
        <v>7.8</v>
      </c>
      <c r="AR1554" s="170">
        <v>64</v>
      </c>
      <c r="AS1554" s="20">
        <f t="shared" si="44"/>
        <v>26</v>
      </c>
      <c r="AT1554" s="165">
        <v>13</v>
      </c>
      <c r="AU1554" s="167">
        <v>10.808435852372583</v>
      </c>
      <c r="AV1554" s="168">
        <v>-1.2</v>
      </c>
      <c r="AW1554" s="169">
        <v>2.6</v>
      </c>
      <c r="AX1554" s="170">
        <v>38</v>
      </c>
      <c r="BX1554" s="165">
        <v>243</v>
      </c>
      <c r="BY1554" s="167">
        <v>15.845070422535212</v>
      </c>
      <c r="BZ1554" s="168">
        <v>-1</v>
      </c>
      <c r="CA1554" s="169">
        <v>3</v>
      </c>
      <c r="CB1554" s="170">
        <v>40</v>
      </c>
      <c r="CP1554" s="165">
        <v>57</v>
      </c>
      <c r="CQ1554" s="167">
        <v>58.611599297012305</v>
      </c>
      <c r="CR1554" s="168">
        <v>0.2</v>
      </c>
      <c r="CS1554" s="169">
        <v>5.4</v>
      </c>
      <c r="CT1554" s="170">
        <v>52</v>
      </c>
      <c r="DB1554" s="165">
        <v>49</v>
      </c>
      <c r="DC1554" s="167">
        <v>61.707317073170728</v>
      </c>
      <c r="DD1554" s="168">
        <v>0.3</v>
      </c>
      <c r="DE1554" s="169">
        <v>5.6</v>
      </c>
      <c r="DF1554" s="170">
        <v>53</v>
      </c>
    </row>
    <row r="1555" spans="40:110" hidden="1" x14ac:dyDescent="0.2">
      <c r="AN1555" s="165">
        <v>68</v>
      </c>
      <c r="AO1555" s="167">
        <v>93.661971830985919</v>
      </c>
      <c r="AP1555" s="168">
        <v>1.5</v>
      </c>
      <c r="AQ1555" s="169">
        <v>8</v>
      </c>
      <c r="AR1555" s="170">
        <v>65</v>
      </c>
      <c r="AS1555" s="20">
        <f t="shared" si="44"/>
        <v>27</v>
      </c>
      <c r="AT1555" s="165">
        <v>13.5</v>
      </c>
      <c r="AU1555" s="167">
        <v>11.775043936731107</v>
      </c>
      <c r="AV1555" s="168">
        <v>-1.2</v>
      </c>
      <c r="AW1555" s="169">
        <v>2.6</v>
      </c>
      <c r="AX1555" s="170">
        <v>38</v>
      </c>
      <c r="BX1555" s="165">
        <v>242</v>
      </c>
      <c r="BY1555" s="167">
        <v>15.845070422535212</v>
      </c>
      <c r="BZ1555" s="168">
        <v>-1</v>
      </c>
      <c r="CA1555" s="169">
        <v>3</v>
      </c>
      <c r="CB1555" s="170">
        <v>40</v>
      </c>
      <c r="CP1555" s="165">
        <v>56</v>
      </c>
      <c r="CQ1555" s="167">
        <v>58.611599297012305</v>
      </c>
      <c r="CR1555" s="168">
        <v>0.2</v>
      </c>
      <c r="CS1555" s="169">
        <v>5.4</v>
      </c>
      <c r="CT1555" s="170">
        <v>52</v>
      </c>
      <c r="DB1555" s="165">
        <v>50</v>
      </c>
      <c r="DC1555" s="167">
        <v>64.390243902439025</v>
      </c>
      <c r="DD1555" s="168">
        <v>0.4</v>
      </c>
      <c r="DE1555" s="169">
        <v>5.8</v>
      </c>
      <c r="DF1555" s="170">
        <v>54</v>
      </c>
    </row>
    <row r="1556" spans="40:110" hidden="1" x14ac:dyDescent="0.2">
      <c r="AN1556" s="165">
        <v>69</v>
      </c>
      <c r="AO1556" s="167">
        <v>96.126760563380287</v>
      </c>
      <c r="AP1556" s="168">
        <v>1.8</v>
      </c>
      <c r="AQ1556" s="169">
        <v>8.6</v>
      </c>
      <c r="AR1556" s="170">
        <v>68</v>
      </c>
      <c r="AS1556" s="20">
        <f t="shared" si="44"/>
        <v>28</v>
      </c>
      <c r="AT1556" s="165">
        <v>14</v>
      </c>
      <c r="AU1556" s="167">
        <v>14.850615114235502</v>
      </c>
      <c r="AV1556" s="168">
        <v>-1</v>
      </c>
      <c r="AW1556" s="169">
        <v>3</v>
      </c>
      <c r="AX1556" s="170">
        <v>40</v>
      </c>
      <c r="BX1556" s="165">
        <v>241</v>
      </c>
      <c r="BY1556" s="167">
        <v>15.845070422535212</v>
      </c>
      <c r="BZ1556" s="168">
        <v>-1</v>
      </c>
      <c r="CA1556" s="169">
        <v>3</v>
      </c>
      <c r="CB1556" s="170">
        <v>40</v>
      </c>
      <c r="CP1556" s="165">
        <v>55</v>
      </c>
      <c r="CQ1556" s="167">
        <v>58.611599297012305</v>
      </c>
      <c r="CR1556" s="168">
        <v>0.2</v>
      </c>
      <c r="CS1556" s="169">
        <v>5.4</v>
      </c>
      <c r="CT1556" s="170">
        <v>52</v>
      </c>
      <c r="DB1556" s="165">
        <v>51</v>
      </c>
      <c r="DC1556" s="167">
        <v>66.585365853658544</v>
      </c>
      <c r="DD1556" s="168">
        <v>0.4</v>
      </c>
      <c r="DE1556" s="169">
        <v>5.8</v>
      </c>
      <c r="DF1556" s="170">
        <v>54</v>
      </c>
    </row>
    <row r="1557" spans="40:110" hidden="1" x14ac:dyDescent="0.2">
      <c r="AN1557" s="165">
        <v>70</v>
      </c>
      <c r="AO1557" s="167">
        <v>97.887323943661968</v>
      </c>
      <c r="AP1557" s="168">
        <v>2</v>
      </c>
      <c r="AQ1557" s="169">
        <v>9</v>
      </c>
      <c r="AR1557" s="170">
        <v>70</v>
      </c>
      <c r="AS1557" s="20">
        <f t="shared" si="44"/>
        <v>29</v>
      </c>
      <c r="AT1557" s="165">
        <v>14.5</v>
      </c>
      <c r="AU1557" s="167">
        <v>17.574692442882249</v>
      </c>
      <c r="AV1557" s="168">
        <v>-0.9</v>
      </c>
      <c r="AW1557" s="169">
        <v>3.2</v>
      </c>
      <c r="AX1557" s="170">
        <v>41</v>
      </c>
      <c r="BX1557" s="165">
        <v>240</v>
      </c>
      <c r="BY1557" s="167">
        <v>15.845070422535212</v>
      </c>
      <c r="BZ1557" s="168">
        <v>-1</v>
      </c>
      <c r="CA1557" s="169">
        <v>3</v>
      </c>
      <c r="CB1557" s="170">
        <v>40</v>
      </c>
      <c r="CP1557" s="165">
        <v>54</v>
      </c>
      <c r="CQ1557" s="167">
        <v>58.611599297012305</v>
      </c>
      <c r="CR1557" s="168">
        <v>0.2</v>
      </c>
      <c r="CS1557" s="169">
        <v>5.4</v>
      </c>
      <c r="CT1557" s="170">
        <v>52</v>
      </c>
      <c r="DB1557" s="165">
        <v>52</v>
      </c>
      <c r="DC1557" s="167">
        <v>67.804878048780495</v>
      </c>
      <c r="DD1557" s="168">
        <v>0.5</v>
      </c>
      <c r="DE1557" s="169">
        <v>6</v>
      </c>
      <c r="DF1557" s="170">
        <v>55</v>
      </c>
    </row>
    <row r="1558" spans="40:110" hidden="1" x14ac:dyDescent="0.2">
      <c r="AN1558" s="165">
        <v>71</v>
      </c>
      <c r="AO1558" s="167">
        <v>98.591549295774655</v>
      </c>
      <c r="AP1558" s="168">
        <v>2.2000000000000002</v>
      </c>
      <c r="AQ1558" s="169">
        <v>9.4</v>
      </c>
      <c r="AR1558" s="170">
        <v>72</v>
      </c>
      <c r="AS1558" s="20">
        <f t="shared" si="44"/>
        <v>30</v>
      </c>
      <c r="AT1558" s="165">
        <v>15</v>
      </c>
      <c r="AU1558" s="167">
        <v>18.101933216168717</v>
      </c>
      <c r="AV1558" s="168">
        <v>-0.9</v>
      </c>
      <c r="AW1558" s="169">
        <v>3.2</v>
      </c>
      <c r="AX1558" s="170">
        <v>41</v>
      </c>
      <c r="BX1558" s="165">
        <v>239</v>
      </c>
      <c r="BY1558" s="167">
        <v>19.19014084507042</v>
      </c>
      <c r="BZ1558" s="168">
        <v>-0.9</v>
      </c>
      <c r="CA1558" s="169">
        <v>3.2</v>
      </c>
      <c r="CB1558" s="170">
        <v>41</v>
      </c>
      <c r="CP1558" s="165">
        <v>53</v>
      </c>
      <c r="CQ1558" s="167">
        <v>58.611599297012305</v>
      </c>
      <c r="CR1558" s="168">
        <v>0.2</v>
      </c>
      <c r="CS1558" s="169">
        <v>5.4</v>
      </c>
      <c r="CT1558" s="170">
        <v>52</v>
      </c>
      <c r="DB1558" s="165">
        <v>53</v>
      </c>
      <c r="DC1558" s="167">
        <v>69.268292682926827</v>
      </c>
      <c r="DD1558" s="168">
        <v>0.5</v>
      </c>
      <c r="DE1558" s="169">
        <v>6</v>
      </c>
      <c r="DF1558" s="170">
        <v>55</v>
      </c>
    </row>
    <row r="1559" spans="40:110" hidden="1" x14ac:dyDescent="0.2">
      <c r="AN1559" s="165">
        <v>72</v>
      </c>
      <c r="AO1559" s="167">
        <v>99.119718309859152</v>
      </c>
      <c r="AP1559" s="168">
        <v>2.4</v>
      </c>
      <c r="AQ1559" s="169">
        <v>9.8000000000000007</v>
      </c>
      <c r="AR1559" s="170">
        <v>74</v>
      </c>
      <c r="AS1559" s="20">
        <f t="shared" si="44"/>
        <v>31</v>
      </c>
      <c r="AT1559" s="165">
        <v>15.5</v>
      </c>
      <c r="AU1559" s="167">
        <v>18.629173989455182</v>
      </c>
      <c r="AV1559" s="168">
        <v>-0.9</v>
      </c>
      <c r="AW1559" s="169">
        <v>3.2</v>
      </c>
      <c r="AX1559" s="170">
        <v>41</v>
      </c>
      <c r="BX1559" s="165">
        <v>238</v>
      </c>
      <c r="BY1559" s="167">
        <v>19.19014084507042</v>
      </c>
      <c r="BZ1559" s="168">
        <v>-0.9</v>
      </c>
      <c r="CA1559" s="169">
        <v>3.2</v>
      </c>
      <c r="CB1559" s="170">
        <v>41</v>
      </c>
      <c r="CP1559" s="165">
        <v>52</v>
      </c>
      <c r="CQ1559" s="167">
        <v>58.611599297012305</v>
      </c>
      <c r="CR1559" s="168">
        <v>0.2</v>
      </c>
      <c r="CS1559" s="169">
        <v>5.4</v>
      </c>
      <c r="CT1559" s="170">
        <v>52</v>
      </c>
      <c r="DB1559" s="165">
        <v>54</v>
      </c>
      <c r="DC1559" s="167">
        <v>70.853658536585357</v>
      </c>
      <c r="DD1559" s="168">
        <v>0.5</v>
      </c>
      <c r="DE1559" s="169">
        <v>6</v>
      </c>
      <c r="DF1559" s="170">
        <v>55</v>
      </c>
    </row>
    <row r="1560" spans="40:110" ht="13.15" hidden="1" thickBot="1" x14ac:dyDescent="0.25">
      <c r="AN1560" s="165">
        <v>73</v>
      </c>
      <c r="AO1560" s="167">
        <v>99.559859154929569</v>
      </c>
      <c r="AP1560" s="168">
        <v>2.6</v>
      </c>
      <c r="AQ1560" s="169">
        <v>10.199999999999999</v>
      </c>
      <c r="AR1560" s="170">
        <v>76</v>
      </c>
      <c r="AS1560" s="20">
        <f t="shared" si="44"/>
        <v>32</v>
      </c>
      <c r="AT1560" s="172">
        <v>16</v>
      </c>
      <c r="AU1560" s="173">
        <v>59.314586994727591</v>
      </c>
      <c r="AV1560" s="174">
        <v>0.2</v>
      </c>
      <c r="AW1560" s="175">
        <v>5.4</v>
      </c>
      <c r="AX1560" s="176">
        <v>52</v>
      </c>
      <c r="BX1560" s="165">
        <v>237</v>
      </c>
      <c r="BY1560" s="167">
        <v>19.19014084507042</v>
      </c>
      <c r="BZ1560" s="168">
        <v>-0.9</v>
      </c>
      <c r="CA1560" s="169">
        <v>3.2</v>
      </c>
      <c r="CB1560" s="170">
        <v>41</v>
      </c>
      <c r="CP1560" s="165">
        <v>51</v>
      </c>
      <c r="CQ1560" s="167">
        <v>58.611599297012305</v>
      </c>
      <c r="CR1560" s="168">
        <v>0.2</v>
      </c>
      <c r="CS1560" s="169">
        <v>5.4</v>
      </c>
      <c r="CT1560" s="170">
        <v>52</v>
      </c>
      <c r="DB1560" s="165">
        <v>55</v>
      </c>
      <c r="DC1560" s="167">
        <v>72.439024390243901</v>
      </c>
      <c r="DD1560" s="168">
        <v>0.6</v>
      </c>
      <c r="DE1560" s="169">
        <v>6.2</v>
      </c>
      <c r="DF1560" s="170">
        <v>56</v>
      </c>
    </row>
    <row r="1561" spans="40:110" ht="13.15" hidden="1" thickBot="1" x14ac:dyDescent="0.25">
      <c r="AN1561" s="172">
        <v>74</v>
      </c>
      <c r="AO1561" s="173">
        <v>99.911971830985919</v>
      </c>
      <c r="AP1561" s="174">
        <v>3</v>
      </c>
      <c r="AQ1561" s="175">
        <v>11</v>
      </c>
      <c r="AR1561" s="176">
        <v>80</v>
      </c>
      <c r="BX1561" s="165">
        <v>236</v>
      </c>
      <c r="BY1561" s="167">
        <v>19.19014084507042</v>
      </c>
      <c r="BZ1561" s="168">
        <v>-0.9</v>
      </c>
      <c r="CA1561" s="169">
        <v>3.2</v>
      </c>
      <c r="CB1561" s="170">
        <v>41</v>
      </c>
      <c r="CP1561" s="165">
        <v>50</v>
      </c>
      <c r="CQ1561" s="167">
        <v>58.611599297012305</v>
      </c>
      <c r="CR1561" s="168">
        <v>0.2</v>
      </c>
      <c r="CS1561" s="169">
        <v>5.4</v>
      </c>
      <c r="CT1561" s="170">
        <v>52</v>
      </c>
      <c r="DB1561" s="165">
        <v>56</v>
      </c>
      <c r="DC1561" s="167">
        <v>74.146341463414629</v>
      </c>
      <c r="DD1561" s="168">
        <v>0.6</v>
      </c>
      <c r="DE1561" s="169">
        <v>6.2</v>
      </c>
      <c r="DF1561" s="170">
        <v>56</v>
      </c>
    </row>
    <row r="1562" spans="40:110" hidden="1" x14ac:dyDescent="0.2">
      <c r="BX1562" s="165">
        <v>235</v>
      </c>
      <c r="BY1562" s="167">
        <v>19.19014084507042</v>
      </c>
      <c r="BZ1562" s="168">
        <v>-0.9</v>
      </c>
      <c r="CA1562" s="169">
        <v>3.2</v>
      </c>
      <c r="CB1562" s="170">
        <v>41</v>
      </c>
      <c r="CP1562" s="165">
        <v>49</v>
      </c>
      <c r="CQ1562" s="167">
        <v>66.256590509666083</v>
      </c>
      <c r="CR1562" s="168">
        <v>0.4</v>
      </c>
      <c r="CS1562" s="169">
        <v>5.8</v>
      </c>
      <c r="CT1562" s="170">
        <v>54</v>
      </c>
      <c r="DB1562" s="165">
        <v>57</v>
      </c>
      <c r="DC1562" s="167">
        <v>76.341463414634148</v>
      </c>
      <c r="DD1562" s="168">
        <v>0.7</v>
      </c>
      <c r="DE1562" s="169">
        <v>6.4</v>
      </c>
      <c r="DF1562" s="170">
        <v>57</v>
      </c>
    </row>
    <row r="1563" spans="40:110" ht="13.15" hidden="1" thickBot="1" x14ac:dyDescent="0.25">
      <c r="BX1563" s="165">
        <v>234</v>
      </c>
      <c r="BY1563" s="167">
        <v>19.19014084507042</v>
      </c>
      <c r="BZ1563" s="168">
        <v>-0.9</v>
      </c>
      <c r="CA1563" s="169">
        <v>3.2</v>
      </c>
      <c r="CB1563" s="170">
        <v>41</v>
      </c>
      <c r="CP1563" s="165">
        <v>48</v>
      </c>
      <c r="CQ1563" s="167">
        <v>66.256590509666083</v>
      </c>
      <c r="CR1563" s="168">
        <v>0.4</v>
      </c>
      <c r="CS1563" s="169">
        <v>5.8</v>
      </c>
      <c r="CT1563" s="170">
        <v>54</v>
      </c>
      <c r="DB1563" s="165">
        <v>58</v>
      </c>
      <c r="DC1563" s="167">
        <v>78.170731707317074</v>
      </c>
      <c r="DD1563" s="168">
        <v>0.8</v>
      </c>
      <c r="DE1563" s="169">
        <v>6.6</v>
      </c>
      <c r="DF1563" s="170">
        <v>58</v>
      </c>
    </row>
    <row r="1564" spans="40:110" ht="13.15" hidden="1" x14ac:dyDescent="0.25">
      <c r="AN1564" s="138" t="s">
        <v>186</v>
      </c>
      <c r="AO1564" s="139"/>
      <c r="AP1564" s="139"/>
      <c r="AQ1564" s="140" t="s">
        <v>180</v>
      </c>
      <c r="AR1564" s="141">
        <v>568</v>
      </c>
      <c r="BX1564" s="165">
        <v>233</v>
      </c>
      <c r="BY1564" s="167">
        <v>19.19014084507042</v>
      </c>
      <c r="BZ1564" s="168">
        <v>-0.9</v>
      </c>
      <c r="CA1564" s="169">
        <v>3.2</v>
      </c>
      <c r="CB1564" s="170">
        <v>41</v>
      </c>
      <c r="CP1564" s="165">
        <v>47</v>
      </c>
      <c r="CQ1564" s="167">
        <v>66.256590509666083</v>
      </c>
      <c r="CR1564" s="168">
        <v>0.4</v>
      </c>
      <c r="CS1564" s="169">
        <v>5.8</v>
      </c>
      <c r="CT1564" s="170">
        <v>54</v>
      </c>
      <c r="DB1564" s="165">
        <v>59</v>
      </c>
      <c r="DC1564" s="167">
        <v>79.756097560975618</v>
      </c>
      <c r="DD1564" s="168">
        <v>0.8</v>
      </c>
      <c r="DE1564" s="169">
        <v>6.6</v>
      </c>
      <c r="DF1564" s="170">
        <v>58</v>
      </c>
    </row>
    <row r="1565" spans="40:110" hidden="1" x14ac:dyDescent="0.2">
      <c r="AN1565" s="144" t="s">
        <v>161</v>
      </c>
      <c r="AP1565" s="20" t="s">
        <v>162</v>
      </c>
      <c r="AR1565" s="145"/>
      <c r="BX1565" s="165">
        <v>232</v>
      </c>
      <c r="BY1565" s="167">
        <v>19.19014084507042</v>
      </c>
      <c r="BZ1565" s="168">
        <v>-0.9</v>
      </c>
      <c r="CA1565" s="169">
        <v>3.2</v>
      </c>
      <c r="CB1565" s="170">
        <v>41</v>
      </c>
      <c r="CP1565" s="165">
        <v>46</v>
      </c>
      <c r="CQ1565" s="167">
        <v>66.256590509666083</v>
      </c>
      <c r="CR1565" s="168">
        <v>0.4</v>
      </c>
      <c r="CS1565" s="169">
        <v>5.8</v>
      </c>
      <c r="CT1565" s="170">
        <v>54</v>
      </c>
      <c r="DB1565" s="165">
        <v>60</v>
      </c>
      <c r="DC1565" s="167">
        <v>81.463414634146332</v>
      </c>
      <c r="DD1565" s="168">
        <v>0.9</v>
      </c>
      <c r="DE1565" s="169">
        <v>6.8</v>
      </c>
      <c r="DF1565" s="170">
        <v>59</v>
      </c>
    </row>
    <row r="1566" spans="40:110" ht="13.15" hidden="1" thickBot="1" x14ac:dyDescent="0.25">
      <c r="AN1566" s="181" t="s">
        <v>199</v>
      </c>
      <c r="AO1566" s="148"/>
      <c r="AP1566" s="148"/>
      <c r="AQ1566" s="148"/>
      <c r="AR1566" s="149"/>
      <c r="BX1566" s="165">
        <v>231</v>
      </c>
      <c r="BY1566" s="167">
        <v>19.19014084507042</v>
      </c>
      <c r="BZ1566" s="168">
        <v>-0.9</v>
      </c>
      <c r="CA1566" s="169">
        <v>3.2</v>
      </c>
      <c r="CB1566" s="170">
        <v>41</v>
      </c>
      <c r="CP1566" s="165">
        <v>45</v>
      </c>
      <c r="CQ1566" s="167">
        <v>66.256590509666083</v>
      </c>
      <c r="CR1566" s="168">
        <v>0.4</v>
      </c>
      <c r="CS1566" s="169">
        <v>5.8</v>
      </c>
      <c r="CT1566" s="170">
        <v>54</v>
      </c>
      <c r="DB1566" s="165">
        <v>61</v>
      </c>
      <c r="DC1566" s="167">
        <v>82.926829268292678</v>
      </c>
      <c r="DD1566" s="168">
        <v>1</v>
      </c>
      <c r="DE1566" s="169">
        <v>7</v>
      </c>
      <c r="DF1566" s="170">
        <v>60</v>
      </c>
    </row>
    <row r="1567" spans="40:110" ht="13.15" hidden="1" thickBot="1" x14ac:dyDescent="0.25">
      <c r="AN1567" s="150" t="s">
        <v>164</v>
      </c>
      <c r="AO1567" s="151" t="s">
        <v>201</v>
      </c>
      <c r="AP1567" s="152"/>
      <c r="AQ1567" s="152"/>
      <c r="AR1567" s="153"/>
      <c r="BX1567" s="165">
        <v>230</v>
      </c>
      <c r="BY1567" s="167">
        <v>19.19014084507042</v>
      </c>
      <c r="BZ1567" s="168">
        <v>-0.9</v>
      </c>
      <c r="CA1567" s="169">
        <v>3.2</v>
      </c>
      <c r="CB1567" s="170">
        <v>41</v>
      </c>
      <c r="CP1567" s="165">
        <v>44</v>
      </c>
      <c r="CQ1567" s="167">
        <v>66.256590509666083</v>
      </c>
      <c r="CR1567" s="168">
        <v>0.4</v>
      </c>
      <c r="CS1567" s="169">
        <v>5.8</v>
      </c>
      <c r="CT1567" s="170">
        <v>54</v>
      </c>
      <c r="DB1567" s="165">
        <v>62</v>
      </c>
      <c r="DC1567" s="167">
        <v>84.146341463414629</v>
      </c>
      <c r="DD1567" s="168">
        <v>1</v>
      </c>
      <c r="DE1567" s="169">
        <v>7</v>
      </c>
      <c r="DF1567" s="170">
        <v>60</v>
      </c>
    </row>
    <row r="1568" spans="40:110" ht="13.15" hidden="1" thickBot="1" x14ac:dyDescent="0.25">
      <c r="AN1568" s="155" t="s">
        <v>10</v>
      </c>
      <c r="AO1568" s="156" t="s">
        <v>13</v>
      </c>
      <c r="AP1568" s="156" t="s">
        <v>14</v>
      </c>
      <c r="AQ1568" s="156" t="s">
        <v>15</v>
      </c>
      <c r="AR1568" s="157" t="s">
        <v>16</v>
      </c>
      <c r="BX1568" s="165">
        <v>229</v>
      </c>
      <c r="BY1568" s="167">
        <v>22.007042253521128</v>
      </c>
      <c r="BZ1568" s="168">
        <v>-0.8</v>
      </c>
      <c r="CA1568" s="169">
        <v>3.4</v>
      </c>
      <c r="CB1568" s="170">
        <v>42</v>
      </c>
      <c r="CP1568" s="165">
        <v>43</v>
      </c>
      <c r="CQ1568" s="167">
        <v>66.256590509666083</v>
      </c>
      <c r="CR1568" s="168">
        <v>0.4</v>
      </c>
      <c r="CS1568" s="169">
        <v>5.8</v>
      </c>
      <c r="CT1568" s="170">
        <v>54</v>
      </c>
      <c r="DB1568" s="165">
        <v>63</v>
      </c>
      <c r="DC1568" s="167">
        <v>84.756097560975604</v>
      </c>
      <c r="DD1568" s="168">
        <v>1</v>
      </c>
      <c r="DE1568" s="169">
        <v>7</v>
      </c>
      <c r="DF1568" s="170">
        <v>60</v>
      </c>
    </row>
    <row r="1569" spans="40:110" hidden="1" x14ac:dyDescent="0.2">
      <c r="AN1569" s="165">
        <v>2.5</v>
      </c>
      <c r="AO1569" s="167">
        <v>8.8028169014084515E-2</v>
      </c>
      <c r="AP1569" s="168">
        <v>-3</v>
      </c>
      <c r="AQ1569" s="169">
        <v>-1</v>
      </c>
      <c r="AR1569" s="170">
        <v>20</v>
      </c>
      <c r="BX1569" s="165">
        <v>228</v>
      </c>
      <c r="BY1569" s="167">
        <v>22.007042253521128</v>
      </c>
      <c r="BZ1569" s="168">
        <v>-0.8</v>
      </c>
      <c r="CA1569" s="169">
        <v>3.4</v>
      </c>
      <c r="CB1569" s="170">
        <v>42</v>
      </c>
      <c r="CP1569" s="165">
        <v>42</v>
      </c>
      <c r="CQ1569" s="167">
        <v>66.256590509666083</v>
      </c>
      <c r="CR1569" s="168">
        <v>0.4</v>
      </c>
      <c r="CS1569" s="169">
        <v>5.8</v>
      </c>
      <c r="CT1569" s="170">
        <v>54</v>
      </c>
      <c r="DB1569" s="165">
        <v>64</v>
      </c>
      <c r="DC1569" s="167">
        <v>85.609756097560975</v>
      </c>
      <c r="DD1569" s="168">
        <v>1.1000000000000001</v>
      </c>
      <c r="DE1569" s="169">
        <v>7.2</v>
      </c>
      <c r="DF1569" s="170">
        <v>61</v>
      </c>
    </row>
    <row r="1570" spans="40:110" hidden="1" x14ac:dyDescent="0.2">
      <c r="AN1570" s="165">
        <v>3</v>
      </c>
      <c r="AO1570" s="167">
        <v>0.44014084507042256</v>
      </c>
      <c r="AP1570" s="168">
        <v>-2.6</v>
      </c>
      <c r="AQ1570" s="169">
        <v>-0.2</v>
      </c>
      <c r="AR1570" s="170">
        <v>24</v>
      </c>
      <c r="BX1570" s="165">
        <v>227</v>
      </c>
      <c r="BY1570" s="167">
        <v>22.007042253521128</v>
      </c>
      <c r="BZ1570" s="168">
        <v>-0.8</v>
      </c>
      <c r="CA1570" s="169">
        <v>3.4</v>
      </c>
      <c r="CB1570" s="170">
        <v>42</v>
      </c>
      <c r="CP1570" s="165">
        <v>41</v>
      </c>
      <c r="CQ1570" s="167">
        <v>66.256590509666083</v>
      </c>
      <c r="CR1570" s="168">
        <v>0.4</v>
      </c>
      <c r="CS1570" s="169">
        <v>5.8</v>
      </c>
      <c r="CT1570" s="170">
        <v>54</v>
      </c>
      <c r="DB1570" s="165">
        <v>65</v>
      </c>
      <c r="DC1570" s="167">
        <v>86.58536585365853</v>
      </c>
      <c r="DD1570" s="168">
        <v>1.1000000000000001</v>
      </c>
      <c r="DE1570" s="169">
        <v>7.2</v>
      </c>
      <c r="DF1570" s="170">
        <v>61</v>
      </c>
    </row>
    <row r="1571" spans="40:110" hidden="1" x14ac:dyDescent="0.2">
      <c r="AN1571" s="165">
        <v>3.5</v>
      </c>
      <c r="AO1571" s="167">
        <v>0.44014084507042256</v>
      </c>
      <c r="AP1571" s="168">
        <v>-2.6</v>
      </c>
      <c r="AQ1571" s="169">
        <v>-0.2</v>
      </c>
      <c r="AR1571" s="170">
        <v>24</v>
      </c>
      <c r="BX1571" s="165">
        <v>226</v>
      </c>
      <c r="BY1571" s="167">
        <v>22.007042253521128</v>
      </c>
      <c r="BZ1571" s="168">
        <v>-0.8</v>
      </c>
      <c r="CA1571" s="169">
        <v>3.4</v>
      </c>
      <c r="CB1571" s="170">
        <v>42</v>
      </c>
      <c r="CP1571" s="165">
        <v>40</v>
      </c>
      <c r="CQ1571" s="167">
        <v>66.256590509666083</v>
      </c>
      <c r="CR1571" s="168">
        <v>0.4</v>
      </c>
      <c r="CS1571" s="169">
        <v>5.8</v>
      </c>
      <c r="CT1571" s="170">
        <v>54</v>
      </c>
      <c r="DB1571" s="165">
        <v>66</v>
      </c>
      <c r="DC1571" s="167">
        <v>87.804878048780495</v>
      </c>
      <c r="DD1571" s="168">
        <v>1.2</v>
      </c>
      <c r="DE1571" s="169">
        <v>7.4</v>
      </c>
      <c r="DF1571" s="170">
        <v>62</v>
      </c>
    </row>
    <row r="1572" spans="40:110" hidden="1" x14ac:dyDescent="0.2">
      <c r="AN1572" s="165">
        <v>4</v>
      </c>
      <c r="AO1572" s="167">
        <v>0.44014084507042256</v>
      </c>
      <c r="AP1572" s="168">
        <v>-2.6</v>
      </c>
      <c r="AQ1572" s="169">
        <v>-0.2</v>
      </c>
      <c r="AR1572" s="170">
        <v>24</v>
      </c>
      <c r="BX1572" s="165">
        <v>225</v>
      </c>
      <c r="BY1572" s="167">
        <v>22.007042253521128</v>
      </c>
      <c r="BZ1572" s="168">
        <v>-0.8</v>
      </c>
      <c r="CA1572" s="169">
        <v>3.4</v>
      </c>
      <c r="CB1572" s="170">
        <v>42</v>
      </c>
      <c r="CP1572" s="165">
        <v>39</v>
      </c>
      <c r="CQ1572" s="167">
        <v>77.416520210896309</v>
      </c>
      <c r="CR1572" s="168">
        <v>0.8</v>
      </c>
      <c r="CS1572" s="169">
        <v>6.6</v>
      </c>
      <c r="CT1572" s="170">
        <v>58</v>
      </c>
      <c r="DB1572" s="165">
        <v>67</v>
      </c>
      <c r="DC1572" s="167">
        <v>89.024390243902445</v>
      </c>
      <c r="DD1572" s="168">
        <v>1.2</v>
      </c>
      <c r="DE1572" s="169">
        <v>7.4</v>
      </c>
      <c r="DF1572" s="170">
        <v>62</v>
      </c>
    </row>
    <row r="1573" spans="40:110" hidden="1" x14ac:dyDescent="0.2">
      <c r="AN1573" s="165">
        <v>4.5</v>
      </c>
      <c r="AO1573" s="167">
        <v>0.44014084507042256</v>
      </c>
      <c r="AP1573" s="168">
        <v>-2.6</v>
      </c>
      <c r="AQ1573" s="169">
        <v>-0.2</v>
      </c>
      <c r="AR1573" s="170">
        <v>24</v>
      </c>
      <c r="BX1573" s="165">
        <v>224</v>
      </c>
      <c r="BY1573" s="167">
        <v>22.007042253521128</v>
      </c>
      <c r="BZ1573" s="168">
        <v>-0.8</v>
      </c>
      <c r="CA1573" s="169">
        <v>3.4</v>
      </c>
      <c r="CB1573" s="170">
        <v>42</v>
      </c>
      <c r="CP1573" s="165">
        <v>38</v>
      </c>
      <c r="CQ1573" s="167">
        <v>77.416520210896309</v>
      </c>
      <c r="CR1573" s="168">
        <v>0.8</v>
      </c>
      <c r="CS1573" s="169">
        <v>6.6</v>
      </c>
      <c r="CT1573" s="170">
        <v>58</v>
      </c>
      <c r="DB1573" s="165">
        <v>68</v>
      </c>
      <c r="DC1573" s="167">
        <v>90.121951219512198</v>
      </c>
      <c r="DD1573" s="168">
        <v>1.3</v>
      </c>
      <c r="DE1573" s="169">
        <v>7.6</v>
      </c>
      <c r="DF1573" s="170">
        <v>63</v>
      </c>
    </row>
    <row r="1574" spans="40:110" hidden="1" x14ac:dyDescent="0.2">
      <c r="AN1574" s="165">
        <v>5</v>
      </c>
      <c r="AO1574" s="167">
        <v>0.44014084507042256</v>
      </c>
      <c r="AP1574" s="168">
        <v>-2.6</v>
      </c>
      <c r="AQ1574" s="169">
        <v>-0.2</v>
      </c>
      <c r="AR1574" s="170">
        <v>24</v>
      </c>
      <c r="BX1574" s="165">
        <v>223</v>
      </c>
      <c r="BY1574" s="167">
        <v>22.007042253521128</v>
      </c>
      <c r="BZ1574" s="168">
        <v>-0.8</v>
      </c>
      <c r="CA1574" s="169">
        <v>3.4</v>
      </c>
      <c r="CB1574" s="170">
        <v>42</v>
      </c>
      <c r="CP1574" s="165">
        <v>37</v>
      </c>
      <c r="CQ1574" s="167">
        <v>77.416520210896309</v>
      </c>
      <c r="CR1574" s="168">
        <v>0.8</v>
      </c>
      <c r="CS1574" s="169">
        <v>6.6</v>
      </c>
      <c r="CT1574" s="170">
        <v>58</v>
      </c>
      <c r="DB1574" s="165">
        <v>69</v>
      </c>
      <c r="DC1574" s="167">
        <v>91.219512195121951</v>
      </c>
      <c r="DD1574" s="168">
        <v>1.4</v>
      </c>
      <c r="DE1574" s="169">
        <v>7.8</v>
      </c>
      <c r="DF1574" s="170">
        <v>64</v>
      </c>
    </row>
    <row r="1575" spans="40:110" hidden="1" x14ac:dyDescent="0.2">
      <c r="AN1575" s="165">
        <v>5.5</v>
      </c>
      <c r="AO1575" s="167">
        <v>1.232394366197183</v>
      </c>
      <c r="AP1575" s="168">
        <v>-2.2000000000000002</v>
      </c>
      <c r="AQ1575" s="169">
        <v>0.6</v>
      </c>
      <c r="AR1575" s="170">
        <v>28</v>
      </c>
      <c r="BX1575" s="165">
        <v>222</v>
      </c>
      <c r="BY1575" s="167">
        <v>22.007042253521128</v>
      </c>
      <c r="BZ1575" s="168">
        <v>-0.8</v>
      </c>
      <c r="CA1575" s="169">
        <v>3.4</v>
      </c>
      <c r="CB1575" s="170">
        <v>42</v>
      </c>
      <c r="CP1575" s="165">
        <v>36</v>
      </c>
      <c r="CQ1575" s="167">
        <v>77.416520210896309</v>
      </c>
      <c r="CR1575" s="168">
        <v>0.8</v>
      </c>
      <c r="CS1575" s="169">
        <v>6.6</v>
      </c>
      <c r="CT1575" s="170">
        <v>58</v>
      </c>
      <c r="DB1575" s="165">
        <v>70</v>
      </c>
      <c r="DC1575" s="167">
        <v>92.317073170731717</v>
      </c>
      <c r="DD1575" s="168">
        <v>1.4</v>
      </c>
      <c r="DE1575" s="169">
        <v>7.8</v>
      </c>
      <c r="DF1575" s="170">
        <v>64</v>
      </c>
    </row>
    <row r="1576" spans="40:110" hidden="1" x14ac:dyDescent="0.2">
      <c r="AN1576" s="165">
        <v>6</v>
      </c>
      <c r="AO1576" s="167">
        <v>2.024647887323944</v>
      </c>
      <c r="AP1576" s="168">
        <v>-2.1</v>
      </c>
      <c r="AQ1576" s="169">
        <v>0.8</v>
      </c>
      <c r="AR1576" s="170">
        <v>29</v>
      </c>
      <c r="BX1576" s="165">
        <v>221</v>
      </c>
      <c r="BY1576" s="167">
        <v>22.007042253521128</v>
      </c>
      <c r="BZ1576" s="168">
        <v>-0.8</v>
      </c>
      <c r="CA1576" s="169">
        <v>3.4</v>
      </c>
      <c r="CB1576" s="170">
        <v>42</v>
      </c>
      <c r="CP1576" s="165">
        <v>35</v>
      </c>
      <c r="CQ1576" s="167">
        <v>77.416520210896309</v>
      </c>
      <c r="CR1576" s="168">
        <v>0.8</v>
      </c>
      <c r="CS1576" s="169">
        <v>6.6</v>
      </c>
      <c r="CT1576" s="170">
        <v>58</v>
      </c>
      <c r="DB1576" s="165">
        <v>71</v>
      </c>
      <c r="DC1576" s="167">
        <v>93.048780487804876</v>
      </c>
      <c r="DD1576" s="168">
        <v>1.5</v>
      </c>
      <c r="DE1576" s="169">
        <v>8</v>
      </c>
      <c r="DF1576" s="170">
        <v>65</v>
      </c>
    </row>
    <row r="1577" spans="40:110" hidden="1" x14ac:dyDescent="0.2">
      <c r="AN1577" s="165">
        <v>6.5</v>
      </c>
      <c r="AO1577" s="167">
        <v>2.552816901408451</v>
      </c>
      <c r="AP1577" s="168">
        <v>-2</v>
      </c>
      <c r="AQ1577" s="169">
        <v>1</v>
      </c>
      <c r="AR1577" s="170">
        <v>30</v>
      </c>
      <c r="BX1577" s="165">
        <v>220</v>
      </c>
      <c r="BY1577" s="167">
        <v>22.007042253521128</v>
      </c>
      <c r="BZ1577" s="168">
        <v>-0.8</v>
      </c>
      <c r="CA1577" s="169">
        <v>3.4</v>
      </c>
      <c r="CB1577" s="170">
        <v>42</v>
      </c>
      <c r="CP1577" s="165">
        <v>34</v>
      </c>
      <c r="CQ1577" s="167">
        <v>77.416520210896309</v>
      </c>
      <c r="CR1577" s="168">
        <v>0.8</v>
      </c>
      <c r="CS1577" s="169">
        <v>6.6</v>
      </c>
      <c r="CT1577" s="170">
        <v>58</v>
      </c>
      <c r="DB1577" s="165">
        <v>72</v>
      </c>
      <c r="DC1577" s="167">
        <v>93.41463414634147</v>
      </c>
      <c r="DD1577" s="168">
        <v>1.5</v>
      </c>
      <c r="DE1577" s="169">
        <v>8</v>
      </c>
      <c r="DF1577" s="170">
        <v>65</v>
      </c>
    </row>
    <row r="1578" spans="40:110" hidden="1" x14ac:dyDescent="0.2">
      <c r="AN1578" s="165">
        <v>7</v>
      </c>
      <c r="AO1578" s="167">
        <v>4.0492957746478879</v>
      </c>
      <c r="AP1578" s="168">
        <v>-1.7</v>
      </c>
      <c r="AQ1578" s="169">
        <v>1.6</v>
      </c>
      <c r="AR1578" s="170">
        <v>33</v>
      </c>
      <c r="BX1578" s="165">
        <v>219</v>
      </c>
      <c r="BY1578" s="167">
        <v>25.528169014084508</v>
      </c>
      <c r="BZ1578" s="168">
        <v>-0.7</v>
      </c>
      <c r="CA1578" s="169">
        <v>3.6</v>
      </c>
      <c r="CB1578" s="170">
        <v>43</v>
      </c>
      <c r="CP1578" s="165">
        <v>33</v>
      </c>
      <c r="CQ1578" s="167">
        <v>77.416520210896309</v>
      </c>
      <c r="CR1578" s="168">
        <v>0.8</v>
      </c>
      <c r="CS1578" s="169">
        <v>6.6</v>
      </c>
      <c r="CT1578" s="170">
        <v>58</v>
      </c>
      <c r="DB1578" s="165">
        <v>73</v>
      </c>
      <c r="DC1578" s="167">
        <v>94.390243902439025</v>
      </c>
      <c r="DD1578" s="168">
        <v>1.6</v>
      </c>
      <c r="DE1578" s="169">
        <v>8.1999999999999993</v>
      </c>
      <c r="DF1578" s="170">
        <v>66</v>
      </c>
    </row>
    <row r="1579" spans="40:110" hidden="1" x14ac:dyDescent="0.2">
      <c r="AN1579" s="165">
        <v>7.5</v>
      </c>
      <c r="AO1579" s="167">
        <v>6.073943661971831</v>
      </c>
      <c r="AP1579" s="168">
        <v>-1.6</v>
      </c>
      <c r="AQ1579" s="169">
        <v>1.8</v>
      </c>
      <c r="AR1579" s="170">
        <v>34</v>
      </c>
      <c r="BX1579" s="165">
        <v>218</v>
      </c>
      <c r="BY1579" s="167">
        <v>25.528169014084508</v>
      </c>
      <c r="BZ1579" s="168">
        <v>-0.7</v>
      </c>
      <c r="CA1579" s="169">
        <v>3.6</v>
      </c>
      <c r="CB1579" s="170">
        <v>43</v>
      </c>
      <c r="CP1579" s="165">
        <v>32</v>
      </c>
      <c r="CQ1579" s="167">
        <v>77.416520210896309</v>
      </c>
      <c r="CR1579" s="168">
        <v>0.8</v>
      </c>
      <c r="CS1579" s="169">
        <v>6.6</v>
      </c>
      <c r="CT1579" s="170">
        <v>58</v>
      </c>
      <c r="DB1579" s="165">
        <v>74</v>
      </c>
      <c r="DC1579" s="167">
        <v>95.609756097560975</v>
      </c>
      <c r="DD1579" s="168">
        <v>1.7</v>
      </c>
      <c r="DE1579" s="169">
        <v>8.4</v>
      </c>
      <c r="DF1579" s="170">
        <v>67</v>
      </c>
    </row>
    <row r="1580" spans="40:110" hidden="1" x14ac:dyDescent="0.2">
      <c r="AN1580" s="165">
        <v>8</v>
      </c>
      <c r="AO1580" s="167">
        <v>8.5387323943661961</v>
      </c>
      <c r="AP1580" s="168">
        <v>-1.4</v>
      </c>
      <c r="AQ1580" s="169">
        <v>2.2000000000000002</v>
      </c>
      <c r="AR1580" s="170">
        <v>36</v>
      </c>
      <c r="BX1580" s="165">
        <v>217</v>
      </c>
      <c r="BY1580" s="167">
        <v>25.528169014084508</v>
      </c>
      <c r="BZ1580" s="168">
        <v>-0.7</v>
      </c>
      <c r="CA1580" s="169">
        <v>3.6</v>
      </c>
      <c r="CB1580" s="170">
        <v>43</v>
      </c>
      <c r="CP1580" s="165">
        <v>31</v>
      </c>
      <c r="CQ1580" s="167">
        <v>77.416520210896309</v>
      </c>
      <c r="CR1580" s="168">
        <v>0.8</v>
      </c>
      <c r="CS1580" s="169">
        <v>6.6</v>
      </c>
      <c r="CT1580" s="170">
        <v>58</v>
      </c>
      <c r="DB1580" s="165">
        <v>75</v>
      </c>
      <c r="DC1580" s="167">
        <v>96.463414634146332</v>
      </c>
      <c r="DD1580" s="168">
        <v>1.8</v>
      </c>
      <c r="DE1580" s="169">
        <v>8.6</v>
      </c>
      <c r="DF1580" s="170">
        <v>68</v>
      </c>
    </row>
    <row r="1581" spans="40:110" hidden="1" x14ac:dyDescent="0.2">
      <c r="AN1581" s="165">
        <v>8.5</v>
      </c>
      <c r="AO1581" s="167">
        <v>10.651408450704224</v>
      </c>
      <c r="AP1581" s="168">
        <v>-1.2</v>
      </c>
      <c r="AQ1581" s="169">
        <v>2.6</v>
      </c>
      <c r="AR1581" s="170">
        <v>38</v>
      </c>
      <c r="BX1581" s="165">
        <v>216</v>
      </c>
      <c r="BY1581" s="167">
        <v>25.528169014084508</v>
      </c>
      <c r="BZ1581" s="168">
        <v>-0.7</v>
      </c>
      <c r="CA1581" s="169">
        <v>3.6</v>
      </c>
      <c r="CB1581" s="170">
        <v>43</v>
      </c>
      <c r="CP1581" s="165">
        <v>30</v>
      </c>
      <c r="CQ1581" s="167">
        <v>77.416520210896309</v>
      </c>
      <c r="CR1581" s="168">
        <v>0.8</v>
      </c>
      <c r="CS1581" s="169">
        <v>6.6</v>
      </c>
      <c r="CT1581" s="170">
        <v>58</v>
      </c>
      <c r="DB1581" s="165">
        <v>76</v>
      </c>
      <c r="DC1581" s="167">
        <v>96.951219512195124</v>
      </c>
      <c r="DD1581" s="168">
        <v>1.9</v>
      </c>
      <c r="DE1581" s="169">
        <v>8.8000000000000007</v>
      </c>
      <c r="DF1581" s="170">
        <v>69</v>
      </c>
    </row>
    <row r="1582" spans="40:110" hidden="1" x14ac:dyDescent="0.2">
      <c r="AN1582" s="165">
        <v>9</v>
      </c>
      <c r="AO1582" s="167">
        <v>12.852112676056338</v>
      </c>
      <c r="AP1582" s="168">
        <v>-1.1000000000000001</v>
      </c>
      <c r="AQ1582" s="169">
        <v>2.8</v>
      </c>
      <c r="AR1582" s="170">
        <v>39</v>
      </c>
      <c r="BX1582" s="165">
        <v>215</v>
      </c>
      <c r="BY1582" s="167">
        <v>25.528169014084508</v>
      </c>
      <c r="BZ1582" s="168">
        <v>-0.7</v>
      </c>
      <c r="CA1582" s="169">
        <v>3.6</v>
      </c>
      <c r="CB1582" s="170">
        <v>43</v>
      </c>
      <c r="CP1582" s="165">
        <v>29</v>
      </c>
      <c r="CQ1582" s="167">
        <v>89.806678383128286</v>
      </c>
      <c r="CR1582" s="168">
        <v>1.3</v>
      </c>
      <c r="CS1582" s="169">
        <v>7.6</v>
      </c>
      <c r="CT1582" s="170">
        <v>63</v>
      </c>
      <c r="DB1582" s="165">
        <v>77</v>
      </c>
      <c r="DC1582" s="167">
        <v>96.951219512195124</v>
      </c>
      <c r="DD1582" s="168">
        <v>1.9</v>
      </c>
      <c r="DE1582" s="169">
        <v>8.8000000000000007</v>
      </c>
      <c r="DF1582" s="170">
        <v>69</v>
      </c>
    </row>
    <row r="1583" spans="40:110" hidden="1" x14ac:dyDescent="0.2">
      <c r="AN1583" s="165">
        <v>9.5</v>
      </c>
      <c r="AO1583" s="167">
        <v>15.757042253521128</v>
      </c>
      <c r="AP1583" s="168">
        <v>-1</v>
      </c>
      <c r="AQ1583" s="169">
        <v>3</v>
      </c>
      <c r="AR1583" s="170">
        <v>40</v>
      </c>
      <c r="BX1583" s="165">
        <v>214</v>
      </c>
      <c r="BY1583" s="167">
        <v>25.528169014084508</v>
      </c>
      <c r="BZ1583" s="168">
        <v>-0.7</v>
      </c>
      <c r="CA1583" s="169">
        <v>3.6</v>
      </c>
      <c r="CB1583" s="170">
        <v>43</v>
      </c>
      <c r="CP1583" s="165">
        <v>28</v>
      </c>
      <c r="CQ1583" s="167">
        <v>89.806678383128286</v>
      </c>
      <c r="CR1583" s="168">
        <v>1.3</v>
      </c>
      <c r="CS1583" s="169">
        <v>7.6</v>
      </c>
      <c r="CT1583" s="170">
        <v>63</v>
      </c>
      <c r="DB1583" s="165">
        <v>78</v>
      </c>
      <c r="DC1583" s="167">
        <v>97.195121951219505</v>
      </c>
      <c r="DD1583" s="168">
        <v>1.9</v>
      </c>
      <c r="DE1583" s="169">
        <v>8.8000000000000007</v>
      </c>
      <c r="DF1583" s="170">
        <v>69</v>
      </c>
    </row>
    <row r="1584" spans="40:110" hidden="1" x14ac:dyDescent="0.2">
      <c r="AN1584" s="165">
        <v>10</v>
      </c>
      <c r="AO1584" s="167">
        <v>19.806338028169016</v>
      </c>
      <c r="AP1584" s="168">
        <v>-0.8</v>
      </c>
      <c r="AQ1584" s="169">
        <v>3.4</v>
      </c>
      <c r="AR1584" s="170">
        <v>42</v>
      </c>
      <c r="BX1584" s="165">
        <v>213</v>
      </c>
      <c r="BY1584" s="167">
        <v>25.528169014084508</v>
      </c>
      <c r="BZ1584" s="168">
        <v>-0.7</v>
      </c>
      <c r="CA1584" s="169">
        <v>3.6</v>
      </c>
      <c r="CB1584" s="170">
        <v>43</v>
      </c>
      <c r="CP1584" s="165">
        <v>27</v>
      </c>
      <c r="CQ1584" s="167">
        <v>89.806678383128286</v>
      </c>
      <c r="CR1584" s="168">
        <v>1.3</v>
      </c>
      <c r="CS1584" s="169">
        <v>7.6</v>
      </c>
      <c r="CT1584" s="170">
        <v>63</v>
      </c>
      <c r="DB1584" s="165">
        <v>79</v>
      </c>
      <c r="DC1584" s="167">
        <v>97.682926829268297</v>
      </c>
      <c r="DD1584" s="168">
        <v>2</v>
      </c>
      <c r="DE1584" s="169">
        <v>9</v>
      </c>
      <c r="DF1584" s="170">
        <v>70</v>
      </c>
    </row>
    <row r="1585" spans="40:110" hidden="1" x14ac:dyDescent="0.2">
      <c r="AN1585" s="165">
        <v>10.5</v>
      </c>
      <c r="AO1585" s="167">
        <v>23.06338028169014</v>
      </c>
      <c r="AP1585" s="168">
        <v>-0.7</v>
      </c>
      <c r="AQ1585" s="169">
        <v>3.6</v>
      </c>
      <c r="AR1585" s="170">
        <v>43</v>
      </c>
      <c r="BX1585" s="165">
        <v>212</v>
      </c>
      <c r="BY1585" s="167">
        <v>25.528169014084508</v>
      </c>
      <c r="BZ1585" s="168">
        <v>-0.7</v>
      </c>
      <c r="CA1585" s="169">
        <v>3.6</v>
      </c>
      <c r="CB1585" s="170">
        <v>43</v>
      </c>
      <c r="CP1585" s="165">
        <v>26</v>
      </c>
      <c r="CQ1585" s="167">
        <v>89.806678383128286</v>
      </c>
      <c r="CR1585" s="168">
        <v>1.3</v>
      </c>
      <c r="CS1585" s="169">
        <v>7.6</v>
      </c>
      <c r="CT1585" s="170">
        <v>63</v>
      </c>
      <c r="DB1585" s="165">
        <v>80</v>
      </c>
      <c r="DC1585" s="167">
        <v>98.292682926829272</v>
      </c>
      <c r="DD1585" s="168">
        <v>2.1</v>
      </c>
      <c r="DE1585" s="169">
        <v>9.1999999999999993</v>
      </c>
      <c r="DF1585" s="170">
        <v>71</v>
      </c>
    </row>
    <row r="1586" spans="40:110" hidden="1" x14ac:dyDescent="0.2">
      <c r="AN1586" s="165">
        <v>11</v>
      </c>
      <c r="AO1586" s="167">
        <v>26.936619718309856</v>
      </c>
      <c r="AP1586" s="168">
        <v>-0.6</v>
      </c>
      <c r="AQ1586" s="169">
        <v>3.8</v>
      </c>
      <c r="AR1586" s="170">
        <v>44</v>
      </c>
      <c r="BX1586" s="165">
        <v>211</v>
      </c>
      <c r="BY1586" s="167">
        <v>25.528169014084508</v>
      </c>
      <c r="BZ1586" s="168">
        <v>-0.7</v>
      </c>
      <c r="CA1586" s="169">
        <v>3.6</v>
      </c>
      <c r="CB1586" s="170">
        <v>43</v>
      </c>
      <c r="CP1586" s="165">
        <v>25</v>
      </c>
      <c r="CQ1586" s="167">
        <v>89.806678383128286</v>
      </c>
      <c r="CR1586" s="168">
        <v>1.3</v>
      </c>
      <c r="CS1586" s="169">
        <v>7.6</v>
      </c>
      <c r="CT1586" s="170">
        <v>63</v>
      </c>
      <c r="DB1586" s="165">
        <v>81</v>
      </c>
      <c r="DC1586" s="167">
        <v>98.292682926829272</v>
      </c>
      <c r="DD1586" s="168">
        <v>2.1</v>
      </c>
      <c r="DE1586" s="169">
        <v>9.1999999999999993</v>
      </c>
      <c r="DF1586" s="170">
        <v>71</v>
      </c>
    </row>
    <row r="1587" spans="40:110" hidden="1" x14ac:dyDescent="0.2">
      <c r="AN1587" s="165">
        <v>11.5</v>
      </c>
      <c r="AO1587" s="167">
        <v>31.866197183098592</v>
      </c>
      <c r="AP1587" s="168">
        <v>-0.5</v>
      </c>
      <c r="AQ1587" s="169">
        <v>4</v>
      </c>
      <c r="AR1587" s="170">
        <v>45</v>
      </c>
      <c r="BX1587" s="165">
        <v>210</v>
      </c>
      <c r="BY1587" s="167">
        <v>25.528169014084508</v>
      </c>
      <c r="BZ1587" s="168">
        <v>-0.7</v>
      </c>
      <c r="CA1587" s="169">
        <v>3.6</v>
      </c>
      <c r="CB1587" s="170">
        <v>43</v>
      </c>
      <c r="CP1587" s="165">
        <v>24</v>
      </c>
      <c r="CQ1587" s="167">
        <v>89.806678383128286</v>
      </c>
      <c r="CR1587" s="168">
        <v>1.3</v>
      </c>
      <c r="CS1587" s="169">
        <v>7.6</v>
      </c>
      <c r="CT1587" s="170">
        <v>63</v>
      </c>
      <c r="DB1587" s="165">
        <v>82</v>
      </c>
      <c r="DC1587" s="167">
        <v>98.658536585365852</v>
      </c>
      <c r="DD1587" s="168">
        <v>2.2000000000000002</v>
      </c>
      <c r="DE1587" s="169">
        <v>9.4</v>
      </c>
      <c r="DF1587" s="170">
        <v>72</v>
      </c>
    </row>
    <row r="1588" spans="40:110" hidden="1" x14ac:dyDescent="0.2">
      <c r="AN1588" s="165">
        <v>12</v>
      </c>
      <c r="AO1588" s="167">
        <v>38.908450704225352</v>
      </c>
      <c r="AP1588" s="168">
        <v>-0.3</v>
      </c>
      <c r="AQ1588" s="169">
        <v>4.4000000000000004</v>
      </c>
      <c r="AR1588" s="170">
        <v>47</v>
      </c>
      <c r="BX1588" s="165">
        <v>209</v>
      </c>
      <c r="BY1588" s="167">
        <v>28.697183098591552</v>
      </c>
      <c r="BZ1588" s="168">
        <v>-0.6</v>
      </c>
      <c r="CA1588" s="169">
        <v>3.8</v>
      </c>
      <c r="CB1588" s="170">
        <v>44</v>
      </c>
      <c r="CP1588" s="165">
        <v>23</v>
      </c>
      <c r="CQ1588" s="167">
        <v>89.806678383128286</v>
      </c>
      <c r="CR1588" s="168">
        <v>1.3</v>
      </c>
      <c r="CS1588" s="169">
        <v>7.6</v>
      </c>
      <c r="CT1588" s="170">
        <v>63</v>
      </c>
      <c r="DB1588" s="165">
        <v>83</v>
      </c>
      <c r="DC1588" s="167">
        <v>98.658536585365852</v>
      </c>
      <c r="DD1588" s="168">
        <v>2.2000000000000002</v>
      </c>
      <c r="DE1588" s="169">
        <v>9.4</v>
      </c>
      <c r="DF1588" s="170">
        <v>72</v>
      </c>
    </row>
    <row r="1589" spans="40:110" hidden="1" x14ac:dyDescent="0.2">
      <c r="AN1589" s="165">
        <v>12.5</v>
      </c>
      <c r="AO1589" s="167">
        <v>45.422535211267608</v>
      </c>
      <c r="AP1589" s="168">
        <v>-0.1</v>
      </c>
      <c r="AQ1589" s="169">
        <v>4.8</v>
      </c>
      <c r="AR1589" s="170">
        <v>49</v>
      </c>
      <c r="BX1589" s="165">
        <v>208</v>
      </c>
      <c r="BY1589" s="167">
        <v>28.697183098591552</v>
      </c>
      <c r="BZ1589" s="168">
        <v>-0.6</v>
      </c>
      <c r="CA1589" s="169">
        <v>3.8</v>
      </c>
      <c r="CB1589" s="170">
        <v>44</v>
      </c>
      <c r="CP1589" s="165">
        <v>22</v>
      </c>
      <c r="CQ1589" s="167">
        <v>89.806678383128286</v>
      </c>
      <c r="CR1589" s="168">
        <v>1.3</v>
      </c>
      <c r="CS1589" s="169">
        <v>7.6</v>
      </c>
      <c r="CT1589" s="170">
        <v>63</v>
      </c>
      <c r="DB1589" s="165">
        <v>84</v>
      </c>
      <c r="DC1589" s="167">
        <v>98.902439024390247</v>
      </c>
      <c r="DD1589" s="168">
        <v>2.2999999999999998</v>
      </c>
      <c r="DE1589" s="169">
        <v>9.6</v>
      </c>
      <c r="DF1589" s="170">
        <v>73</v>
      </c>
    </row>
    <row r="1590" spans="40:110" hidden="1" x14ac:dyDescent="0.2">
      <c r="AN1590" s="165">
        <v>13</v>
      </c>
      <c r="AO1590" s="167">
        <v>52.816901408450704</v>
      </c>
      <c r="AP1590" s="168">
        <v>0.1</v>
      </c>
      <c r="AQ1590" s="169">
        <v>5.2</v>
      </c>
      <c r="AR1590" s="170">
        <v>51</v>
      </c>
      <c r="BX1590" s="165">
        <v>207</v>
      </c>
      <c r="BY1590" s="167">
        <v>28.697183098591552</v>
      </c>
      <c r="BZ1590" s="168">
        <v>-0.6</v>
      </c>
      <c r="CA1590" s="169">
        <v>3.8</v>
      </c>
      <c r="CB1590" s="170">
        <v>44</v>
      </c>
      <c r="CP1590" s="165">
        <v>21</v>
      </c>
      <c r="CQ1590" s="167">
        <v>89.806678383128286</v>
      </c>
      <c r="CR1590" s="168">
        <v>1.3</v>
      </c>
      <c r="CS1590" s="169">
        <v>7.6</v>
      </c>
      <c r="CT1590" s="170">
        <v>63</v>
      </c>
      <c r="DB1590" s="165">
        <v>85</v>
      </c>
      <c r="DC1590" s="167">
        <v>99.268292682926827</v>
      </c>
      <c r="DD1590" s="168">
        <v>2.4</v>
      </c>
      <c r="DE1590" s="169">
        <v>9.8000000000000007</v>
      </c>
      <c r="DF1590" s="170">
        <v>74</v>
      </c>
    </row>
    <row r="1591" spans="40:110" ht="13.15" hidden="1" thickBot="1" x14ac:dyDescent="0.25">
      <c r="AN1591" s="165">
        <v>13.5</v>
      </c>
      <c r="AO1591" s="167">
        <v>60.2112676056338</v>
      </c>
      <c r="AP1591" s="168">
        <v>0.3</v>
      </c>
      <c r="AQ1591" s="169">
        <v>5.6</v>
      </c>
      <c r="AR1591" s="170">
        <v>53</v>
      </c>
      <c r="BX1591" s="165">
        <v>206</v>
      </c>
      <c r="BY1591" s="167">
        <v>28.697183098591552</v>
      </c>
      <c r="BZ1591" s="168">
        <v>-0.6</v>
      </c>
      <c r="CA1591" s="169">
        <v>3.8</v>
      </c>
      <c r="CB1591" s="170">
        <v>44</v>
      </c>
      <c r="CP1591" s="165">
        <v>20</v>
      </c>
      <c r="CQ1591" s="167">
        <v>89.806678383128286</v>
      </c>
      <c r="CR1591" s="168">
        <v>1.3</v>
      </c>
      <c r="CS1591" s="169">
        <v>7.6</v>
      </c>
      <c r="CT1591" s="170">
        <v>63</v>
      </c>
      <c r="DB1591" s="172">
        <v>86</v>
      </c>
      <c r="DC1591" s="173">
        <v>99.268292682926827</v>
      </c>
      <c r="DD1591" s="174">
        <v>2.4</v>
      </c>
      <c r="DE1591" s="175">
        <v>9.8000000000000007</v>
      </c>
      <c r="DF1591" s="176">
        <v>74</v>
      </c>
    </row>
    <row r="1592" spans="40:110" hidden="1" x14ac:dyDescent="0.2">
      <c r="AN1592" s="165">
        <v>14</v>
      </c>
      <c r="AO1592" s="167">
        <v>69.718309859154928</v>
      </c>
      <c r="AP1592" s="168">
        <v>0.5</v>
      </c>
      <c r="AQ1592" s="169">
        <v>6</v>
      </c>
      <c r="AR1592" s="170">
        <v>55</v>
      </c>
      <c r="BX1592" s="165">
        <v>205</v>
      </c>
      <c r="BY1592" s="167">
        <v>28.697183098591552</v>
      </c>
      <c r="BZ1592" s="168">
        <v>-0.6</v>
      </c>
      <c r="CA1592" s="169">
        <v>3.8</v>
      </c>
      <c r="CB1592" s="170">
        <v>44</v>
      </c>
      <c r="CP1592" s="165">
        <v>19</v>
      </c>
      <c r="CQ1592" s="167">
        <v>97.275922671353257</v>
      </c>
      <c r="CR1592" s="168">
        <v>1.9</v>
      </c>
      <c r="CS1592" s="169">
        <v>8.8000000000000007</v>
      </c>
      <c r="CT1592" s="170">
        <v>69</v>
      </c>
    </row>
    <row r="1593" spans="40:110" ht="13.15" hidden="1" thickBot="1" x14ac:dyDescent="0.25">
      <c r="AN1593" s="165">
        <v>14.5</v>
      </c>
      <c r="AO1593" s="167">
        <v>79.137323943661968</v>
      </c>
      <c r="AP1593" s="168">
        <v>0.8</v>
      </c>
      <c r="AQ1593" s="169">
        <v>6.6</v>
      </c>
      <c r="AR1593" s="170">
        <v>58</v>
      </c>
      <c r="BX1593" s="165">
        <v>204</v>
      </c>
      <c r="BY1593" s="167">
        <v>28.697183098591552</v>
      </c>
      <c r="BZ1593" s="168">
        <v>-0.6</v>
      </c>
      <c r="CA1593" s="169">
        <v>3.8</v>
      </c>
      <c r="CB1593" s="170">
        <v>44</v>
      </c>
      <c r="CP1593" s="165">
        <v>18</v>
      </c>
      <c r="CQ1593" s="167">
        <v>97.275922671353257</v>
      </c>
      <c r="CR1593" s="168">
        <v>1.9</v>
      </c>
      <c r="CS1593" s="169">
        <v>8.8000000000000007</v>
      </c>
      <c r="CT1593" s="170">
        <v>69</v>
      </c>
    </row>
    <row r="1594" spans="40:110" ht="13.8" hidden="1" thickBot="1" x14ac:dyDescent="0.3">
      <c r="AN1594" s="172">
        <v>15</v>
      </c>
      <c r="AO1594" s="173">
        <v>89.964788732394368</v>
      </c>
      <c r="AP1594" s="174">
        <v>1.3</v>
      </c>
      <c r="AQ1594" s="175">
        <v>7.6</v>
      </c>
      <c r="AR1594" s="176">
        <v>63</v>
      </c>
      <c r="BX1594" s="165">
        <v>203</v>
      </c>
      <c r="BY1594" s="167">
        <v>28.697183098591552</v>
      </c>
      <c r="BZ1594" s="168">
        <v>-0.6</v>
      </c>
      <c r="CA1594" s="169">
        <v>3.8</v>
      </c>
      <c r="CB1594" s="170">
        <v>44</v>
      </c>
      <c r="CP1594" s="165">
        <v>17</v>
      </c>
      <c r="CQ1594" s="167">
        <v>97.275922671353257</v>
      </c>
      <c r="CR1594" s="168">
        <v>1.9</v>
      </c>
      <c r="CS1594" s="169">
        <v>8.8000000000000007</v>
      </c>
      <c r="CT1594" s="170">
        <v>69</v>
      </c>
      <c r="DB1594" s="138" t="s">
        <v>114</v>
      </c>
      <c r="DC1594" s="139"/>
      <c r="DD1594" s="139"/>
      <c r="DE1594" s="140" t="s">
        <v>215</v>
      </c>
      <c r="DF1594" s="141">
        <v>410</v>
      </c>
    </row>
    <row r="1595" spans="40:110" hidden="1" x14ac:dyDescent="0.2">
      <c r="BX1595" s="165">
        <v>202</v>
      </c>
      <c r="BY1595" s="167">
        <v>28.697183098591552</v>
      </c>
      <c r="BZ1595" s="168">
        <v>-0.6</v>
      </c>
      <c r="CA1595" s="169">
        <v>3.8</v>
      </c>
      <c r="CB1595" s="170">
        <v>44</v>
      </c>
      <c r="CP1595" s="165">
        <v>16</v>
      </c>
      <c r="CQ1595" s="167">
        <v>97.275922671353257</v>
      </c>
      <c r="CR1595" s="168">
        <v>1.9</v>
      </c>
      <c r="CS1595" s="169">
        <v>8.8000000000000007</v>
      </c>
      <c r="CT1595" s="170">
        <v>69</v>
      </c>
      <c r="DB1595" s="144" t="s">
        <v>161</v>
      </c>
      <c r="DD1595" s="20" t="s">
        <v>162</v>
      </c>
      <c r="DF1595" s="145"/>
    </row>
    <row r="1596" spans="40:110" ht="13.15" hidden="1" thickBot="1" x14ac:dyDescent="0.25">
      <c r="BX1596" s="165">
        <v>201</v>
      </c>
      <c r="BY1596" s="167">
        <v>28.697183098591552</v>
      </c>
      <c r="BZ1596" s="168">
        <v>-0.6</v>
      </c>
      <c r="CA1596" s="169">
        <v>3.8</v>
      </c>
      <c r="CB1596" s="170">
        <v>44</v>
      </c>
      <c r="CP1596" s="165">
        <v>15</v>
      </c>
      <c r="CQ1596" s="167">
        <v>97.275922671353257</v>
      </c>
      <c r="CR1596" s="168">
        <v>1.9</v>
      </c>
      <c r="CS1596" s="169">
        <v>8.8000000000000007</v>
      </c>
      <c r="CT1596" s="170">
        <v>69</v>
      </c>
      <c r="DB1596" s="181" t="s">
        <v>268</v>
      </c>
      <c r="DC1596" s="148"/>
      <c r="DD1596" s="148"/>
      <c r="DE1596" s="148"/>
      <c r="DF1596" s="149"/>
    </row>
    <row r="1597" spans="40:110" ht="13.8" hidden="1" thickBot="1" x14ac:dyDescent="0.3">
      <c r="AN1597" s="138" t="s">
        <v>186</v>
      </c>
      <c r="AO1597" s="139"/>
      <c r="AP1597" s="139"/>
      <c r="AQ1597" s="140" t="s">
        <v>180</v>
      </c>
      <c r="AR1597" s="141">
        <v>568</v>
      </c>
      <c r="BX1597" s="165">
        <v>200</v>
      </c>
      <c r="BY1597" s="167">
        <v>28.697183098591552</v>
      </c>
      <c r="BZ1597" s="168">
        <v>-0.6</v>
      </c>
      <c r="CA1597" s="169">
        <v>3.8</v>
      </c>
      <c r="CB1597" s="170">
        <v>44</v>
      </c>
      <c r="CP1597" s="165">
        <v>14</v>
      </c>
      <c r="CQ1597" s="167">
        <v>97.275922671353257</v>
      </c>
      <c r="CR1597" s="168">
        <v>1.9</v>
      </c>
      <c r="CS1597" s="169">
        <v>8.8000000000000007</v>
      </c>
      <c r="CT1597" s="170">
        <v>69</v>
      </c>
      <c r="DB1597" s="150" t="s">
        <v>164</v>
      </c>
      <c r="DC1597" s="151" t="s">
        <v>269</v>
      </c>
      <c r="DD1597" s="152"/>
      <c r="DE1597" s="152"/>
      <c r="DF1597" s="153"/>
    </row>
    <row r="1598" spans="40:110" ht="13.15" hidden="1" thickBot="1" x14ac:dyDescent="0.25">
      <c r="AN1598" s="144" t="s">
        <v>161</v>
      </c>
      <c r="AP1598" s="20" t="s">
        <v>162</v>
      </c>
      <c r="AR1598" s="145"/>
      <c r="BX1598" s="165">
        <v>199</v>
      </c>
      <c r="BY1598" s="167">
        <v>31.778169014084508</v>
      </c>
      <c r="BZ1598" s="168">
        <v>-0.5</v>
      </c>
      <c r="CA1598" s="169">
        <v>4</v>
      </c>
      <c r="CB1598" s="170">
        <v>45</v>
      </c>
      <c r="CP1598" s="165">
        <v>13</v>
      </c>
      <c r="CQ1598" s="167">
        <v>97.275922671353257</v>
      </c>
      <c r="CR1598" s="168">
        <v>1.9</v>
      </c>
      <c r="CS1598" s="169">
        <v>8.8000000000000007</v>
      </c>
      <c r="CT1598" s="170">
        <v>69</v>
      </c>
      <c r="DB1598" s="155" t="s">
        <v>10</v>
      </c>
      <c r="DC1598" s="158" t="s">
        <v>13</v>
      </c>
      <c r="DD1598" s="156" t="s">
        <v>14</v>
      </c>
      <c r="DE1598" s="156" t="s">
        <v>15</v>
      </c>
      <c r="DF1598" s="159" t="s">
        <v>16</v>
      </c>
    </row>
    <row r="1599" spans="40:110" ht="13.15" hidden="1" thickBot="1" x14ac:dyDescent="0.25">
      <c r="AN1599" s="181" t="s">
        <v>199</v>
      </c>
      <c r="AO1599" s="148"/>
      <c r="AP1599" s="148"/>
      <c r="AQ1599" s="148"/>
      <c r="AR1599" s="149"/>
      <c r="BX1599" s="165">
        <v>198</v>
      </c>
      <c r="BY1599" s="167">
        <v>31.778169014084508</v>
      </c>
      <c r="BZ1599" s="168">
        <v>-0.5</v>
      </c>
      <c r="CA1599" s="169">
        <v>4</v>
      </c>
      <c r="CB1599" s="170">
        <v>45</v>
      </c>
      <c r="CP1599" s="165">
        <v>12</v>
      </c>
      <c r="CQ1599" s="167">
        <v>97.275922671353257</v>
      </c>
      <c r="CR1599" s="168">
        <v>1.9</v>
      </c>
      <c r="CS1599" s="169">
        <v>8.8000000000000007</v>
      </c>
      <c r="CT1599" s="170">
        <v>69</v>
      </c>
      <c r="DB1599" s="160">
        <v>2</v>
      </c>
      <c r="DC1599" s="161">
        <v>0.12195121951219512</v>
      </c>
      <c r="DD1599" s="162">
        <v>-3</v>
      </c>
      <c r="DE1599" s="163">
        <v>-1</v>
      </c>
      <c r="DF1599" s="164">
        <v>20</v>
      </c>
    </row>
    <row r="1600" spans="40:110" ht="13.15" hidden="1" thickBot="1" x14ac:dyDescent="0.25">
      <c r="AN1600" s="150" t="s">
        <v>164</v>
      </c>
      <c r="AO1600" s="151" t="s">
        <v>202</v>
      </c>
      <c r="AP1600" s="152"/>
      <c r="AQ1600" s="152"/>
      <c r="AR1600" s="153"/>
      <c r="BX1600" s="165">
        <v>197</v>
      </c>
      <c r="BY1600" s="167">
        <v>31.778169014084508</v>
      </c>
      <c r="BZ1600" s="168">
        <v>-0.5</v>
      </c>
      <c r="CA1600" s="169">
        <v>4</v>
      </c>
      <c r="CB1600" s="170">
        <v>45</v>
      </c>
      <c r="CP1600" s="165">
        <v>11</v>
      </c>
      <c r="CQ1600" s="167">
        <v>97.275922671353257</v>
      </c>
      <c r="CR1600" s="168">
        <v>1.9</v>
      </c>
      <c r="CS1600" s="169">
        <v>8.8000000000000007</v>
      </c>
      <c r="CT1600" s="170">
        <v>69</v>
      </c>
      <c r="DB1600" s="165">
        <v>3</v>
      </c>
      <c r="DC1600" s="167">
        <v>1.097560975609756</v>
      </c>
      <c r="DD1600" s="168">
        <v>-2.2999999999999998</v>
      </c>
      <c r="DE1600" s="169">
        <v>0.4</v>
      </c>
      <c r="DF1600" s="170">
        <v>27</v>
      </c>
    </row>
    <row r="1601" spans="40:110" ht="13.15" hidden="1" thickBot="1" x14ac:dyDescent="0.25">
      <c r="AN1601" s="155" t="s">
        <v>10</v>
      </c>
      <c r="AO1601" s="156" t="s">
        <v>13</v>
      </c>
      <c r="AP1601" s="156" t="s">
        <v>14</v>
      </c>
      <c r="AQ1601" s="156" t="s">
        <v>15</v>
      </c>
      <c r="AR1601" s="157" t="s">
        <v>16</v>
      </c>
      <c r="BX1601" s="165">
        <v>196</v>
      </c>
      <c r="BY1601" s="167">
        <v>31.778169014084508</v>
      </c>
      <c r="BZ1601" s="168">
        <v>-0.5</v>
      </c>
      <c r="CA1601" s="169">
        <v>4</v>
      </c>
      <c r="CB1601" s="170">
        <v>45</v>
      </c>
      <c r="CP1601" s="165">
        <v>10</v>
      </c>
      <c r="CQ1601" s="167">
        <v>97.275922671353257</v>
      </c>
      <c r="CR1601" s="168">
        <v>1.9</v>
      </c>
      <c r="CS1601" s="169">
        <v>8.8000000000000007</v>
      </c>
      <c r="CT1601" s="170">
        <v>69</v>
      </c>
      <c r="DB1601" s="165">
        <v>4</v>
      </c>
      <c r="DC1601" s="167">
        <v>1.097560975609756</v>
      </c>
      <c r="DD1601" s="168">
        <v>-2.2999999999999998</v>
      </c>
      <c r="DE1601" s="169">
        <v>0.4</v>
      </c>
      <c r="DF1601" s="170">
        <v>27</v>
      </c>
    </row>
    <row r="1602" spans="40:110" hidden="1" x14ac:dyDescent="0.2">
      <c r="AN1602" s="165">
        <v>1.5</v>
      </c>
      <c r="AO1602" s="167">
        <v>8.8028169014084515E-2</v>
      </c>
      <c r="AP1602" s="168">
        <v>-3</v>
      </c>
      <c r="AQ1602" s="169">
        <v>-1</v>
      </c>
      <c r="AR1602" s="170">
        <v>20</v>
      </c>
      <c r="BX1602" s="165">
        <v>195</v>
      </c>
      <c r="BY1602" s="167">
        <v>31.778169014084508</v>
      </c>
      <c r="BZ1602" s="168">
        <v>-0.5</v>
      </c>
      <c r="CA1602" s="169">
        <v>4</v>
      </c>
      <c r="CB1602" s="170">
        <v>45</v>
      </c>
      <c r="CP1602" s="165">
        <v>9</v>
      </c>
      <c r="CQ1602" s="167">
        <v>99.73637961335676</v>
      </c>
      <c r="CR1602" s="168">
        <v>2.8</v>
      </c>
      <c r="CS1602" s="169">
        <v>10.6</v>
      </c>
      <c r="CT1602" s="170">
        <v>78</v>
      </c>
      <c r="DB1602" s="165">
        <v>5</v>
      </c>
      <c r="DC1602" s="167">
        <v>3.0487804878048781</v>
      </c>
      <c r="DD1602" s="168">
        <v>-1.9</v>
      </c>
      <c r="DE1602" s="169">
        <v>1.2</v>
      </c>
      <c r="DF1602" s="170">
        <v>31</v>
      </c>
    </row>
    <row r="1603" spans="40:110" hidden="1" x14ac:dyDescent="0.2">
      <c r="AN1603" s="165">
        <v>2</v>
      </c>
      <c r="AO1603" s="167">
        <v>0.35211267605633806</v>
      </c>
      <c r="AP1603" s="168">
        <v>-2.7</v>
      </c>
      <c r="AQ1603" s="169">
        <v>-0.4</v>
      </c>
      <c r="AR1603" s="170">
        <v>23</v>
      </c>
      <c r="BX1603" s="165">
        <v>194</v>
      </c>
      <c r="BY1603" s="167">
        <v>31.778169014084508</v>
      </c>
      <c r="BZ1603" s="168">
        <v>-0.5</v>
      </c>
      <c r="CA1603" s="169">
        <v>4</v>
      </c>
      <c r="CB1603" s="170">
        <v>45</v>
      </c>
      <c r="CP1603" s="165">
        <v>8</v>
      </c>
      <c r="CQ1603" s="167">
        <v>99.73637961335676</v>
      </c>
      <c r="CR1603" s="168">
        <v>2.8</v>
      </c>
      <c r="CS1603" s="169">
        <v>10.6</v>
      </c>
      <c r="CT1603" s="170">
        <v>78</v>
      </c>
      <c r="DB1603" s="165">
        <v>6</v>
      </c>
      <c r="DC1603" s="167">
        <v>5.1219512195121952</v>
      </c>
      <c r="DD1603" s="168">
        <v>-1.6</v>
      </c>
      <c r="DE1603" s="169">
        <v>1.8</v>
      </c>
      <c r="DF1603" s="170">
        <v>34</v>
      </c>
    </row>
    <row r="1604" spans="40:110" hidden="1" x14ac:dyDescent="0.2">
      <c r="AN1604" s="165">
        <v>2.5</v>
      </c>
      <c r="AO1604" s="167">
        <v>0.35211267605633806</v>
      </c>
      <c r="AP1604" s="168">
        <v>-2.7</v>
      </c>
      <c r="AQ1604" s="169">
        <v>-0.4</v>
      </c>
      <c r="AR1604" s="170">
        <v>23</v>
      </c>
      <c r="BX1604" s="165">
        <v>193</v>
      </c>
      <c r="BY1604" s="167">
        <v>31.778169014084508</v>
      </c>
      <c r="BZ1604" s="168">
        <v>-0.5</v>
      </c>
      <c r="CA1604" s="169">
        <v>4</v>
      </c>
      <c r="CB1604" s="170">
        <v>45</v>
      </c>
      <c r="CP1604" s="165">
        <v>7</v>
      </c>
      <c r="CQ1604" s="167">
        <v>99.73637961335676</v>
      </c>
      <c r="CR1604" s="168">
        <v>2.8</v>
      </c>
      <c r="CS1604" s="169">
        <v>10.6</v>
      </c>
      <c r="CT1604" s="170">
        <v>78</v>
      </c>
      <c r="DB1604" s="165">
        <v>7</v>
      </c>
      <c r="DC1604" s="167">
        <v>6.8292682926829276</v>
      </c>
      <c r="DD1604" s="168">
        <v>-1.5</v>
      </c>
      <c r="DE1604" s="169">
        <v>2</v>
      </c>
      <c r="DF1604" s="170">
        <v>35</v>
      </c>
    </row>
    <row r="1605" spans="40:110" hidden="1" x14ac:dyDescent="0.2">
      <c r="AN1605" s="165">
        <v>3</v>
      </c>
      <c r="AO1605" s="167">
        <v>0.35211267605633806</v>
      </c>
      <c r="AP1605" s="168">
        <v>-2.7</v>
      </c>
      <c r="AQ1605" s="169">
        <v>-0.4</v>
      </c>
      <c r="AR1605" s="170">
        <v>23</v>
      </c>
      <c r="BX1605" s="165">
        <v>192</v>
      </c>
      <c r="BY1605" s="167">
        <v>31.778169014084508</v>
      </c>
      <c r="BZ1605" s="168">
        <v>-0.5</v>
      </c>
      <c r="CA1605" s="169">
        <v>4</v>
      </c>
      <c r="CB1605" s="170">
        <v>45</v>
      </c>
      <c r="CP1605" s="165">
        <v>6</v>
      </c>
      <c r="CQ1605" s="167">
        <v>99.73637961335676</v>
      </c>
      <c r="CR1605" s="168">
        <v>2.8</v>
      </c>
      <c r="CS1605" s="169">
        <v>10.6</v>
      </c>
      <c r="CT1605" s="170">
        <v>78</v>
      </c>
      <c r="DB1605" s="165">
        <v>8</v>
      </c>
      <c r="DC1605" s="167">
        <v>8.6585365853658534</v>
      </c>
      <c r="DD1605" s="168">
        <v>-1.4</v>
      </c>
      <c r="DE1605" s="169">
        <v>2.2000000000000002</v>
      </c>
      <c r="DF1605" s="170">
        <v>36</v>
      </c>
    </row>
    <row r="1606" spans="40:110" hidden="1" x14ac:dyDescent="0.2">
      <c r="AN1606" s="165">
        <v>3.5</v>
      </c>
      <c r="AO1606" s="167">
        <v>0.35211267605633806</v>
      </c>
      <c r="AP1606" s="168">
        <v>-2.7</v>
      </c>
      <c r="AQ1606" s="169">
        <v>-0.4</v>
      </c>
      <c r="AR1606" s="170">
        <v>23</v>
      </c>
      <c r="BX1606" s="165">
        <v>191</v>
      </c>
      <c r="BY1606" s="167">
        <v>31.778169014084508</v>
      </c>
      <c r="BZ1606" s="168">
        <v>-0.5</v>
      </c>
      <c r="CA1606" s="169">
        <v>4</v>
      </c>
      <c r="CB1606" s="170">
        <v>45</v>
      </c>
      <c r="CP1606" s="165">
        <v>5</v>
      </c>
      <c r="CQ1606" s="167">
        <v>99.73637961335676</v>
      </c>
      <c r="CR1606" s="168">
        <v>2.8</v>
      </c>
      <c r="CS1606" s="169">
        <v>10.6</v>
      </c>
      <c r="CT1606" s="170">
        <v>78</v>
      </c>
      <c r="DB1606" s="165">
        <v>9</v>
      </c>
      <c r="DC1606" s="167">
        <v>11.463414634146343</v>
      </c>
      <c r="DD1606" s="168">
        <v>-1.2</v>
      </c>
      <c r="DE1606" s="169">
        <v>2.6</v>
      </c>
      <c r="DF1606" s="170">
        <v>38</v>
      </c>
    </row>
    <row r="1607" spans="40:110" hidden="1" x14ac:dyDescent="0.2">
      <c r="AN1607" s="165">
        <v>4</v>
      </c>
      <c r="AO1607" s="167">
        <v>0.35211267605633806</v>
      </c>
      <c r="AP1607" s="168">
        <v>-2.7</v>
      </c>
      <c r="AQ1607" s="169">
        <v>-0.4</v>
      </c>
      <c r="AR1607" s="170">
        <v>23</v>
      </c>
      <c r="BX1607" s="165">
        <v>190</v>
      </c>
      <c r="BY1607" s="167">
        <v>31.778169014084508</v>
      </c>
      <c r="BZ1607" s="168">
        <v>-0.5</v>
      </c>
      <c r="CA1607" s="169">
        <v>4</v>
      </c>
      <c r="CB1607" s="170">
        <v>45</v>
      </c>
      <c r="CP1607" s="165">
        <v>4</v>
      </c>
      <c r="CQ1607" s="167">
        <v>99.73637961335676</v>
      </c>
      <c r="CR1607" s="168">
        <v>2.8</v>
      </c>
      <c r="CS1607" s="169">
        <v>10.6</v>
      </c>
      <c r="CT1607" s="170">
        <v>78</v>
      </c>
      <c r="DB1607" s="165">
        <v>10</v>
      </c>
      <c r="DC1607" s="167">
        <v>14.268292682926829</v>
      </c>
      <c r="DD1607" s="168">
        <v>-1.1000000000000001</v>
      </c>
      <c r="DE1607" s="169">
        <v>2.8</v>
      </c>
      <c r="DF1607" s="170">
        <v>39</v>
      </c>
    </row>
    <row r="1608" spans="40:110" hidden="1" x14ac:dyDescent="0.2">
      <c r="AN1608" s="165">
        <v>4.5</v>
      </c>
      <c r="AO1608" s="167">
        <v>0.61619718309859151</v>
      </c>
      <c r="AP1608" s="168">
        <v>-2.5</v>
      </c>
      <c r="AQ1608" s="169">
        <v>0</v>
      </c>
      <c r="AR1608" s="170">
        <v>25</v>
      </c>
      <c r="BX1608" s="165">
        <v>189</v>
      </c>
      <c r="BY1608" s="167">
        <v>35.299295774647888</v>
      </c>
      <c r="BZ1608" s="168">
        <v>-0.4</v>
      </c>
      <c r="CA1608" s="169">
        <v>4.2</v>
      </c>
      <c r="CB1608" s="170">
        <v>46</v>
      </c>
      <c r="CP1608" s="165">
        <v>3</v>
      </c>
      <c r="CQ1608" s="167">
        <v>99.73637961335676</v>
      </c>
      <c r="CR1608" s="168">
        <v>2.8</v>
      </c>
      <c r="CS1608" s="169">
        <v>10.6</v>
      </c>
      <c r="CT1608" s="170">
        <v>78</v>
      </c>
      <c r="DB1608" s="165">
        <v>11</v>
      </c>
      <c r="DC1608" s="167">
        <v>16.585365853658537</v>
      </c>
      <c r="DD1608" s="168">
        <v>-1</v>
      </c>
      <c r="DE1608" s="169">
        <v>3</v>
      </c>
      <c r="DF1608" s="170">
        <v>40</v>
      </c>
    </row>
    <row r="1609" spans="40:110" hidden="1" x14ac:dyDescent="0.2">
      <c r="AN1609" s="165">
        <v>5</v>
      </c>
      <c r="AO1609" s="167">
        <v>0.61619718309859151</v>
      </c>
      <c r="AP1609" s="168">
        <v>-2.5</v>
      </c>
      <c r="AQ1609" s="169">
        <v>0</v>
      </c>
      <c r="AR1609" s="170">
        <v>25</v>
      </c>
      <c r="BX1609" s="165">
        <v>188</v>
      </c>
      <c r="BY1609" s="167">
        <v>35.299295774647888</v>
      </c>
      <c r="BZ1609" s="168">
        <v>-0.4</v>
      </c>
      <c r="CA1609" s="169">
        <v>4.2</v>
      </c>
      <c r="CB1609" s="170">
        <v>46</v>
      </c>
      <c r="CP1609" s="165">
        <v>2</v>
      </c>
      <c r="CQ1609" s="167">
        <v>99.73637961335676</v>
      </c>
      <c r="CR1609" s="168">
        <v>2.8</v>
      </c>
      <c r="CS1609" s="169">
        <v>10.6</v>
      </c>
      <c r="CT1609" s="170">
        <v>78</v>
      </c>
      <c r="DB1609" s="165">
        <v>12</v>
      </c>
      <c r="DC1609" s="167">
        <v>19.634146341463417</v>
      </c>
      <c r="DD1609" s="168">
        <v>-0.9</v>
      </c>
      <c r="DE1609" s="169">
        <v>3.2</v>
      </c>
      <c r="DF1609" s="170">
        <v>41</v>
      </c>
    </row>
    <row r="1610" spans="40:110" hidden="1" x14ac:dyDescent="0.2">
      <c r="AN1610" s="165">
        <v>5.5</v>
      </c>
      <c r="AO1610" s="167">
        <v>0.61619718309859151</v>
      </c>
      <c r="AP1610" s="168">
        <v>-2.5</v>
      </c>
      <c r="AQ1610" s="169">
        <v>0</v>
      </c>
      <c r="AR1610" s="170">
        <v>25</v>
      </c>
      <c r="BX1610" s="165">
        <v>187</v>
      </c>
      <c r="BY1610" s="167">
        <v>35.299295774647888</v>
      </c>
      <c r="BZ1610" s="168">
        <v>-0.4</v>
      </c>
      <c r="CA1610" s="169">
        <v>4.2</v>
      </c>
      <c r="CB1610" s="170">
        <v>46</v>
      </c>
      <c r="CP1610" s="165">
        <v>1</v>
      </c>
      <c r="CQ1610" s="167">
        <v>99.73637961335676</v>
      </c>
      <c r="CR1610" s="168">
        <v>2.8</v>
      </c>
      <c r="CS1610" s="169">
        <v>10.6</v>
      </c>
      <c r="CT1610" s="170">
        <v>78</v>
      </c>
      <c r="DB1610" s="165">
        <v>13</v>
      </c>
      <c r="DC1610" s="167">
        <v>22.560975609756099</v>
      </c>
      <c r="DD1610" s="168">
        <v>-0.8</v>
      </c>
      <c r="DE1610" s="169">
        <v>3.4</v>
      </c>
      <c r="DF1610" s="170">
        <v>42</v>
      </c>
    </row>
    <row r="1611" spans="40:110" ht="13.15" hidden="1" thickBot="1" x14ac:dyDescent="0.25">
      <c r="AN1611" s="165">
        <v>6</v>
      </c>
      <c r="AO1611" s="167">
        <v>1.232394366197183</v>
      </c>
      <c r="AP1611" s="168">
        <v>-2.2000000000000002</v>
      </c>
      <c r="AQ1611" s="169">
        <v>0.6</v>
      </c>
      <c r="AR1611" s="170">
        <v>28</v>
      </c>
      <c r="BX1611" s="165">
        <v>186</v>
      </c>
      <c r="BY1611" s="167">
        <v>35.299295774647888</v>
      </c>
      <c r="BZ1611" s="168">
        <v>-0.4</v>
      </c>
      <c r="CA1611" s="169">
        <v>4.2</v>
      </c>
      <c r="CB1611" s="170">
        <v>46</v>
      </c>
      <c r="CP1611" s="172">
        <v>0</v>
      </c>
      <c r="CQ1611" s="173">
        <v>99.73637961335676</v>
      </c>
      <c r="CR1611" s="174">
        <v>2.8</v>
      </c>
      <c r="CS1611" s="175">
        <v>10.6</v>
      </c>
      <c r="CT1611" s="176">
        <v>78</v>
      </c>
      <c r="DB1611" s="165">
        <v>14</v>
      </c>
      <c r="DC1611" s="167">
        <v>24.390243902439025</v>
      </c>
      <c r="DD1611" s="168">
        <v>-0.7</v>
      </c>
      <c r="DE1611" s="169">
        <v>3.6</v>
      </c>
      <c r="DF1611" s="170">
        <v>43</v>
      </c>
    </row>
    <row r="1612" spans="40:110" hidden="1" x14ac:dyDescent="0.2">
      <c r="AN1612" s="165">
        <v>6.5</v>
      </c>
      <c r="AO1612" s="167">
        <v>2.112676056338028</v>
      </c>
      <c r="AP1612" s="168">
        <v>-2</v>
      </c>
      <c r="AQ1612" s="169">
        <v>1</v>
      </c>
      <c r="AR1612" s="170">
        <v>30</v>
      </c>
      <c r="BX1612" s="165">
        <v>185</v>
      </c>
      <c r="BY1612" s="167">
        <v>35.299295774647888</v>
      </c>
      <c r="BZ1612" s="168">
        <v>-0.4</v>
      </c>
      <c r="CA1612" s="169">
        <v>4.2</v>
      </c>
      <c r="CB1612" s="170">
        <v>46</v>
      </c>
      <c r="DB1612" s="165">
        <v>15</v>
      </c>
      <c r="DC1612" s="167">
        <v>26.097560975609756</v>
      </c>
      <c r="DD1612" s="168">
        <v>-0.6</v>
      </c>
      <c r="DE1612" s="169">
        <v>3.8</v>
      </c>
      <c r="DF1612" s="170">
        <v>44</v>
      </c>
    </row>
    <row r="1613" spans="40:110" hidden="1" x14ac:dyDescent="0.2">
      <c r="AN1613" s="165">
        <v>7</v>
      </c>
      <c r="AO1613" s="167">
        <v>2.9049295774647885</v>
      </c>
      <c r="AP1613" s="168">
        <v>-1.9</v>
      </c>
      <c r="AQ1613" s="169">
        <v>1.2</v>
      </c>
      <c r="AR1613" s="170">
        <v>31</v>
      </c>
      <c r="BX1613" s="165">
        <v>184</v>
      </c>
      <c r="BY1613" s="167">
        <v>35.299295774647888</v>
      </c>
      <c r="BZ1613" s="168">
        <v>-0.4</v>
      </c>
      <c r="CA1613" s="169">
        <v>4.2</v>
      </c>
      <c r="CB1613" s="170">
        <v>46</v>
      </c>
      <c r="DB1613" s="165">
        <v>16</v>
      </c>
      <c r="DC1613" s="167">
        <v>27.682926829268297</v>
      </c>
      <c r="DD1613" s="168">
        <v>-0.6</v>
      </c>
      <c r="DE1613" s="169">
        <v>3.8</v>
      </c>
      <c r="DF1613" s="170">
        <v>44</v>
      </c>
    </row>
    <row r="1614" spans="40:110" hidden="1" x14ac:dyDescent="0.2">
      <c r="AN1614" s="165">
        <v>7.5</v>
      </c>
      <c r="AO1614" s="167">
        <v>3.697183098591549</v>
      </c>
      <c r="AP1614" s="168">
        <v>-1.8</v>
      </c>
      <c r="AQ1614" s="169">
        <v>1.4</v>
      </c>
      <c r="AR1614" s="170">
        <v>32</v>
      </c>
      <c r="BX1614" s="165">
        <v>183</v>
      </c>
      <c r="BY1614" s="167">
        <v>35.299295774647888</v>
      </c>
      <c r="BZ1614" s="168">
        <v>-0.4</v>
      </c>
      <c r="CA1614" s="169">
        <v>4.2</v>
      </c>
      <c r="CB1614" s="170">
        <v>46</v>
      </c>
      <c r="DB1614" s="165">
        <v>17</v>
      </c>
      <c r="DC1614" s="167">
        <v>29.268292682926827</v>
      </c>
      <c r="DD1614" s="168">
        <v>-0.5</v>
      </c>
      <c r="DE1614" s="169">
        <v>4</v>
      </c>
      <c r="DF1614" s="170">
        <v>45</v>
      </c>
    </row>
    <row r="1615" spans="40:110" hidden="1" x14ac:dyDescent="0.2">
      <c r="AN1615" s="165">
        <v>8</v>
      </c>
      <c r="AO1615" s="167">
        <v>5.897887323943662</v>
      </c>
      <c r="AP1615" s="168">
        <v>-1.6</v>
      </c>
      <c r="AQ1615" s="169">
        <v>1.8</v>
      </c>
      <c r="AR1615" s="170">
        <v>34</v>
      </c>
      <c r="BX1615" s="165">
        <v>182</v>
      </c>
      <c r="BY1615" s="167">
        <v>35.299295774647888</v>
      </c>
      <c r="BZ1615" s="168">
        <v>-0.4</v>
      </c>
      <c r="CA1615" s="169">
        <v>4.2</v>
      </c>
      <c r="CB1615" s="170">
        <v>46</v>
      </c>
      <c r="DB1615" s="165">
        <v>18</v>
      </c>
      <c r="DC1615" s="167">
        <v>31.097560975609756</v>
      </c>
      <c r="DD1615" s="168">
        <v>-0.5</v>
      </c>
      <c r="DE1615" s="169">
        <v>4</v>
      </c>
      <c r="DF1615" s="170">
        <v>45</v>
      </c>
    </row>
    <row r="1616" spans="40:110" hidden="1" x14ac:dyDescent="0.2">
      <c r="AN1616" s="165">
        <v>8.5</v>
      </c>
      <c r="AO1616" s="167">
        <v>8.4507042253521121</v>
      </c>
      <c r="AP1616" s="168">
        <v>-1.4</v>
      </c>
      <c r="AQ1616" s="169">
        <v>2.2000000000000002</v>
      </c>
      <c r="AR1616" s="170">
        <v>36</v>
      </c>
      <c r="BX1616" s="165">
        <v>181</v>
      </c>
      <c r="BY1616" s="167">
        <v>35.299295774647888</v>
      </c>
      <c r="BZ1616" s="168">
        <v>-0.4</v>
      </c>
      <c r="CA1616" s="169">
        <v>4.2</v>
      </c>
      <c r="CB1616" s="170">
        <v>46</v>
      </c>
      <c r="DB1616" s="165">
        <v>19</v>
      </c>
      <c r="DC1616" s="167">
        <v>32.804878048780488</v>
      </c>
      <c r="DD1616" s="168">
        <v>-0.4</v>
      </c>
      <c r="DE1616" s="169">
        <v>4.2</v>
      </c>
      <c r="DF1616" s="170">
        <v>46</v>
      </c>
    </row>
    <row r="1617" spans="40:110" hidden="1" x14ac:dyDescent="0.2">
      <c r="AN1617" s="165">
        <v>9</v>
      </c>
      <c r="AO1617" s="167">
        <v>11.091549295774648</v>
      </c>
      <c r="AP1617" s="168">
        <v>-1.2</v>
      </c>
      <c r="AQ1617" s="169">
        <v>2.6</v>
      </c>
      <c r="AR1617" s="170">
        <v>38</v>
      </c>
      <c r="BX1617" s="165">
        <v>180</v>
      </c>
      <c r="BY1617" s="167">
        <v>35.299295774647888</v>
      </c>
      <c r="BZ1617" s="168">
        <v>-0.4</v>
      </c>
      <c r="CA1617" s="169">
        <v>4.2</v>
      </c>
      <c r="CB1617" s="170">
        <v>46</v>
      </c>
      <c r="DB1617" s="165">
        <v>20</v>
      </c>
      <c r="DC1617" s="167">
        <v>34.390243902439025</v>
      </c>
      <c r="DD1617" s="168">
        <v>-0.4</v>
      </c>
      <c r="DE1617" s="169">
        <v>4.2</v>
      </c>
      <c r="DF1617" s="170">
        <v>46</v>
      </c>
    </row>
    <row r="1618" spans="40:110" hidden="1" x14ac:dyDescent="0.2">
      <c r="AN1618" s="165">
        <v>9.5</v>
      </c>
      <c r="AO1618" s="167">
        <v>14.084507042253522</v>
      </c>
      <c r="AP1618" s="168">
        <v>-1.1000000000000001</v>
      </c>
      <c r="AQ1618" s="169">
        <v>2.8</v>
      </c>
      <c r="AR1618" s="170">
        <v>39</v>
      </c>
      <c r="BX1618" s="165">
        <v>179</v>
      </c>
      <c r="BY1618" s="167">
        <v>39.172535211267608</v>
      </c>
      <c r="BZ1618" s="168">
        <v>-0.3</v>
      </c>
      <c r="CA1618" s="169">
        <v>4.4000000000000004</v>
      </c>
      <c r="CB1618" s="170">
        <v>47</v>
      </c>
      <c r="DB1618" s="165">
        <v>21</v>
      </c>
      <c r="DC1618" s="167">
        <v>35.731707317073166</v>
      </c>
      <c r="DD1618" s="168">
        <v>-0.4</v>
      </c>
      <c r="DE1618" s="169">
        <v>4.2</v>
      </c>
      <c r="DF1618" s="170">
        <v>46</v>
      </c>
    </row>
    <row r="1619" spans="40:110" hidden="1" x14ac:dyDescent="0.2">
      <c r="AN1619" s="165">
        <v>10</v>
      </c>
      <c r="AO1619" s="167">
        <v>18.133802816901408</v>
      </c>
      <c r="AP1619" s="168">
        <v>-0.9</v>
      </c>
      <c r="AQ1619" s="169">
        <v>3.2</v>
      </c>
      <c r="AR1619" s="170">
        <v>41</v>
      </c>
      <c r="BX1619" s="165">
        <v>178</v>
      </c>
      <c r="BY1619" s="167">
        <v>39.172535211267608</v>
      </c>
      <c r="BZ1619" s="168">
        <v>-0.3</v>
      </c>
      <c r="CA1619" s="169">
        <v>4.4000000000000004</v>
      </c>
      <c r="CB1619" s="170">
        <v>47</v>
      </c>
      <c r="DB1619" s="165">
        <v>22</v>
      </c>
      <c r="DC1619" s="167">
        <v>37.439024390243901</v>
      </c>
      <c r="DD1619" s="168">
        <v>-0.3</v>
      </c>
      <c r="DE1619" s="169">
        <v>4.4000000000000004</v>
      </c>
      <c r="DF1619" s="170">
        <v>47</v>
      </c>
    </row>
    <row r="1620" spans="40:110" hidden="1" x14ac:dyDescent="0.2">
      <c r="AN1620" s="165">
        <v>10.5</v>
      </c>
      <c r="AO1620" s="167">
        <v>21.390845070422536</v>
      </c>
      <c r="AP1620" s="168">
        <v>-0.8</v>
      </c>
      <c r="AQ1620" s="169">
        <v>3.4</v>
      </c>
      <c r="AR1620" s="170">
        <v>42</v>
      </c>
      <c r="BX1620" s="165">
        <v>177</v>
      </c>
      <c r="BY1620" s="167">
        <v>39.172535211267608</v>
      </c>
      <c r="BZ1620" s="168">
        <v>-0.3</v>
      </c>
      <c r="CA1620" s="169">
        <v>4.4000000000000004</v>
      </c>
      <c r="CB1620" s="170">
        <v>47</v>
      </c>
      <c r="DB1620" s="165">
        <v>23</v>
      </c>
      <c r="DC1620" s="167">
        <v>39.512195121951223</v>
      </c>
      <c r="DD1620" s="168">
        <v>-0.3</v>
      </c>
      <c r="DE1620" s="169">
        <v>4.4000000000000004</v>
      </c>
      <c r="DF1620" s="170">
        <v>47</v>
      </c>
    </row>
    <row r="1621" spans="40:110" hidden="1" x14ac:dyDescent="0.2">
      <c r="AN1621" s="165">
        <v>11</v>
      </c>
      <c r="AO1621" s="167">
        <v>25.528169014084508</v>
      </c>
      <c r="AP1621" s="168">
        <v>-0.7</v>
      </c>
      <c r="AQ1621" s="169">
        <v>3.6</v>
      </c>
      <c r="AR1621" s="170">
        <v>43</v>
      </c>
      <c r="BX1621" s="165">
        <v>176</v>
      </c>
      <c r="BY1621" s="167">
        <v>39.172535211267608</v>
      </c>
      <c r="BZ1621" s="168">
        <v>-0.3</v>
      </c>
      <c r="CA1621" s="169">
        <v>4.4000000000000004</v>
      </c>
      <c r="CB1621" s="170">
        <v>47</v>
      </c>
      <c r="DB1621" s="165">
        <v>24</v>
      </c>
      <c r="DC1621" s="167">
        <v>40.731707317073166</v>
      </c>
      <c r="DD1621" s="168">
        <v>-0.2</v>
      </c>
      <c r="DE1621" s="169">
        <v>4.5999999999999996</v>
      </c>
      <c r="DF1621" s="170">
        <v>48</v>
      </c>
    </row>
    <row r="1622" spans="40:110" hidden="1" x14ac:dyDescent="0.2">
      <c r="AN1622" s="165">
        <v>11.5</v>
      </c>
      <c r="AO1622" s="167">
        <v>30.545774647887324</v>
      </c>
      <c r="AP1622" s="168">
        <v>-0.5</v>
      </c>
      <c r="AQ1622" s="169">
        <v>4</v>
      </c>
      <c r="AR1622" s="170">
        <v>45</v>
      </c>
      <c r="BX1622" s="165">
        <v>175</v>
      </c>
      <c r="BY1622" s="167">
        <v>39.172535211267608</v>
      </c>
      <c r="BZ1622" s="168">
        <v>-0.3</v>
      </c>
      <c r="CA1622" s="169">
        <v>4.4000000000000004</v>
      </c>
      <c r="CB1622" s="170">
        <v>47</v>
      </c>
      <c r="DB1622" s="165">
        <v>25</v>
      </c>
      <c r="DC1622" s="167">
        <v>41.829268292682926</v>
      </c>
      <c r="DD1622" s="168">
        <v>-0.2</v>
      </c>
      <c r="DE1622" s="169">
        <v>4.5999999999999996</v>
      </c>
      <c r="DF1622" s="170">
        <v>48</v>
      </c>
    </row>
    <row r="1623" spans="40:110" hidden="1" x14ac:dyDescent="0.2">
      <c r="AN1623" s="165">
        <v>12</v>
      </c>
      <c r="AO1623" s="167">
        <v>36.355633802816897</v>
      </c>
      <c r="AP1623" s="168">
        <v>-0.3</v>
      </c>
      <c r="AQ1623" s="169">
        <v>4.4000000000000004</v>
      </c>
      <c r="AR1623" s="170">
        <v>47</v>
      </c>
      <c r="BX1623" s="165">
        <v>174</v>
      </c>
      <c r="BY1623" s="167">
        <v>39.172535211267608</v>
      </c>
      <c r="BZ1623" s="168">
        <v>-0.3</v>
      </c>
      <c r="CA1623" s="169">
        <v>4.4000000000000004</v>
      </c>
      <c r="CB1623" s="170">
        <v>47</v>
      </c>
      <c r="DB1623" s="165">
        <v>26</v>
      </c>
      <c r="DC1623" s="167">
        <v>43.170731707317074</v>
      </c>
      <c r="DD1623" s="168">
        <v>-0.2</v>
      </c>
      <c r="DE1623" s="169">
        <v>4.5999999999999996</v>
      </c>
      <c r="DF1623" s="170">
        <v>48</v>
      </c>
    </row>
    <row r="1624" spans="40:110" hidden="1" x14ac:dyDescent="0.2">
      <c r="AN1624" s="165">
        <v>12.5</v>
      </c>
      <c r="AO1624" s="167">
        <v>41.901408450704224</v>
      </c>
      <c r="AP1624" s="168">
        <v>-0.2</v>
      </c>
      <c r="AQ1624" s="169">
        <v>4.5999999999999996</v>
      </c>
      <c r="AR1624" s="170">
        <v>48</v>
      </c>
      <c r="BX1624" s="165">
        <v>173</v>
      </c>
      <c r="BY1624" s="167">
        <v>39.172535211267608</v>
      </c>
      <c r="BZ1624" s="168">
        <v>-0.3</v>
      </c>
      <c r="CA1624" s="169">
        <v>4.4000000000000004</v>
      </c>
      <c r="CB1624" s="170">
        <v>47</v>
      </c>
      <c r="DB1624" s="165">
        <v>27</v>
      </c>
      <c r="DC1624" s="167">
        <v>44.024390243902438</v>
      </c>
      <c r="DD1624" s="168">
        <v>-0.2</v>
      </c>
      <c r="DE1624" s="169">
        <v>4.5999999999999996</v>
      </c>
      <c r="DF1624" s="170">
        <v>48</v>
      </c>
    </row>
    <row r="1625" spans="40:110" hidden="1" x14ac:dyDescent="0.2">
      <c r="AN1625" s="165">
        <v>13</v>
      </c>
      <c r="AO1625" s="167">
        <v>49.471830985915496</v>
      </c>
      <c r="AP1625" s="168">
        <v>0</v>
      </c>
      <c r="AQ1625" s="169">
        <v>5</v>
      </c>
      <c r="AR1625" s="170">
        <v>50</v>
      </c>
      <c r="BX1625" s="165">
        <v>172</v>
      </c>
      <c r="BY1625" s="167">
        <v>39.172535211267608</v>
      </c>
      <c r="BZ1625" s="168">
        <v>-0.3</v>
      </c>
      <c r="CA1625" s="169">
        <v>4.4000000000000004</v>
      </c>
      <c r="CB1625" s="170">
        <v>47</v>
      </c>
      <c r="DB1625" s="165">
        <v>28</v>
      </c>
      <c r="DC1625" s="167">
        <v>44.512195121951223</v>
      </c>
      <c r="DD1625" s="168">
        <v>-0.1</v>
      </c>
      <c r="DE1625" s="169">
        <v>4.8</v>
      </c>
      <c r="DF1625" s="170">
        <v>49</v>
      </c>
    </row>
    <row r="1626" spans="40:110" hidden="1" x14ac:dyDescent="0.2">
      <c r="AN1626" s="165">
        <v>13.5</v>
      </c>
      <c r="AO1626" s="167">
        <v>57.218309859154928</v>
      </c>
      <c r="AP1626" s="168">
        <v>0.2</v>
      </c>
      <c r="AQ1626" s="169">
        <v>5.4</v>
      </c>
      <c r="AR1626" s="170">
        <v>52</v>
      </c>
      <c r="BX1626" s="165">
        <v>171</v>
      </c>
      <c r="BY1626" s="167">
        <v>39.172535211267608</v>
      </c>
      <c r="BZ1626" s="168">
        <v>-0.3</v>
      </c>
      <c r="CA1626" s="169">
        <v>4.4000000000000004</v>
      </c>
      <c r="CB1626" s="170">
        <v>47</v>
      </c>
      <c r="DB1626" s="165">
        <v>29</v>
      </c>
      <c r="DC1626" s="167">
        <v>44.756097560975611</v>
      </c>
      <c r="DD1626" s="168">
        <v>-0.1</v>
      </c>
      <c r="DE1626" s="169">
        <v>4.8</v>
      </c>
      <c r="DF1626" s="170">
        <v>49</v>
      </c>
    </row>
    <row r="1627" spans="40:110" hidden="1" x14ac:dyDescent="0.2">
      <c r="AN1627" s="165">
        <v>14</v>
      </c>
      <c r="AO1627" s="167">
        <v>66.549295774647888</v>
      </c>
      <c r="AP1627" s="168">
        <v>0.4</v>
      </c>
      <c r="AQ1627" s="169">
        <v>5.8</v>
      </c>
      <c r="AR1627" s="170">
        <v>54</v>
      </c>
      <c r="BX1627" s="165">
        <v>170</v>
      </c>
      <c r="BY1627" s="167">
        <v>39.172535211267608</v>
      </c>
      <c r="BZ1627" s="168">
        <v>-0.3</v>
      </c>
      <c r="CA1627" s="169">
        <v>4.4000000000000004</v>
      </c>
      <c r="CB1627" s="170">
        <v>47</v>
      </c>
      <c r="DB1627" s="165">
        <v>30</v>
      </c>
      <c r="DC1627" s="167">
        <v>44.756097560975611</v>
      </c>
      <c r="DD1627" s="168">
        <v>-0.1</v>
      </c>
      <c r="DE1627" s="169">
        <v>4.8</v>
      </c>
      <c r="DF1627" s="170">
        <v>49</v>
      </c>
    </row>
    <row r="1628" spans="40:110" hidden="1" x14ac:dyDescent="0.2">
      <c r="AN1628" s="165">
        <v>14.5</v>
      </c>
      <c r="AO1628" s="167">
        <v>75.616197183098592</v>
      </c>
      <c r="AP1628" s="168">
        <v>0.7</v>
      </c>
      <c r="AQ1628" s="169">
        <v>6.4</v>
      </c>
      <c r="AR1628" s="170">
        <v>57</v>
      </c>
      <c r="BX1628" s="165">
        <v>169</v>
      </c>
      <c r="BY1628" s="167">
        <v>43.397887323943664</v>
      </c>
      <c r="BZ1628" s="168">
        <v>-0.2</v>
      </c>
      <c r="CA1628" s="169">
        <v>4.5999999999999996</v>
      </c>
      <c r="CB1628" s="170">
        <v>48</v>
      </c>
      <c r="DB1628" s="165">
        <v>31</v>
      </c>
      <c r="DC1628" s="167">
        <v>45.121951219512198</v>
      </c>
      <c r="DD1628" s="168">
        <v>-0.1</v>
      </c>
      <c r="DE1628" s="169">
        <v>4.8</v>
      </c>
      <c r="DF1628" s="170">
        <v>49</v>
      </c>
    </row>
    <row r="1629" spans="40:110" ht="13.15" hidden="1" thickBot="1" x14ac:dyDescent="0.25">
      <c r="AN1629" s="172">
        <v>15</v>
      </c>
      <c r="AO1629" s="173">
        <v>88.204225352112672</v>
      </c>
      <c r="AP1629" s="174">
        <v>1.2</v>
      </c>
      <c r="AQ1629" s="175">
        <v>7.4</v>
      </c>
      <c r="AR1629" s="176">
        <v>62</v>
      </c>
      <c r="BX1629" s="165">
        <v>168</v>
      </c>
      <c r="BY1629" s="167">
        <v>43.397887323943664</v>
      </c>
      <c r="BZ1629" s="168">
        <v>-0.2</v>
      </c>
      <c r="CA1629" s="169">
        <v>4.5999999999999996</v>
      </c>
      <c r="CB1629" s="170">
        <v>48</v>
      </c>
      <c r="DB1629" s="165">
        <v>32</v>
      </c>
      <c r="DC1629" s="167">
        <v>45.975609756097562</v>
      </c>
      <c r="DD1629" s="168">
        <v>-0.1</v>
      </c>
      <c r="DE1629" s="169">
        <v>4.8</v>
      </c>
      <c r="DF1629" s="170">
        <v>49</v>
      </c>
    </row>
    <row r="1630" spans="40:110" hidden="1" x14ac:dyDescent="0.2">
      <c r="BX1630" s="165">
        <v>167</v>
      </c>
      <c r="BY1630" s="167">
        <v>43.397887323943664</v>
      </c>
      <c r="BZ1630" s="168">
        <v>-0.2</v>
      </c>
      <c r="CA1630" s="169">
        <v>4.5999999999999996</v>
      </c>
      <c r="CB1630" s="170">
        <v>48</v>
      </c>
      <c r="DB1630" s="165">
        <v>33</v>
      </c>
      <c r="DC1630" s="167">
        <v>46.707317073170735</v>
      </c>
      <c r="DD1630" s="168">
        <v>-0.1</v>
      </c>
      <c r="DE1630" s="169">
        <v>4.8</v>
      </c>
      <c r="DF1630" s="170">
        <v>49</v>
      </c>
    </row>
    <row r="1631" spans="40:110" ht="13.15" hidden="1" thickBot="1" x14ac:dyDescent="0.25">
      <c r="BX1631" s="165">
        <v>166</v>
      </c>
      <c r="BY1631" s="167">
        <v>43.397887323943664</v>
      </c>
      <c r="BZ1631" s="168">
        <v>-0.2</v>
      </c>
      <c r="CA1631" s="169">
        <v>4.5999999999999996</v>
      </c>
      <c r="CB1631" s="170">
        <v>48</v>
      </c>
      <c r="DB1631" s="165">
        <v>34</v>
      </c>
      <c r="DC1631" s="167">
        <v>47.68292682926829</v>
      </c>
      <c r="DD1631" s="168">
        <v>-0.1</v>
      </c>
      <c r="DE1631" s="169">
        <v>4.8</v>
      </c>
      <c r="DF1631" s="170">
        <v>49</v>
      </c>
    </row>
    <row r="1632" spans="40:110" ht="13.15" hidden="1" x14ac:dyDescent="0.25">
      <c r="AN1632" s="138" t="s">
        <v>335</v>
      </c>
      <c r="AO1632" s="139"/>
      <c r="AP1632" s="139"/>
      <c r="AQ1632" s="140" t="s">
        <v>327</v>
      </c>
      <c r="AR1632" s="141">
        <v>568</v>
      </c>
      <c r="BX1632" s="165">
        <v>165</v>
      </c>
      <c r="BY1632" s="167">
        <v>43.397887323943664</v>
      </c>
      <c r="BZ1632" s="168">
        <v>-0.2</v>
      </c>
      <c r="CA1632" s="169">
        <v>4.5999999999999996</v>
      </c>
      <c r="CB1632" s="170">
        <v>48</v>
      </c>
      <c r="DB1632" s="165">
        <v>35</v>
      </c>
      <c r="DC1632" s="167">
        <v>48.658536585365852</v>
      </c>
      <c r="DD1632" s="168">
        <v>0</v>
      </c>
      <c r="DE1632" s="169">
        <v>5</v>
      </c>
      <c r="DF1632" s="170">
        <v>50</v>
      </c>
    </row>
    <row r="1633" spans="39:110" hidden="1" x14ac:dyDescent="0.2">
      <c r="AN1633" s="144" t="s">
        <v>161</v>
      </c>
      <c r="AP1633" s="20" t="s">
        <v>336</v>
      </c>
      <c r="AR1633" s="145"/>
      <c r="BX1633" s="165">
        <v>164</v>
      </c>
      <c r="BY1633" s="167">
        <v>43.397887323943664</v>
      </c>
      <c r="BZ1633" s="168">
        <v>-0.2</v>
      </c>
      <c r="CA1633" s="169">
        <v>4.5999999999999996</v>
      </c>
      <c r="CB1633" s="170">
        <v>48</v>
      </c>
      <c r="DB1633" s="165">
        <v>36</v>
      </c>
      <c r="DC1633" s="167">
        <v>49.024390243902438</v>
      </c>
      <c r="DD1633" s="168">
        <v>0</v>
      </c>
      <c r="DE1633" s="169">
        <v>5</v>
      </c>
      <c r="DF1633" s="170">
        <v>50</v>
      </c>
    </row>
    <row r="1634" spans="39:110" ht="13.15" hidden="1" thickBot="1" x14ac:dyDescent="0.25">
      <c r="AN1634" s="181" t="s">
        <v>337</v>
      </c>
      <c r="AO1634" s="148"/>
      <c r="AP1634" s="148"/>
      <c r="AQ1634" s="148"/>
      <c r="AR1634" s="149"/>
      <c r="BX1634" s="165">
        <v>163</v>
      </c>
      <c r="BY1634" s="167">
        <v>43.397887323943664</v>
      </c>
      <c r="BZ1634" s="168">
        <v>-0.2</v>
      </c>
      <c r="CA1634" s="169">
        <v>4.5999999999999996</v>
      </c>
      <c r="CB1634" s="170">
        <v>48</v>
      </c>
      <c r="DB1634" s="165">
        <v>37</v>
      </c>
      <c r="DC1634" s="167">
        <v>49.512195121951223</v>
      </c>
      <c r="DD1634" s="168">
        <v>0</v>
      </c>
      <c r="DE1634" s="169">
        <v>5</v>
      </c>
      <c r="DF1634" s="170">
        <v>50</v>
      </c>
    </row>
    <row r="1635" spans="39:110" ht="13.15" hidden="1" thickBot="1" x14ac:dyDescent="0.25">
      <c r="AN1635" s="150" t="s">
        <v>164</v>
      </c>
      <c r="AO1635" s="151" t="s">
        <v>330</v>
      </c>
      <c r="AP1635" s="152"/>
      <c r="AQ1635" s="152"/>
      <c r="AR1635" s="153"/>
      <c r="BX1635" s="165">
        <v>162</v>
      </c>
      <c r="BY1635" s="167">
        <v>43.397887323943664</v>
      </c>
      <c r="BZ1635" s="168">
        <v>-0.2</v>
      </c>
      <c r="CA1635" s="169">
        <v>4.5999999999999996</v>
      </c>
      <c r="CB1635" s="170">
        <v>48</v>
      </c>
      <c r="DB1635" s="165">
        <v>38</v>
      </c>
      <c r="DC1635" s="167">
        <v>50.243902439024389</v>
      </c>
      <c r="DD1635" s="168">
        <v>0</v>
      </c>
      <c r="DE1635" s="169">
        <v>5</v>
      </c>
      <c r="DF1635" s="170">
        <v>50</v>
      </c>
    </row>
    <row r="1636" spans="39:110" ht="13.15" hidden="1" thickBot="1" x14ac:dyDescent="0.25">
      <c r="AN1636" s="155" t="s">
        <v>10</v>
      </c>
      <c r="AO1636" s="156" t="s">
        <v>13</v>
      </c>
      <c r="AP1636" s="156" t="s">
        <v>14</v>
      </c>
      <c r="AQ1636" s="156" t="s">
        <v>15</v>
      </c>
      <c r="AR1636" s="159" t="s">
        <v>16</v>
      </c>
      <c r="BX1636" s="165">
        <v>161</v>
      </c>
      <c r="BY1636" s="167">
        <v>43.397887323943664</v>
      </c>
      <c r="BZ1636" s="168">
        <v>-0.2</v>
      </c>
      <c r="CA1636" s="169">
        <v>4.5999999999999996</v>
      </c>
      <c r="CB1636" s="170">
        <v>48</v>
      </c>
      <c r="DB1636" s="165">
        <v>39</v>
      </c>
      <c r="DC1636" s="167">
        <v>51.219512195121951</v>
      </c>
      <c r="DD1636" s="168">
        <v>0</v>
      </c>
      <c r="DE1636" s="169">
        <v>5</v>
      </c>
      <c r="DF1636" s="170">
        <v>50</v>
      </c>
    </row>
    <row r="1637" spans="39:110" hidden="1" x14ac:dyDescent="0.2">
      <c r="AM1637" s="20">
        <f t="shared" ref="AM1637:AM1667" si="45">AN1637*2</f>
        <v>0</v>
      </c>
      <c r="AN1637" s="160">
        <v>0</v>
      </c>
      <c r="AO1637" s="161">
        <v>0</v>
      </c>
      <c r="AP1637" s="162">
        <v>-3.1</v>
      </c>
      <c r="AQ1637" s="163">
        <v>-1.2</v>
      </c>
      <c r="AR1637" s="164">
        <v>19</v>
      </c>
      <c r="BX1637" s="165">
        <v>160</v>
      </c>
      <c r="BY1637" s="167">
        <v>43.397887323943664</v>
      </c>
      <c r="BZ1637" s="168">
        <v>-0.2</v>
      </c>
      <c r="CA1637" s="169">
        <v>4.5999999999999996</v>
      </c>
      <c r="CB1637" s="170">
        <v>48</v>
      </c>
      <c r="DB1637" s="165">
        <v>40</v>
      </c>
      <c r="DC1637" s="167">
        <v>52.31707317073171</v>
      </c>
      <c r="DD1637" s="168">
        <v>0.1</v>
      </c>
      <c r="DE1637" s="169">
        <v>5.2</v>
      </c>
      <c r="DF1637" s="170">
        <v>51</v>
      </c>
    </row>
    <row r="1638" spans="39:110" hidden="1" x14ac:dyDescent="0.2">
      <c r="AM1638" s="20">
        <f t="shared" si="45"/>
        <v>1</v>
      </c>
      <c r="AN1638" s="165">
        <v>0.5</v>
      </c>
      <c r="AO1638" s="167">
        <v>0</v>
      </c>
      <c r="AP1638" s="168">
        <v>-3.1</v>
      </c>
      <c r="AQ1638" s="169">
        <v>-1.2</v>
      </c>
      <c r="AR1638" s="170">
        <v>19</v>
      </c>
      <c r="BX1638" s="165">
        <v>159</v>
      </c>
      <c r="BY1638" s="167">
        <v>48.327464788732392</v>
      </c>
      <c r="BZ1638" s="168">
        <v>0</v>
      </c>
      <c r="CA1638" s="169">
        <v>5</v>
      </c>
      <c r="CB1638" s="170">
        <v>50</v>
      </c>
      <c r="DB1638" s="165">
        <v>41</v>
      </c>
      <c r="DC1638" s="167">
        <v>53.292682926829272</v>
      </c>
      <c r="DD1638" s="168">
        <v>0.1</v>
      </c>
      <c r="DE1638" s="169">
        <v>5.2</v>
      </c>
      <c r="DF1638" s="170">
        <v>51</v>
      </c>
    </row>
    <row r="1639" spans="39:110" hidden="1" x14ac:dyDescent="0.2">
      <c r="AM1639" s="20">
        <f t="shared" si="45"/>
        <v>2</v>
      </c>
      <c r="AN1639" s="165">
        <v>1</v>
      </c>
      <c r="AO1639" s="167">
        <v>8.8028169014084515E-2</v>
      </c>
      <c r="AP1639" s="168">
        <v>-3</v>
      </c>
      <c r="AQ1639" s="169">
        <v>-1</v>
      </c>
      <c r="AR1639" s="170">
        <v>20</v>
      </c>
      <c r="BX1639" s="165">
        <v>158</v>
      </c>
      <c r="BY1639" s="167">
        <v>48.327464788732392</v>
      </c>
      <c r="BZ1639" s="168">
        <v>0</v>
      </c>
      <c r="CA1639" s="169">
        <v>5</v>
      </c>
      <c r="CB1639" s="170">
        <v>50</v>
      </c>
      <c r="DB1639" s="165">
        <v>42</v>
      </c>
      <c r="DC1639" s="167">
        <v>54.024390243902445</v>
      </c>
      <c r="DD1639" s="168">
        <v>0.1</v>
      </c>
      <c r="DE1639" s="169">
        <v>5.2</v>
      </c>
      <c r="DF1639" s="170">
        <v>51</v>
      </c>
    </row>
    <row r="1640" spans="39:110" hidden="1" x14ac:dyDescent="0.2">
      <c r="AM1640" s="20">
        <f t="shared" si="45"/>
        <v>3</v>
      </c>
      <c r="AN1640" s="165">
        <v>1.5</v>
      </c>
      <c r="AO1640" s="167">
        <v>0.17605633802816903</v>
      </c>
      <c r="AP1640" s="168">
        <v>-2.9</v>
      </c>
      <c r="AQ1640" s="169">
        <v>-0.8</v>
      </c>
      <c r="AR1640" s="170">
        <v>21</v>
      </c>
      <c r="BX1640" s="165">
        <v>157</v>
      </c>
      <c r="BY1640" s="167">
        <v>48.327464788732392</v>
      </c>
      <c r="BZ1640" s="168">
        <v>0</v>
      </c>
      <c r="CA1640" s="169">
        <v>5</v>
      </c>
      <c r="CB1640" s="170">
        <v>50</v>
      </c>
      <c r="DB1640" s="165">
        <v>43</v>
      </c>
      <c r="DC1640" s="167">
        <v>55</v>
      </c>
      <c r="DD1640" s="168">
        <v>0.1</v>
      </c>
      <c r="DE1640" s="169">
        <v>5.2</v>
      </c>
      <c r="DF1640" s="170">
        <v>51</v>
      </c>
    </row>
    <row r="1641" spans="39:110" hidden="1" x14ac:dyDescent="0.2">
      <c r="AM1641" s="20">
        <f t="shared" si="45"/>
        <v>4</v>
      </c>
      <c r="AN1641" s="165">
        <v>2</v>
      </c>
      <c r="AO1641" s="167">
        <v>0.44014084507042256</v>
      </c>
      <c r="AP1641" s="168">
        <v>-2.6</v>
      </c>
      <c r="AQ1641" s="169">
        <v>-0.2</v>
      </c>
      <c r="AR1641" s="170">
        <v>24</v>
      </c>
      <c r="BX1641" s="165">
        <v>156</v>
      </c>
      <c r="BY1641" s="167">
        <v>48.327464788732392</v>
      </c>
      <c r="BZ1641" s="168">
        <v>0</v>
      </c>
      <c r="CA1641" s="169">
        <v>5</v>
      </c>
      <c r="CB1641" s="170">
        <v>50</v>
      </c>
      <c r="DB1641" s="165">
        <v>44</v>
      </c>
      <c r="DC1641" s="167">
        <v>55.975609756097569</v>
      </c>
      <c r="DD1641" s="168">
        <v>0.2</v>
      </c>
      <c r="DE1641" s="169">
        <v>5.4</v>
      </c>
      <c r="DF1641" s="170">
        <v>52</v>
      </c>
    </row>
    <row r="1642" spans="39:110" hidden="1" x14ac:dyDescent="0.2">
      <c r="AM1642" s="20">
        <f t="shared" si="45"/>
        <v>5</v>
      </c>
      <c r="AN1642" s="165">
        <v>2.5</v>
      </c>
      <c r="AO1642" s="167">
        <v>0.96830985915492951</v>
      </c>
      <c r="AP1642" s="168">
        <v>-2.2999999999999998</v>
      </c>
      <c r="AQ1642" s="169">
        <v>0.4</v>
      </c>
      <c r="AR1642" s="170">
        <v>27</v>
      </c>
      <c r="BX1642" s="165">
        <v>155</v>
      </c>
      <c r="BY1642" s="167">
        <v>48.327464788732392</v>
      </c>
      <c r="BZ1642" s="168">
        <v>0</v>
      </c>
      <c r="CA1642" s="169">
        <v>5</v>
      </c>
      <c r="CB1642" s="170">
        <v>50</v>
      </c>
      <c r="DB1642" s="165">
        <v>45</v>
      </c>
      <c r="DC1642" s="167">
        <v>56.58536585365853</v>
      </c>
      <c r="DD1642" s="168">
        <v>0.2</v>
      </c>
      <c r="DE1642" s="169">
        <v>5.4</v>
      </c>
      <c r="DF1642" s="170">
        <v>52</v>
      </c>
    </row>
    <row r="1643" spans="39:110" hidden="1" x14ac:dyDescent="0.2">
      <c r="AM1643" s="20">
        <f t="shared" si="45"/>
        <v>6</v>
      </c>
      <c r="AN1643" s="165">
        <v>3</v>
      </c>
      <c r="AO1643" s="167">
        <v>1.584507042253521</v>
      </c>
      <c r="AP1643" s="168">
        <v>-2.2000000000000002</v>
      </c>
      <c r="AQ1643" s="169">
        <v>0.6</v>
      </c>
      <c r="AR1643" s="170">
        <v>28</v>
      </c>
      <c r="BX1643" s="165">
        <v>154</v>
      </c>
      <c r="BY1643" s="167">
        <v>48.327464788732392</v>
      </c>
      <c r="BZ1643" s="168">
        <v>0</v>
      </c>
      <c r="CA1643" s="169">
        <v>5</v>
      </c>
      <c r="CB1643" s="170">
        <v>50</v>
      </c>
      <c r="DB1643" s="165">
        <v>46</v>
      </c>
      <c r="DC1643" s="167">
        <v>57.439024390243901</v>
      </c>
      <c r="DD1643" s="168">
        <v>0.2</v>
      </c>
      <c r="DE1643" s="169">
        <v>5.4</v>
      </c>
      <c r="DF1643" s="170">
        <v>52</v>
      </c>
    </row>
    <row r="1644" spans="39:110" hidden="1" x14ac:dyDescent="0.2">
      <c r="AM1644" s="20">
        <f t="shared" si="45"/>
        <v>7</v>
      </c>
      <c r="AN1644" s="165">
        <v>3.5</v>
      </c>
      <c r="AO1644" s="167">
        <v>2.640845070422535</v>
      </c>
      <c r="AP1644" s="168">
        <v>-1.9</v>
      </c>
      <c r="AQ1644" s="169">
        <v>1.2</v>
      </c>
      <c r="AR1644" s="170">
        <v>31</v>
      </c>
      <c r="BX1644" s="165">
        <v>153</v>
      </c>
      <c r="BY1644" s="167">
        <v>48.327464788732392</v>
      </c>
      <c r="BZ1644" s="168">
        <v>0</v>
      </c>
      <c r="CA1644" s="169">
        <v>5</v>
      </c>
      <c r="CB1644" s="170">
        <v>50</v>
      </c>
      <c r="DB1644" s="165">
        <v>47</v>
      </c>
      <c r="DC1644" s="167">
        <v>58.536585365853654</v>
      </c>
      <c r="DD1644" s="168">
        <v>0.2</v>
      </c>
      <c r="DE1644" s="169">
        <v>5.4</v>
      </c>
      <c r="DF1644" s="170">
        <v>52</v>
      </c>
    </row>
    <row r="1645" spans="39:110" hidden="1" x14ac:dyDescent="0.2">
      <c r="AM1645" s="20">
        <f t="shared" si="45"/>
        <v>8</v>
      </c>
      <c r="AN1645" s="165">
        <v>4</v>
      </c>
      <c r="AO1645" s="167">
        <v>4.48943661971831</v>
      </c>
      <c r="AP1645" s="168">
        <v>-1.7</v>
      </c>
      <c r="AQ1645" s="169">
        <v>1.6</v>
      </c>
      <c r="AR1645" s="170">
        <v>33</v>
      </c>
      <c r="BX1645" s="165">
        <v>152</v>
      </c>
      <c r="BY1645" s="167">
        <v>48.327464788732392</v>
      </c>
      <c r="BZ1645" s="168">
        <v>0</v>
      </c>
      <c r="CA1645" s="169">
        <v>5</v>
      </c>
      <c r="CB1645" s="170">
        <v>50</v>
      </c>
      <c r="DB1645" s="165">
        <v>48</v>
      </c>
      <c r="DC1645" s="167">
        <v>58.536585365853654</v>
      </c>
      <c r="DD1645" s="168">
        <v>0.2</v>
      </c>
      <c r="DE1645" s="169">
        <v>5.4</v>
      </c>
      <c r="DF1645" s="170">
        <v>52</v>
      </c>
    </row>
    <row r="1646" spans="39:110" hidden="1" x14ac:dyDescent="0.2">
      <c r="AM1646" s="20">
        <f t="shared" si="45"/>
        <v>9</v>
      </c>
      <c r="AN1646" s="165">
        <v>4.5</v>
      </c>
      <c r="AO1646" s="167">
        <v>6.3380281690140841</v>
      </c>
      <c r="AP1646" s="168">
        <v>-1.5</v>
      </c>
      <c r="AQ1646" s="169">
        <v>2</v>
      </c>
      <c r="AR1646" s="170">
        <v>35</v>
      </c>
      <c r="BX1646" s="165">
        <v>151</v>
      </c>
      <c r="BY1646" s="167">
        <v>48.327464788732392</v>
      </c>
      <c r="BZ1646" s="168">
        <v>0</v>
      </c>
      <c r="CA1646" s="169">
        <v>5</v>
      </c>
      <c r="CB1646" s="170">
        <v>50</v>
      </c>
      <c r="DB1646" s="165">
        <v>49</v>
      </c>
      <c r="DC1646" s="167">
        <v>59.512195121951216</v>
      </c>
      <c r="DD1646" s="168">
        <v>0.2</v>
      </c>
      <c r="DE1646" s="169">
        <v>5.4</v>
      </c>
      <c r="DF1646" s="170">
        <v>52</v>
      </c>
    </row>
    <row r="1647" spans="39:110" hidden="1" x14ac:dyDescent="0.2">
      <c r="AM1647" s="20">
        <f t="shared" si="45"/>
        <v>10</v>
      </c>
      <c r="AN1647" s="165">
        <v>5</v>
      </c>
      <c r="AO1647" s="167">
        <v>9.9471830985915499</v>
      </c>
      <c r="AP1647" s="168">
        <v>-1.3</v>
      </c>
      <c r="AQ1647" s="169">
        <v>2.4</v>
      </c>
      <c r="AR1647" s="170">
        <v>37</v>
      </c>
      <c r="BX1647" s="165">
        <v>150</v>
      </c>
      <c r="BY1647" s="167">
        <v>48.327464788732392</v>
      </c>
      <c r="BZ1647" s="168">
        <v>0</v>
      </c>
      <c r="CA1647" s="169">
        <v>5</v>
      </c>
      <c r="CB1647" s="170">
        <v>50</v>
      </c>
      <c r="DB1647" s="165">
        <v>50</v>
      </c>
      <c r="DC1647" s="167">
        <v>60.243902439024389</v>
      </c>
      <c r="DD1647" s="168">
        <v>0.3</v>
      </c>
      <c r="DE1647" s="169">
        <v>5.6</v>
      </c>
      <c r="DF1647" s="170">
        <v>53</v>
      </c>
    </row>
    <row r="1648" spans="39:110" hidden="1" x14ac:dyDescent="0.2">
      <c r="AM1648" s="20">
        <f t="shared" si="45"/>
        <v>11</v>
      </c>
      <c r="AN1648" s="165">
        <v>5.5</v>
      </c>
      <c r="AO1648" s="167">
        <v>13.996478873239438</v>
      </c>
      <c r="AP1648" s="168">
        <v>-1.1000000000000001</v>
      </c>
      <c r="AQ1648" s="169">
        <v>2.8</v>
      </c>
      <c r="AR1648" s="170">
        <v>39</v>
      </c>
      <c r="BX1648" s="165">
        <v>149</v>
      </c>
      <c r="BY1648" s="167">
        <v>54.75352112676056</v>
      </c>
      <c r="BZ1648" s="168">
        <v>0.1</v>
      </c>
      <c r="CA1648" s="169">
        <v>5.2</v>
      </c>
      <c r="CB1648" s="170">
        <v>51</v>
      </c>
      <c r="DB1648" s="165">
        <v>51</v>
      </c>
      <c r="DC1648" s="167">
        <v>61.463414634146339</v>
      </c>
      <c r="DD1648" s="168">
        <v>0.3</v>
      </c>
      <c r="DE1648" s="169">
        <v>5.6</v>
      </c>
      <c r="DF1648" s="170">
        <v>53</v>
      </c>
    </row>
    <row r="1649" spans="39:110" hidden="1" x14ac:dyDescent="0.2">
      <c r="AM1649" s="20">
        <f t="shared" si="45"/>
        <v>12</v>
      </c>
      <c r="AN1649" s="165">
        <v>6</v>
      </c>
      <c r="AO1649" s="167">
        <v>17.869718309859156</v>
      </c>
      <c r="AP1649" s="168">
        <v>-0.9</v>
      </c>
      <c r="AQ1649" s="169">
        <v>3.2</v>
      </c>
      <c r="AR1649" s="170">
        <v>41</v>
      </c>
      <c r="BX1649" s="165">
        <v>148</v>
      </c>
      <c r="BY1649" s="167">
        <v>54.75352112676056</v>
      </c>
      <c r="BZ1649" s="168">
        <v>0.1</v>
      </c>
      <c r="CA1649" s="169">
        <v>5.2</v>
      </c>
      <c r="CB1649" s="170">
        <v>51</v>
      </c>
      <c r="DB1649" s="165">
        <v>52</v>
      </c>
      <c r="DC1649" s="167">
        <v>62.926829268292686</v>
      </c>
      <c r="DD1649" s="168">
        <v>0.3</v>
      </c>
      <c r="DE1649" s="169">
        <v>5.6</v>
      </c>
      <c r="DF1649" s="170">
        <v>53</v>
      </c>
    </row>
    <row r="1650" spans="39:110" hidden="1" x14ac:dyDescent="0.2">
      <c r="AM1650" s="20">
        <f t="shared" si="45"/>
        <v>13</v>
      </c>
      <c r="AN1650" s="165">
        <v>6.5</v>
      </c>
      <c r="AO1650" s="167">
        <v>21.390845070422536</v>
      </c>
      <c r="AP1650" s="168">
        <v>-0.8</v>
      </c>
      <c r="AQ1650" s="169">
        <v>3.4</v>
      </c>
      <c r="AR1650" s="170">
        <v>42</v>
      </c>
      <c r="BX1650" s="165">
        <v>147</v>
      </c>
      <c r="BY1650" s="167">
        <v>54.75352112676056</v>
      </c>
      <c r="BZ1650" s="168">
        <v>0.1</v>
      </c>
      <c r="CA1650" s="169">
        <v>5.2</v>
      </c>
      <c r="CB1650" s="170">
        <v>51</v>
      </c>
      <c r="DB1650" s="165">
        <v>53</v>
      </c>
      <c r="DC1650" s="167">
        <v>63.658536585365852</v>
      </c>
      <c r="DD1650" s="168">
        <v>0.3</v>
      </c>
      <c r="DE1650" s="169">
        <v>5.6</v>
      </c>
      <c r="DF1650" s="170">
        <v>53</v>
      </c>
    </row>
    <row r="1651" spans="39:110" hidden="1" x14ac:dyDescent="0.2">
      <c r="AM1651" s="20">
        <f t="shared" si="45"/>
        <v>14</v>
      </c>
      <c r="AN1651" s="165">
        <v>7</v>
      </c>
      <c r="AO1651" s="167">
        <v>27.200704225352112</v>
      </c>
      <c r="AP1651" s="168">
        <v>-0.6</v>
      </c>
      <c r="AQ1651" s="169">
        <v>3.8</v>
      </c>
      <c r="AR1651" s="170">
        <v>44</v>
      </c>
      <c r="BX1651" s="165">
        <v>146</v>
      </c>
      <c r="BY1651" s="167">
        <v>54.75352112676056</v>
      </c>
      <c r="BZ1651" s="168">
        <v>0.1</v>
      </c>
      <c r="CA1651" s="169">
        <v>5.2</v>
      </c>
      <c r="CB1651" s="170">
        <v>51</v>
      </c>
      <c r="DB1651" s="165">
        <v>54</v>
      </c>
      <c r="DC1651" s="167">
        <v>64.268292682926827</v>
      </c>
      <c r="DD1651" s="168">
        <v>0.4</v>
      </c>
      <c r="DE1651" s="169">
        <v>5.8</v>
      </c>
      <c r="DF1651" s="170">
        <v>54</v>
      </c>
    </row>
    <row r="1652" spans="39:110" hidden="1" x14ac:dyDescent="0.2">
      <c r="AM1652" s="20">
        <f t="shared" si="45"/>
        <v>15</v>
      </c>
      <c r="AN1652" s="165">
        <v>7.5</v>
      </c>
      <c r="AO1652" s="167">
        <v>33.098591549295776</v>
      </c>
      <c r="AP1652" s="168">
        <v>-0.4</v>
      </c>
      <c r="AQ1652" s="169">
        <v>4.2</v>
      </c>
      <c r="AR1652" s="170">
        <v>46</v>
      </c>
      <c r="BX1652" s="165">
        <v>145</v>
      </c>
      <c r="BY1652" s="167">
        <v>54.75352112676056</v>
      </c>
      <c r="BZ1652" s="168">
        <v>0.1</v>
      </c>
      <c r="CA1652" s="169">
        <v>5.2</v>
      </c>
      <c r="CB1652" s="170">
        <v>51</v>
      </c>
      <c r="DB1652" s="165">
        <v>55</v>
      </c>
      <c r="DC1652" s="167">
        <v>64.756097560975618</v>
      </c>
      <c r="DD1652" s="168">
        <v>0.4</v>
      </c>
      <c r="DE1652" s="169">
        <v>5.8</v>
      </c>
      <c r="DF1652" s="170">
        <v>54</v>
      </c>
    </row>
    <row r="1653" spans="39:110" hidden="1" x14ac:dyDescent="0.2">
      <c r="AM1653" s="20">
        <f t="shared" si="45"/>
        <v>16</v>
      </c>
      <c r="AN1653" s="165">
        <v>8</v>
      </c>
      <c r="AO1653" s="167">
        <v>38.116197183098592</v>
      </c>
      <c r="AP1653" s="168">
        <v>-0.3</v>
      </c>
      <c r="AQ1653" s="169">
        <v>4.4000000000000004</v>
      </c>
      <c r="AR1653" s="170">
        <v>47</v>
      </c>
      <c r="BX1653" s="165">
        <v>144</v>
      </c>
      <c r="BY1653" s="167">
        <v>54.75352112676056</v>
      </c>
      <c r="BZ1653" s="168">
        <v>0.1</v>
      </c>
      <c r="CA1653" s="169">
        <v>5.2</v>
      </c>
      <c r="CB1653" s="170">
        <v>51</v>
      </c>
      <c r="DB1653" s="165">
        <v>56</v>
      </c>
      <c r="DC1653" s="167">
        <v>65.121951219512198</v>
      </c>
      <c r="DD1653" s="168">
        <v>0.4</v>
      </c>
      <c r="DE1653" s="169">
        <v>5.8</v>
      </c>
      <c r="DF1653" s="170">
        <v>54</v>
      </c>
    </row>
    <row r="1654" spans="39:110" hidden="1" x14ac:dyDescent="0.2">
      <c r="AM1654" s="20">
        <f t="shared" si="45"/>
        <v>17</v>
      </c>
      <c r="AN1654" s="165">
        <v>8.5</v>
      </c>
      <c r="AO1654" s="167">
        <v>43.838028169014088</v>
      </c>
      <c r="AP1654" s="168">
        <v>-0.2</v>
      </c>
      <c r="AQ1654" s="169">
        <v>4.5999999999999996</v>
      </c>
      <c r="AR1654" s="170">
        <v>48</v>
      </c>
      <c r="BX1654" s="165">
        <v>143</v>
      </c>
      <c r="BY1654" s="167">
        <v>54.75352112676056</v>
      </c>
      <c r="BZ1654" s="168">
        <v>0.1</v>
      </c>
      <c r="CA1654" s="169">
        <v>5.2</v>
      </c>
      <c r="CB1654" s="170">
        <v>51</v>
      </c>
      <c r="DB1654" s="165">
        <v>57</v>
      </c>
      <c r="DC1654" s="167">
        <v>65.487804878048777</v>
      </c>
      <c r="DD1654" s="168">
        <v>0.4</v>
      </c>
      <c r="DE1654" s="169">
        <v>5.8</v>
      </c>
      <c r="DF1654" s="170">
        <v>54</v>
      </c>
    </row>
    <row r="1655" spans="39:110" hidden="1" x14ac:dyDescent="0.2">
      <c r="AM1655" s="20">
        <f t="shared" si="45"/>
        <v>18</v>
      </c>
      <c r="AN1655" s="165">
        <v>9</v>
      </c>
      <c r="AO1655" s="167">
        <v>51.49647887323944</v>
      </c>
      <c r="AP1655" s="168">
        <v>0</v>
      </c>
      <c r="AQ1655" s="169">
        <v>5</v>
      </c>
      <c r="AR1655" s="170">
        <v>50</v>
      </c>
      <c r="BX1655" s="165">
        <v>142</v>
      </c>
      <c r="BY1655" s="167">
        <v>54.75352112676056</v>
      </c>
      <c r="BZ1655" s="168">
        <v>0.1</v>
      </c>
      <c r="CA1655" s="169">
        <v>5.2</v>
      </c>
      <c r="CB1655" s="170">
        <v>51</v>
      </c>
      <c r="DB1655" s="165">
        <v>58</v>
      </c>
      <c r="DC1655" s="167">
        <v>66.097560975609753</v>
      </c>
      <c r="DD1655" s="168">
        <v>0.4</v>
      </c>
      <c r="DE1655" s="169">
        <v>5.8</v>
      </c>
      <c r="DF1655" s="170">
        <v>54</v>
      </c>
    </row>
    <row r="1656" spans="39:110" hidden="1" x14ac:dyDescent="0.2">
      <c r="AM1656" s="20">
        <f t="shared" si="45"/>
        <v>19</v>
      </c>
      <c r="AN1656" s="165">
        <v>9.5</v>
      </c>
      <c r="AO1656" s="167">
        <v>58.5387323943662</v>
      </c>
      <c r="AP1656" s="168">
        <v>0.2</v>
      </c>
      <c r="AQ1656" s="169">
        <v>5.4</v>
      </c>
      <c r="AR1656" s="170">
        <v>52</v>
      </c>
      <c r="BX1656" s="165">
        <v>141</v>
      </c>
      <c r="BY1656" s="167">
        <v>54.75352112676056</v>
      </c>
      <c r="BZ1656" s="168">
        <v>0.1</v>
      </c>
      <c r="CA1656" s="169">
        <v>5.2</v>
      </c>
      <c r="CB1656" s="170">
        <v>51</v>
      </c>
      <c r="DB1656" s="165">
        <v>59</v>
      </c>
      <c r="DC1656" s="167">
        <v>67.195121951219519</v>
      </c>
      <c r="DD1656" s="168">
        <v>0.4</v>
      </c>
      <c r="DE1656" s="169">
        <v>5.8</v>
      </c>
      <c r="DF1656" s="170">
        <v>54</v>
      </c>
    </row>
    <row r="1657" spans="39:110" hidden="1" x14ac:dyDescent="0.2">
      <c r="AM1657" s="20">
        <f t="shared" si="45"/>
        <v>20</v>
      </c>
      <c r="AN1657" s="165">
        <v>10</v>
      </c>
      <c r="AO1657" s="167">
        <v>64.08450704225352</v>
      </c>
      <c r="AP1657" s="168">
        <v>0.4</v>
      </c>
      <c r="AQ1657" s="169">
        <v>5.8</v>
      </c>
      <c r="AR1657" s="170">
        <v>54</v>
      </c>
      <c r="BX1657" s="165">
        <v>140</v>
      </c>
      <c r="BY1657" s="167">
        <v>54.75352112676056</v>
      </c>
      <c r="BZ1657" s="168">
        <v>0.1</v>
      </c>
      <c r="CA1657" s="169">
        <v>5.2</v>
      </c>
      <c r="CB1657" s="170">
        <v>51</v>
      </c>
      <c r="DB1657" s="165">
        <v>60</v>
      </c>
      <c r="DC1657" s="167">
        <v>68.41463414634147</v>
      </c>
      <c r="DD1657" s="168">
        <v>0.5</v>
      </c>
      <c r="DE1657" s="169">
        <v>6</v>
      </c>
      <c r="DF1657" s="170">
        <v>55</v>
      </c>
    </row>
    <row r="1658" spans="39:110" hidden="1" x14ac:dyDescent="0.2">
      <c r="AM1658" s="20">
        <f t="shared" si="45"/>
        <v>21</v>
      </c>
      <c r="AN1658" s="165">
        <v>10.5</v>
      </c>
      <c r="AO1658" s="167">
        <v>69.366197183098592</v>
      </c>
      <c r="AP1658" s="168">
        <v>0.5</v>
      </c>
      <c r="AQ1658" s="169">
        <v>6</v>
      </c>
      <c r="AR1658" s="170">
        <v>55</v>
      </c>
      <c r="BX1658" s="165">
        <v>139</v>
      </c>
      <c r="BY1658" s="167">
        <v>62.147887323943664</v>
      </c>
      <c r="BZ1658" s="168">
        <v>0.3</v>
      </c>
      <c r="CA1658" s="169">
        <v>5.6</v>
      </c>
      <c r="CB1658" s="170">
        <v>53</v>
      </c>
      <c r="DB1658" s="165">
        <v>61</v>
      </c>
      <c r="DC1658" s="167">
        <v>69.390243902439025</v>
      </c>
      <c r="DD1658" s="168">
        <v>0.5</v>
      </c>
      <c r="DE1658" s="169">
        <v>6</v>
      </c>
      <c r="DF1658" s="170">
        <v>55</v>
      </c>
    </row>
    <row r="1659" spans="39:110" hidden="1" x14ac:dyDescent="0.2">
      <c r="AM1659" s="20">
        <f t="shared" si="45"/>
        <v>22</v>
      </c>
      <c r="AN1659" s="165">
        <v>11</v>
      </c>
      <c r="AO1659" s="167">
        <v>74.207746478873233</v>
      </c>
      <c r="AP1659" s="168">
        <v>0.7</v>
      </c>
      <c r="AQ1659" s="169">
        <v>6.4</v>
      </c>
      <c r="AR1659" s="170">
        <v>57</v>
      </c>
      <c r="BX1659" s="165">
        <v>138</v>
      </c>
      <c r="BY1659" s="167">
        <v>62.147887323943664</v>
      </c>
      <c r="BZ1659" s="168">
        <v>0.3</v>
      </c>
      <c r="CA1659" s="169">
        <v>5.6</v>
      </c>
      <c r="CB1659" s="170">
        <v>53</v>
      </c>
      <c r="DB1659" s="165">
        <v>62</v>
      </c>
      <c r="DC1659" s="167">
        <v>70.609756097560975</v>
      </c>
      <c r="DD1659" s="168">
        <v>0.5</v>
      </c>
      <c r="DE1659" s="169">
        <v>6</v>
      </c>
      <c r="DF1659" s="170">
        <v>55</v>
      </c>
    </row>
    <row r="1660" spans="39:110" hidden="1" x14ac:dyDescent="0.2">
      <c r="AM1660" s="20">
        <f t="shared" si="45"/>
        <v>23</v>
      </c>
      <c r="AN1660" s="165">
        <v>11.5</v>
      </c>
      <c r="AO1660" s="167">
        <v>79.313380281690144</v>
      </c>
      <c r="AP1660" s="168">
        <v>0.8</v>
      </c>
      <c r="AQ1660" s="169">
        <v>6.6</v>
      </c>
      <c r="AR1660" s="170">
        <v>58</v>
      </c>
      <c r="BX1660" s="165">
        <v>137</v>
      </c>
      <c r="BY1660" s="167">
        <v>62.147887323943664</v>
      </c>
      <c r="BZ1660" s="168">
        <v>0.3</v>
      </c>
      <c r="CA1660" s="169">
        <v>5.6</v>
      </c>
      <c r="CB1660" s="170">
        <v>53</v>
      </c>
      <c r="DB1660" s="165">
        <v>63</v>
      </c>
      <c r="DC1660" s="167">
        <v>72.195121951219505</v>
      </c>
      <c r="DD1660" s="168">
        <v>0.6</v>
      </c>
      <c r="DE1660" s="169">
        <v>6.2</v>
      </c>
      <c r="DF1660" s="170">
        <v>56</v>
      </c>
    </row>
    <row r="1661" spans="39:110" hidden="1" x14ac:dyDescent="0.2">
      <c r="AM1661" s="20">
        <f t="shared" si="45"/>
        <v>24</v>
      </c>
      <c r="AN1661" s="165">
        <v>12</v>
      </c>
      <c r="AO1661" s="167">
        <v>84.242957746478879</v>
      </c>
      <c r="AP1661" s="168">
        <v>1</v>
      </c>
      <c r="AQ1661" s="169">
        <v>7</v>
      </c>
      <c r="AR1661" s="170">
        <v>60</v>
      </c>
      <c r="BX1661" s="165">
        <v>136</v>
      </c>
      <c r="BY1661" s="167">
        <v>62.147887323943664</v>
      </c>
      <c r="BZ1661" s="168">
        <v>0.3</v>
      </c>
      <c r="CA1661" s="169">
        <v>5.6</v>
      </c>
      <c r="CB1661" s="170">
        <v>53</v>
      </c>
      <c r="DB1661" s="165">
        <v>64</v>
      </c>
      <c r="DC1661" s="167">
        <v>73.658536585365852</v>
      </c>
      <c r="DD1661" s="168">
        <v>0.6</v>
      </c>
      <c r="DE1661" s="169">
        <v>6.2</v>
      </c>
      <c r="DF1661" s="170">
        <v>56</v>
      </c>
    </row>
    <row r="1662" spans="39:110" hidden="1" x14ac:dyDescent="0.2">
      <c r="AM1662" s="20">
        <f t="shared" si="45"/>
        <v>25</v>
      </c>
      <c r="AN1662" s="165">
        <v>12.5</v>
      </c>
      <c r="AO1662" s="167">
        <v>88.732394366197184</v>
      </c>
      <c r="AP1662" s="168">
        <v>1.2</v>
      </c>
      <c r="AQ1662" s="169">
        <v>7.4</v>
      </c>
      <c r="AR1662" s="170">
        <v>62</v>
      </c>
      <c r="BX1662" s="165">
        <v>135</v>
      </c>
      <c r="BY1662" s="167">
        <v>62.147887323943664</v>
      </c>
      <c r="BZ1662" s="168">
        <v>0.3</v>
      </c>
      <c r="CA1662" s="169">
        <v>5.6</v>
      </c>
      <c r="CB1662" s="170">
        <v>53</v>
      </c>
      <c r="DB1662" s="165">
        <v>65</v>
      </c>
      <c r="DC1662" s="167">
        <v>74.634146341463421</v>
      </c>
      <c r="DD1662" s="168">
        <v>0.7</v>
      </c>
      <c r="DE1662" s="169">
        <v>6.4</v>
      </c>
      <c r="DF1662" s="170">
        <v>57</v>
      </c>
    </row>
    <row r="1663" spans="39:110" hidden="1" x14ac:dyDescent="0.2">
      <c r="AM1663" s="20">
        <f t="shared" si="45"/>
        <v>26</v>
      </c>
      <c r="AN1663" s="165">
        <v>13</v>
      </c>
      <c r="AO1663" s="167">
        <v>91.813380281690144</v>
      </c>
      <c r="AP1663" s="168">
        <v>1.4</v>
      </c>
      <c r="AQ1663" s="169">
        <v>7.8</v>
      </c>
      <c r="AR1663" s="170">
        <v>64</v>
      </c>
      <c r="BX1663" s="165">
        <v>134</v>
      </c>
      <c r="BY1663" s="167">
        <v>62.147887323943664</v>
      </c>
      <c r="BZ1663" s="168">
        <v>0.3</v>
      </c>
      <c r="CA1663" s="169">
        <v>5.6</v>
      </c>
      <c r="CB1663" s="170">
        <v>53</v>
      </c>
      <c r="DB1663" s="165">
        <v>66</v>
      </c>
      <c r="DC1663" s="167">
        <v>75.853658536585371</v>
      </c>
      <c r="DD1663" s="168">
        <v>0.7</v>
      </c>
      <c r="DE1663" s="169">
        <v>6.4</v>
      </c>
      <c r="DF1663" s="170">
        <v>57</v>
      </c>
    </row>
    <row r="1664" spans="39:110" hidden="1" x14ac:dyDescent="0.2">
      <c r="AM1664" s="20">
        <f t="shared" si="45"/>
        <v>27</v>
      </c>
      <c r="AN1664" s="165">
        <v>13.5</v>
      </c>
      <c r="AO1664" s="167">
        <v>94.454225352112672</v>
      </c>
      <c r="AP1664" s="168">
        <v>1.6</v>
      </c>
      <c r="AQ1664" s="169">
        <v>8.1999999999999993</v>
      </c>
      <c r="AR1664" s="170">
        <v>66</v>
      </c>
      <c r="BX1664" s="165">
        <v>133</v>
      </c>
      <c r="BY1664" s="167">
        <v>62.147887323943664</v>
      </c>
      <c r="BZ1664" s="168">
        <v>0.3</v>
      </c>
      <c r="CA1664" s="169">
        <v>5.6</v>
      </c>
      <c r="CB1664" s="170">
        <v>53</v>
      </c>
      <c r="DB1664" s="165">
        <v>67</v>
      </c>
      <c r="DC1664" s="167">
        <v>76.951219512195124</v>
      </c>
      <c r="DD1664" s="168">
        <v>0.7</v>
      </c>
      <c r="DE1664" s="169">
        <v>6.4</v>
      </c>
      <c r="DF1664" s="170">
        <v>57</v>
      </c>
    </row>
    <row r="1665" spans="39:110" hidden="1" x14ac:dyDescent="0.2">
      <c r="AM1665" s="20">
        <f t="shared" si="45"/>
        <v>28</v>
      </c>
      <c r="AN1665" s="165">
        <v>14</v>
      </c>
      <c r="AO1665" s="167">
        <v>96.214788732394368</v>
      </c>
      <c r="AP1665" s="168">
        <v>1.8</v>
      </c>
      <c r="AQ1665" s="169">
        <v>8.6</v>
      </c>
      <c r="AR1665" s="170">
        <v>68</v>
      </c>
      <c r="BX1665" s="165">
        <v>132</v>
      </c>
      <c r="BY1665" s="167">
        <v>62.147887323943664</v>
      </c>
      <c r="BZ1665" s="168">
        <v>0.3</v>
      </c>
      <c r="CA1665" s="169">
        <v>5.6</v>
      </c>
      <c r="CB1665" s="170">
        <v>53</v>
      </c>
      <c r="DB1665" s="165">
        <v>68</v>
      </c>
      <c r="DC1665" s="167">
        <v>78.536585365853668</v>
      </c>
      <c r="DD1665" s="168">
        <v>0.8</v>
      </c>
      <c r="DE1665" s="169">
        <v>6.6</v>
      </c>
      <c r="DF1665" s="170">
        <v>58</v>
      </c>
    </row>
    <row r="1666" spans="39:110" hidden="1" x14ac:dyDescent="0.2">
      <c r="AM1666" s="20">
        <f t="shared" si="45"/>
        <v>29</v>
      </c>
      <c r="AN1666" s="165">
        <v>14.5</v>
      </c>
      <c r="AO1666" s="167">
        <v>97.975352112676063</v>
      </c>
      <c r="AP1666" s="168">
        <v>2.1</v>
      </c>
      <c r="AQ1666" s="169">
        <v>9.1999999999999993</v>
      </c>
      <c r="AR1666" s="170">
        <v>71</v>
      </c>
      <c r="BX1666" s="165">
        <v>131</v>
      </c>
      <c r="BY1666" s="167">
        <v>62.147887323943664</v>
      </c>
      <c r="BZ1666" s="168">
        <v>0.3</v>
      </c>
      <c r="CA1666" s="169">
        <v>5.6</v>
      </c>
      <c r="CB1666" s="170">
        <v>53</v>
      </c>
      <c r="DB1666" s="165">
        <v>69</v>
      </c>
      <c r="DC1666" s="167">
        <v>80.609756097560975</v>
      </c>
      <c r="DD1666" s="168">
        <v>0.9</v>
      </c>
      <c r="DE1666" s="169">
        <v>6.8</v>
      </c>
      <c r="DF1666" s="170">
        <v>59</v>
      </c>
    </row>
    <row r="1667" spans="39:110" ht="13.15" hidden="1" thickBot="1" x14ac:dyDescent="0.25">
      <c r="AM1667" s="20">
        <f t="shared" si="45"/>
        <v>30</v>
      </c>
      <c r="AN1667" s="172">
        <v>15</v>
      </c>
      <c r="AO1667" s="173">
        <v>99.031690140845072</v>
      </c>
      <c r="AP1667" s="174">
        <v>2.2999999999999998</v>
      </c>
      <c r="AQ1667" s="175">
        <v>9.6</v>
      </c>
      <c r="AR1667" s="176">
        <v>73</v>
      </c>
      <c r="BX1667" s="165">
        <v>130</v>
      </c>
      <c r="BY1667" s="167">
        <v>62.147887323943664</v>
      </c>
      <c r="BZ1667" s="168">
        <v>0.3</v>
      </c>
      <c r="CA1667" s="169">
        <v>5.6</v>
      </c>
      <c r="CB1667" s="170">
        <v>53</v>
      </c>
      <c r="DB1667" s="165">
        <v>70</v>
      </c>
      <c r="DC1667" s="167">
        <v>81.829268292682926</v>
      </c>
      <c r="DD1667" s="168">
        <v>0.9</v>
      </c>
      <c r="DE1667" s="169">
        <v>6.8</v>
      </c>
      <c r="DF1667" s="170">
        <v>59</v>
      </c>
    </row>
    <row r="1668" spans="39:110" hidden="1" x14ac:dyDescent="0.2">
      <c r="BX1668" s="165">
        <v>129</v>
      </c>
      <c r="BY1668" s="167">
        <v>69.190140845070431</v>
      </c>
      <c r="BZ1668" s="168">
        <v>0.5</v>
      </c>
      <c r="CA1668" s="169">
        <v>6</v>
      </c>
      <c r="CB1668" s="170">
        <v>55</v>
      </c>
      <c r="DB1668" s="165">
        <v>71</v>
      </c>
      <c r="DC1668" s="167">
        <v>83.048780487804876</v>
      </c>
      <c r="DD1668" s="168">
        <v>1</v>
      </c>
      <c r="DE1668" s="169">
        <v>7</v>
      </c>
      <c r="DF1668" s="170">
        <v>60</v>
      </c>
    </row>
    <row r="1669" spans="39:110" ht="13.15" hidden="1" thickBot="1" x14ac:dyDescent="0.25">
      <c r="BX1669" s="165">
        <v>128</v>
      </c>
      <c r="BY1669" s="167">
        <v>69.190140845070431</v>
      </c>
      <c r="BZ1669" s="168">
        <v>0.5</v>
      </c>
      <c r="CA1669" s="169">
        <v>6</v>
      </c>
      <c r="CB1669" s="170">
        <v>55</v>
      </c>
      <c r="DB1669" s="165">
        <v>72</v>
      </c>
      <c r="DC1669" s="167">
        <v>84.024390243902431</v>
      </c>
      <c r="DD1669" s="168">
        <v>1</v>
      </c>
      <c r="DE1669" s="169">
        <v>7</v>
      </c>
      <c r="DF1669" s="170">
        <v>60</v>
      </c>
    </row>
    <row r="1670" spans="39:110" ht="13.15" hidden="1" x14ac:dyDescent="0.25">
      <c r="AN1670" s="138" t="s">
        <v>335</v>
      </c>
      <c r="AO1670" s="139"/>
      <c r="AP1670" s="139"/>
      <c r="AQ1670" s="140" t="s">
        <v>327</v>
      </c>
      <c r="AR1670" s="141">
        <v>568</v>
      </c>
      <c r="BX1670" s="165">
        <v>127</v>
      </c>
      <c r="BY1670" s="167">
        <v>69.190140845070431</v>
      </c>
      <c r="BZ1670" s="168">
        <v>0.5</v>
      </c>
      <c r="CA1670" s="169">
        <v>6</v>
      </c>
      <c r="CB1670" s="170">
        <v>55</v>
      </c>
      <c r="DB1670" s="165">
        <v>73</v>
      </c>
      <c r="DC1670" s="167">
        <v>85.121951219512198</v>
      </c>
      <c r="DD1670" s="168">
        <v>1</v>
      </c>
      <c r="DE1670" s="169">
        <v>7</v>
      </c>
      <c r="DF1670" s="170">
        <v>60</v>
      </c>
    </row>
    <row r="1671" spans="39:110" hidden="1" x14ac:dyDescent="0.2">
      <c r="AN1671" s="144" t="s">
        <v>161</v>
      </c>
      <c r="AP1671" s="20" t="s">
        <v>336</v>
      </c>
      <c r="AR1671" s="145"/>
      <c r="BX1671" s="165">
        <v>126</v>
      </c>
      <c r="BY1671" s="167">
        <v>69.190140845070431</v>
      </c>
      <c r="BZ1671" s="168">
        <v>0.5</v>
      </c>
      <c r="CA1671" s="169">
        <v>6</v>
      </c>
      <c r="CB1671" s="170">
        <v>55</v>
      </c>
      <c r="DB1671" s="165">
        <v>74</v>
      </c>
      <c r="DC1671" s="167">
        <v>86.097560975609753</v>
      </c>
      <c r="DD1671" s="168">
        <v>1.1000000000000001</v>
      </c>
      <c r="DE1671" s="169">
        <v>7.2</v>
      </c>
      <c r="DF1671" s="170">
        <v>61</v>
      </c>
    </row>
    <row r="1672" spans="39:110" ht="13.15" hidden="1" thickBot="1" x14ac:dyDescent="0.25">
      <c r="AN1672" s="181" t="s">
        <v>338</v>
      </c>
      <c r="AO1672" s="148"/>
      <c r="AP1672" s="148"/>
      <c r="AQ1672" s="148"/>
      <c r="AR1672" s="149"/>
      <c r="BX1672" s="165">
        <v>125</v>
      </c>
      <c r="BY1672" s="167">
        <v>69.190140845070431</v>
      </c>
      <c r="BZ1672" s="168">
        <v>0.5</v>
      </c>
      <c r="CA1672" s="169">
        <v>6</v>
      </c>
      <c r="CB1672" s="170">
        <v>55</v>
      </c>
      <c r="DB1672" s="165">
        <v>75</v>
      </c>
      <c r="DC1672" s="167">
        <v>87.073170731707322</v>
      </c>
      <c r="DD1672" s="168">
        <v>1.1000000000000001</v>
      </c>
      <c r="DE1672" s="169">
        <v>7.2</v>
      </c>
      <c r="DF1672" s="170">
        <v>61</v>
      </c>
    </row>
    <row r="1673" spans="39:110" ht="13.15" hidden="1" thickBot="1" x14ac:dyDescent="0.25">
      <c r="AN1673" s="150" t="s">
        <v>164</v>
      </c>
      <c r="AO1673" s="151" t="s">
        <v>332</v>
      </c>
      <c r="AP1673" s="152"/>
      <c r="AQ1673" s="152"/>
      <c r="AR1673" s="153"/>
      <c r="BX1673" s="165">
        <v>124</v>
      </c>
      <c r="BY1673" s="167">
        <v>69.190140845070431</v>
      </c>
      <c r="BZ1673" s="168">
        <v>0.5</v>
      </c>
      <c r="CA1673" s="169">
        <v>6</v>
      </c>
      <c r="CB1673" s="170">
        <v>55</v>
      </c>
      <c r="DB1673" s="165">
        <v>76</v>
      </c>
      <c r="DC1673" s="167">
        <v>88.170731707317074</v>
      </c>
      <c r="DD1673" s="168">
        <v>1.2</v>
      </c>
      <c r="DE1673" s="169">
        <v>7.4</v>
      </c>
      <c r="DF1673" s="170">
        <v>62</v>
      </c>
    </row>
    <row r="1674" spans="39:110" ht="13.15" hidden="1" thickBot="1" x14ac:dyDescent="0.25">
      <c r="AN1674" s="155" t="s">
        <v>10</v>
      </c>
      <c r="AO1674" s="156" t="s">
        <v>13</v>
      </c>
      <c r="AP1674" s="156" t="s">
        <v>14</v>
      </c>
      <c r="AQ1674" s="156" t="s">
        <v>15</v>
      </c>
      <c r="AR1674" s="159" t="s">
        <v>16</v>
      </c>
      <c r="BX1674" s="165">
        <v>123</v>
      </c>
      <c r="BY1674" s="167">
        <v>69.190140845070431</v>
      </c>
      <c r="BZ1674" s="168">
        <v>0.5</v>
      </c>
      <c r="CA1674" s="169">
        <v>6</v>
      </c>
      <c r="CB1674" s="170">
        <v>55</v>
      </c>
      <c r="DB1674" s="165">
        <v>77</v>
      </c>
      <c r="DC1674" s="167">
        <v>89.024390243902445</v>
      </c>
      <c r="DD1674" s="168">
        <v>1.2</v>
      </c>
      <c r="DE1674" s="169">
        <v>7.4</v>
      </c>
      <c r="DF1674" s="170">
        <v>62</v>
      </c>
    </row>
    <row r="1675" spans="39:110" hidden="1" x14ac:dyDescent="0.2">
      <c r="AM1675" s="20">
        <f t="shared" ref="AM1675:AM1705" si="46">AN1675*2</f>
        <v>0</v>
      </c>
      <c r="AN1675" s="160">
        <v>0</v>
      </c>
      <c r="AO1675" s="161">
        <v>8.8028169014084515E-2</v>
      </c>
      <c r="AP1675" s="162">
        <v>-3</v>
      </c>
      <c r="AQ1675" s="163">
        <v>-1</v>
      </c>
      <c r="AR1675" s="164">
        <v>20</v>
      </c>
      <c r="BX1675" s="165">
        <v>122</v>
      </c>
      <c r="BY1675" s="167">
        <v>69.190140845070431</v>
      </c>
      <c r="BZ1675" s="168">
        <v>0.5</v>
      </c>
      <c r="CA1675" s="169">
        <v>6</v>
      </c>
      <c r="CB1675" s="170">
        <v>55</v>
      </c>
      <c r="DB1675" s="165">
        <v>78</v>
      </c>
      <c r="DC1675" s="167">
        <v>90.365853658536594</v>
      </c>
      <c r="DD1675" s="168">
        <v>1.3</v>
      </c>
      <c r="DE1675" s="169">
        <v>7.6</v>
      </c>
      <c r="DF1675" s="170">
        <v>63</v>
      </c>
    </row>
    <row r="1676" spans="39:110" hidden="1" x14ac:dyDescent="0.2">
      <c r="AM1676" s="20">
        <f t="shared" si="46"/>
        <v>1</v>
      </c>
      <c r="AN1676" s="165">
        <v>0.5</v>
      </c>
      <c r="AO1676" s="167">
        <v>0.17605633802816903</v>
      </c>
      <c r="AP1676" s="168">
        <v>-2.9</v>
      </c>
      <c r="AQ1676" s="169">
        <v>-0.8</v>
      </c>
      <c r="AR1676" s="170">
        <v>21</v>
      </c>
      <c r="BX1676" s="165">
        <v>121</v>
      </c>
      <c r="BY1676" s="167">
        <v>69.190140845070431</v>
      </c>
      <c r="BZ1676" s="168">
        <v>0.5</v>
      </c>
      <c r="CA1676" s="169">
        <v>6</v>
      </c>
      <c r="CB1676" s="170">
        <v>55</v>
      </c>
      <c r="DB1676" s="165">
        <v>79</v>
      </c>
      <c r="DC1676" s="167">
        <v>91.951219512195124</v>
      </c>
      <c r="DD1676" s="168">
        <v>1.4</v>
      </c>
      <c r="DE1676" s="169">
        <v>7.8</v>
      </c>
      <c r="DF1676" s="170">
        <v>64</v>
      </c>
    </row>
    <row r="1677" spans="39:110" hidden="1" x14ac:dyDescent="0.2">
      <c r="AM1677" s="20">
        <f t="shared" si="46"/>
        <v>2</v>
      </c>
      <c r="AN1677" s="165">
        <v>1</v>
      </c>
      <c r="AO1677" s="167">
        <v>0.17605633802816903</v>
      </c>
      <c r="AP1677" s="168">
        <v>-2.9</v>
      </c>
      <c r="AQ1677" s="169">
        <v>-0.8</v>
      </c>
      <c r="AR1677" s="170">
        <v>21</v>
      </c>
      <c r="BX1677" s="165">
        <v>120</v>
      </c>
      <c r="BY1677" s="167">
        <v>69.190140845070431</v>
      </c>
      <c r="BZ1677" s="168">
        <v>0.5</v>
      </c>
      <c r="CA1677" s="169">
        <v>6</v>
      </c>
      <c r="CB1677" s="170">
        <v>55</v>
      </c>
      <c r="DB1677" s="165">
        <v>80</v>
      </c>
      <c r="DC1677" s="167">
        <v>93.292682926829272</v>
      </c>
      <c r="DD1677" s="168">
        <v>1.5</v>
      </c>
      <c r="DE1677" s="169">
        <v>8</v>
      </c>
      <c r="DF1677" s="170">
        <v>65</v>
      </c>
    </row>
    <row r="1678" spans="39:110" hidden="1" x14ac:dyDescent="0.2">
      <c r="AM1678" s="20">
        <f t="shared" si="46"/>
        <v>3</v>
      </c>
      <c r="AN1678" s="165">
        <v>1.5</v>
      </c>
      <c r="AO1678" s="167">
        <v>0.17605633802816903</v>
      </c>
      <c r="AP1678" s="168">
        <v>-2.9</v>
      </c>
      <c r="AQ1678" s="169">
        <v>-0.8</v>
      </c>
      <c r="AR1678" s="170">
        <v>21</v>
      </c>
      <c r="BX1678" s="165">
        <v>119</v>
      </c>
      <c r="BY1678" s="167">
        <v>75.880281690140848</v>
      </c>
      <c r="BZ1678" s="168">
        <v>0.7</v>
      </c>
      <c r="CA1678" s="169">
        <v>6.4</v>
      </c>
      <c r="CB1678" s="170">
        <v>57</v>
      </c>
      <c r="DB1678" s="165">
        <v>81</v>
      </c>
      <c r="DC1678" s="167">
        <v>94.268292682926827</v>
      </c>
      <c r="DD1678" s="168">
        <v>1.6</v>
      </c>
      <c r="DE1678" s="169">
        <v>8.1999999999999993</v>
      </c>
      <c r="DF1678" s="170">
        <v>66</v>
      </c>
    </row>
    <row r="1679" spans="39:110" hidden="1" x14ac:dyDescent="0.2">
      <c r="AM1679" s="20">
        <f t="shared" si="46"/>
        <v>4</v>
      </c>
      <c r="AN1679" s="165">
        <v>2</v>
      </c>
      <c r="AO1679" s="167">
        <v>0.17605633802816903</v>
      </c>
      <c r="AP1679" s="168">
        <v>-2.9</v>
      </c>
      <c r="AQ1679" s="169">
        <v>-0.8</v>
      </c>
      <c r="AR1679" s="170">
        <v>21</v>
      </c>
      <c r="BX1679" s="165">
        <v>118</v>
      </c>
      <c r="BY1679" s="167">
        <v>75.880281690140848</v>
      </c>
      <c r="BZ1679" s="168">
        <v>0.7</v>
      </c>
      <c r="CA1679" s="169">
        <v>6.4</v>
      </c>
      <c r="CB1679" s="170">
        <v>57</v>
      </c>
      <c r="DB1679" s="165">
        <v>82</v>
      </c>
      <c r="DC1679" s="167">
        <v>94.878048780487802</v>
      </c>
      <c r="DD1679" s="168">
        <v>1.6</v>
      </c>
      <c r="DE1679" s="169">
        <v>8.1999999999999993</v>
      </c>
      <c r="DF1679" s="170">
        <v>66</v>
      </c>
    </row>
    <row r="1680" spans="39:110" hidden="1" x14ac:dyDescent="0.2">
      <c r="AM1680" s="20">
        <f t="shared" si="46"/>
        <v>5</v>
      </c>
      <c r="AN1680" s="165">
        <v>2.5</v>
      </c>
      <c r="AO1680" s="167">
        <v>0.2640845070422535</v>
      </c>
      <c r="AP1680" s="168">
        <v>-2.8</v>
      </c>
      <c r="AQ1680" s="169">
        <v>-0.6</v>
      </c>
      <c r="AR1680" s="170">
        <v>22</v>
      </c>
      <c r="BX1680" s="165">
        <v>117</v>
      </c>
      <c r="BY1680" s="167">
        <v>75.880281690140848</v>
      </c>
      <c r="BZ1680" s="168">
        <v>0.7</v>
      </c>
      <c r="CA1680" s="169">
        <v>6.4</v>
      </c>
      <c r="CB1680" s="170">
        <v>57</v>
      </c>
      <c r="DB1680" s="165">
        <v>83</v>
      </c>
      <c r="DC1680" s="167">
        <v>95.365853658536579</v>
      </c>
      <c r="DD1680" s="168">
        <v>1.7</v>
      </c>
      <c r="DE1680" s="169">
        <v>8.4</v>
      </c>
      <c r="DF1680" s="170">
        <v>67</v>
      </c>
    </row>
    <row r="1681" spans="39:110" hidden="1" x14ac:dyDescent="0.2">
      <c r="AM1681" s="20">
        <f t="shared" si="46"/>
        <v>6</v>
      </c>
      <c r="AN1681" s="165">
        <v>3</v>
      </c>
      <c r="AO1681" s="167">
        <v>0.79225352112676051</v>
      </c>
      <c r="AP1681" s="168">
        <v>-2.4</v>
      </c>
      <c r="AQ1681" s="169">
        <v>0.2</v>
      </c>
      <c r="AR1681" s="170">
        <v>26</v>
      </c>
      <c r="BX1681" s="165">
        <v>116</v>
      </c>
      <c r="BY1681" s="167">
        <v>75.880281690140848</v>
      </c>
      <c r="BZ1681" s="168">
        <v>0.7</v>
      </c>
      <c r="CA1681" s="169">
        <v>6.4</v>
      </c>
      <c r="CB1681" s="170">
        <v>57</v>
      </c>
      <c r="DB1681" s="165">
        <v>84</v>
      </c>
      <c r="DC1681" s="167">
        <v>96.341463414634148</v>
      </c>
      <c r="DD1681" s="168">
        <v>1.8</v>
      </c>
      <c r="DE1681" s="169">
        <v>8.6</v>
      </c>
      <c r="DF1681" s="170">
        <v>68</v>
      </c>
    </row>
    <row r="1682" spans="39:110" hidden="1" x14ac:dyDescent="0.2">
      <c r="AM1682" s="20">
        <f t="shared" si="46"/>
        <v>7</v>
      </c>
      <c r="AN1682" s="165">
        <v>3.5</v>
      </c>
      <c r="AO1682" s="167">
        <v>1.4964788732394365</v>
      </c>
      <c r="AP1682" s="168">
        <v>-2.2000000000000002</v>
      </c>
      <c r="AQ1682" s="169">
        <v>0.6</v>
      </c>
      <c r="AR1682" s="170">
        <v>28</v>
      </c>
      <c r="BX1682" s="165">
        <v>115</v>
      </c>
      <c r="BY1682" s="167">
        <v>75.880281690140848</v>
      </c>
      <c r="BZ1682" s="168">
        <v>0.7</v>
      </c>
      <c r="CA1682" s="169">
        <v>6.4</v>
      </c>
      <c r="CB1682" s="170">
        <v>57</v>
      </c>
      <c r="DB1682" s="165">
        <v>85</v>
      </c>
      <c r="DC1682" s="167">
        <v>97.195121951219505</v>
      </c>
      <c r="DD1682" s="168">
        <v>1.9</v>
      </c>
      <c r="DE1682" s="169">
        <v>8.8000000000000007</v>
      </c>
      <c r="DF1682" s="170">
        <v>69</v>
      </c>
    </row>
    <row r="1683" spans="39:110" hidden="1" x14ac:dyDescent="0.2">
      <c r="AM1683" s="20">
        <f t="shared" si="46"/>
        <v>8</v>
      </c>
      <c r="AN1683" s="165">
        <v>4</v>
      </c>
      <c r="AO1683" s="167">
        <v>2.112676056338028</v>
      </c>
      <c r="AP1683" s="168">
        <v>-2</v>
      </c>
      <c r="AQ1683" s="169">
        <v>1</v>
      </c>
      <c r="AR1683" s="170">
        <v>30</v>
      </c>
      <c r="BX1683" s="165">
        <v>114</v>
      </c>
      <c r="BY1683" s="167">
        <v>75.880281690140848</v>
      </c>
      <c r="BZ1683" s="168">
        <v>0.7</v>
      </c>
      <c r="CA1683" s="169">
        <v>6.4</v>
      </c>
      <c r="CB1683" s="170">
        <v>57</v>
      </c>
      <c r="DB1683" s="165">
        <v>86</v>
      </c>
      <c r="DC1683" s="167">
        <v>97.560975609756099</v>
      </c>
      <c r="DD1683" s="168">
        <v>2</v>
      </c>
      <c r="DE1683" s="169">
        <v>9</v>
      </c>
      <c r="DF1683" s="170">
        <v>70</v>
      </c>
    </row>
    <row r="1684" spans="39:110" hidden="1" x14ac:dyDescent="0.2">
      <c r="AM1684" s="20">
        <f t="shared" si="46"/>
        <v>9</v>
      </c>
      <c r="AN1684" s="165">
        <v>4.5</v>
      </c>
      <c r="AO1684" s="167">
        <v>2.7288732394366195</v>
      </c>
      <c r="AP1684" s="168">
        <v>-1.9</v>
      </c>
      <c r="AQ1684" s="169">
        <v>1.2</v>
      </c>
      <c r="AR1684" s="170">
        <v>31</v>
      </c>
      <c r="BX1684" s="165">
        <v>113</v>
      </c>
      <c r="BY1684" s="167">
        <v>75.880281690140848</v>
      </c>
      <c r="BZ1684" s="168">
        <v>0.7</v>
      </c>
      <c r="CA1684" s="169">
        <v>6.4</v>
      </c>
      <c r="CB1684" s="170">
        <v>57</v>
      </c>
      <c r="DB1684" s="165">
        <v>87</v>
      </c>
      <c r="DC1684" s="167">
        <v>97.926829268292678</v>
      </c>
      <c r="DD1684" s="168">
        <v>2</v>
      </c>
      <c r="DE1684" s="169">
        <v>9</v>
      </c>
      <c r="DF1684" s="170">
        <v>70</v>
      </c>
    </row>
    <row r="1685" spans="39:110" hidden="1" x14ac:dyDescent="0.2">
      <c r="AM1685" s="20">
        <f t="shared" si="46"/>
        <v>10</v>
      </c>
      <c r="AN1685" s="165">
        <v>5</v>
      </c>
      <c r="AO1685" s="167">
        <v>3.873239436619718</v>
      </c>
      <c r="AP1685" s="168">
        <v>-1.8</v>
      </c>
      <c r="AQ1685" s="169">
        <v>1.4</v>
      </c>
      <c r="AR1685" s="170">
        <v>32</v>
      </c>
      <c r="BX1685" s="165">
        <v>112</v>
      </c>
      <c r="BY1685" s="167">
        <v>75.880281690140848</v>
      </c>
      <c r="BZ1685" s="168">
        <v>0.7</v>
      </c>
      <c r="CA1685" s="169">
        <v>6.4</v>
      </c>
      <c r="CB1685" s="170">
        <v>57</v>
      </c>
      <c r="DB1685" s="165">
        <v>88</v>
      </c>
      <c r="DC1685" s="167">
        <v>97.926829268292678</v>
      </c>
      <c r="DD1685" s="168">
        <v>2</v>
      </c>
      <c r="DE1685" s="169">
        <v>9</v>
      </c>
      <c r="DF1685" s="170">
        <v>70</v>
      </c>
    </row>
    <row r="1686" spans="39:110" hidden="1" x14ac:dyDescent="0.2">
      <c r="AM1686" s="20">
        <f t="shared" si="46"/>
        <v>11</v>
      </c>
      <c r="AN1686" s="165">
        <v>5.5</v>
      </c>
      <c r="AO1686" s="167">
        <v>5.457746478873239</v>
      </c>
      <c r="AP1686" s="168">
        <v>-1.6</v>
      </c>
      <c r="AQ1686" s="169">
        <v>1.8</v>
      </c>
      <c r="AR1686" s="170">
        <v>34</v>
      </c>
      <c r="BX1686" s="165">
        <v>111</v>
      </c>
      <c r="BY1686" s="167">
        <v>75.880281690140848</v>
      </c>
      <c r="BZ1686" s="168">
        <v>0.7</v>
      </c>
      <c r="CA1686" s="169">
        <v>6.4</v>
      </c>
      <c r="CB1686" s="170">
        <v>57</v>
      </c>
      <c r="DB1686" s="165">
        <v>89</v>
      </c>
      <c r="DC1686" s="167">
        <v>98.292682926829272</v>
      </c>
      <c r="DD1686" s="168">
        <v>2.1</v>
      </c>
      <c r="DE1686" s="169">
        <v>9.1999999999999993</v>
      </c>
      <c r="DF1686" s="170">
        <v>71</v>
      </c>
    </row>
    <row r="1687" spans="39:110" hidden="1" x14ac:dyDescent="0.2">
      <c r="AM1687" s="20">
        <f t="shared" si="46"/>
        <v>12</v>
      </c>
      <c r="AN1687" s="165">
        <v>6</v>
      </c>
      <c r="AO1687" s="167">
        <v>8.1866197183098599</v>
      </c>
      <c r="AP1687" s="168">
        <v>-1.4</v>
      </c>
      <c r="AQ1687" s="169">
        <v>2.2000000000000002</v>
      </c>
      <c r="AR1687" s="170">
        <v>36</v>
      </c>
      <c r="BX1687" s="165">
        <v>110</v>
      </c>
      <c r="BY1687" s="167">
        <v>75.880281690140848</v>
      </c>
      <c r="BZ1687" s="168">
        <v>0.7</v>
      </c>
      <c r="CA1687" s="169">
        <v>6.4</v>
      </c>
      <c r="CB1687" s="170">
        <v>57</v>
      </c>
      <c r="DB1687" s="165">
        <v>90</v>
      </c>
      <c r="DC1687" s="167">
        <v>98.658536585365852</v>
      </c>
      <c r="DD1687" s="168">
        <v>2.2000000000000002</v>
      </c>
      <c r="DE1687" s="169">
        <v>9.4</v>
      </c>
      <c r="DF1687" s="170">
        <v>72</v>
      </c>
    </row>
    <row r="1688" spans="39:110" hidden="1" x14ac:dyDescent="0.2">
      <c r="AM1688" s="20">
        <f t="shared" si="46"/>
        <v>13</v>
      </c>
      <c r="AN1688" s="165">
        <v>6.5</v>
      </c>
      <c r="AO1688" s="167">
        <v>11.179577464788732</v>
      </c>
      <c r="AP1688" s="168">
        <v>-1.2</v>
      </c>
      <c r="AQ1688" s="169">
        <v>2.6</v>
      </c>
      <c r="AR1688" s="170">
        <v>38</v>
      </c>
      <c r="BX1688" s="165">
        <v>109</v>
      </c>
      <c r="BY1688" s="167">
        <v>82.218309859154928</v>
      </c>
      <c r="BZ1688" s="168">
        <v>0.9</v>
      </c>
      <c r="CA1688" s="169">
        <v>6.8</v>
      </c>
      <c r="CB1688" s="170">
        <v>59</v>
      </c>
      <c r="DB1688" s="165">
        <v>91</v>
      </c>
      <c r="DC1688" s="167">
        <v>98.902439024390247</v>
      </c>
      <c r="DD1688" s="168">
        <v>2.2999999999999998</v>
      </c>
      <c r="DE1688" s="169">
        <v>9.6</v>
      </c>
      <c r="DF1688" s="170">
        <v>73</v>
      </c>
    </row>
    <row r="1689" spans="39:110" hidden="1" x14ac:dyDescent="0.2">
      <c r="AM1689" s="20">
        <f t="shared" si="46"/>
        <v>14</v>
      </c>
      <c r="AN1689" s="165">
        <v>7</v>
      </c>
      <c r="AO1689" s="167">
        <v>14.964788732394366</v>
      </c>
      <c r="AP1689" s="168">
        <v>-1</v>
      </c>
      <c r="AQ1689" s="169">
        <v>3</v>
      </c>
      <c r="AR1689" s="170">
        <v>40</v>
      </c>
      <c r="BX1689" s="165">
        <v>108</v>
      </c>
      <c r="BY1689" s="167">
        <v>82.218309859154928</v>
      </c>
      <c r="BZ1689" s="168">
        <v>0.9</v>
      </c>
      <c r="CA1689" s="169">
        <v>6.8</v>
      </c>
      <c r="CB1689" s="170">
        <v>59</v>
      </c>
      <c r="DB1689" s="165">
        <v>92</v>
      </c>
      <c r="DC1689" s="167">
        <v>99.146341463414629</v>
      </c>
      <c r="DD1689" s="168">
        <v>2.4</v>
      </c>
      <c r="DE1689" s="169">
        <v>9.8000000000000007</v>
      </c>
      <c r="DF1689" s="170">
        <v>74</v>
      </c>
    </row>
    <row r="1690" spans="39:110" hidden="1" x14ac:dyDescent="0.2">
      <c r="AM1690" s="20">
        <f t="shared" si="46"/>
        <v>15</v>
      </c>
      <c r="AN1690" s="165">
        <v>7.5</v>
      </c>
      <c r="AO1690" s="167">
        <v>18.485915492957748</v>
      </c>
      <c r="AP1690" s="168">
        <v>-0.9</v>
      </c>
      <c r="AQ1690" s="169">
        <v>3.2</v>
      </c>
      <c r="AR1690" s="170">
        <v>41</v>
      </c>
      <c r="BX1690" s="165">
        <v>107</v>
      </c>
      <c r="BY1690" s="167">
        <v>82.218309859154928</v>
      </c>
      <c r="BZ1690" s="168">
        <v>0.9</v>
      </c>
      <c r="CA1690" s="169">
        <v>6.8</v>
      </c>
      <c r="CB1690" s="170">
        <v>59</v>
      </c>
      <c r="DB1690" s="165">
        <v>93</v>
      </c>
      <c r="DC1690" s="167">
        <v>99.512195121951223</v>
      </c>
      <c r="DD1690" s="168">
        <v>2.6</v>
      </c>
      <c r="DE1690" s="169">
        <v>10.199999999999999</v>
      </c>
      <c r="DF1690" s="170">
        <v>76</v>
      </c>
    </row>
    <row r="1691" spans="39:110" hidden="1" x14ac:dyDescent="0.2">
      <c r="AM1691" s="20">
        <f t="shared" si="46"/>
        <v>16</v>
      </c>
      <c r="AN1691" s="165">
        <v>8</v>
      </c>
      <c r="AO1691" s="167">
        <v>21.302816901408448</v>
      </c>
      <c r="AP1691" s="168">
        <v>-0.8</v>
      </c>
      <c r="AQ1691" s="169">
        <v>3.4</v>
      </c>
      <c r="AR1691" s="170">
        <v>42</v>
      </c>
      <c r="BX1691" s="165">
        <v>106</v>
      </c>
      <c r="BY1691" s="167">
        <v>82.218309859154928</v>
      </c>
      <c r="BZ1691" s="168">
        <v>0.9</v>
      </c>
      <c r="CA1691" s="169">
        <v>6.8</v>
      </c>
      <c r="CB1691" s="170">
        <v>59</v>
      </c>
      <c r="DB1691" s="165">
        <v>94</v>
      </c>
      <c r="DC1691" s="167">
        <v>99.878048780487802</v>
      </c>
      <c r="DD1691" s="168">
        <v>3</v>
      </c>
      <c r="DE1691" s="169">
        <v>11</v>
      </c>
      <c r="DF1691" s="170">
        <v>80</v>
      </c>
    </row>
    <row r="1692" spans="39:110" ht="13.15" hidden="1" thickBot="1" x14ac:dyDescent="0.25">
      <c r="AM1692" s="20">
        <f t="shared" si="46"/>
        <v>17</v>
      </c>
      <c r="AN1692" s="165">
        <v>8.5</v>
      </c>
      <c r="AO1692" s="167">
        <v>24.119718309859156</v>
      </c>
      <c r="AP1692" s="168">
        <v>-0.7</v>
      </c>
      <c r="AQ1692" s="169">
        <v>3.6</v>
      </c>
      <c r="AR1692" s="170">
        <v>43</v>
      </c>
      <c r="BX1692" s="165">
        <v>105</v>
      </c>
      <c r="BY1692" s="167">
        <v>82.218309859154928</v>
      </c>
      <c r="BZ1692" s="168">
        <v>0.9</v>
      </c>
      <c r="CA1692" s="169">
        <v>6.8</v>
      </c>
      <c r="CB1692" s="170">
        <v>59</v>
      </c>
      <c r="DB1692" s="172">
        <v>95</v>
      </c>
      <c r="DC1692" s="173">
        <v>99.878048780487802</v>
      </c>
      <c r="DD1692" s="174">
        <v>3</v>
      </c>
      <c r="DE1692" s="175">
        <v>11</v>
      </c>
      <c r="DF1692" s="176">
        <v>80</v>
      </c>
    </row>
    <row r="1693" spans="39:110" hidden="1" x14ac:dyDescent="0.2">
      <c r="AM1693" s="20">
        <f t="shared" si="46"/>
        <v>18</v>
      </c>
      <c r="AN1693" s="165">
        <v>9</v>
      </c>
      <c r="AO1693" s="167">
        <v>28.87323943661972</v>
      </c>
      <c r="AP1693" s="168">
        <v>-0.6</v>
      </c>
      <c r="AQ1693" s="169">
        <v>3.8</v>
      </c>
      <c r="AR1693" s="170">
        <v>44</v>
      </c>
      <c r="BX1693" s="165">
        <v>104</v>
      </c>
      <c r="BY1693" s="167">
        <v>82.218309859154928</v>
      </c>
      <c r="BZ1693" s="168">
        <v>0.9</v>
      </c>
      <c r="CA1693" s="169">
        <v>6.8</v>
      </c>
      <c r="CB1693" s="170">
        <v>59</v>
      </c>
    </row>
    <row r="1694" spans="39:110" ht="13.15" hidden="1" thickBot="1" x14ac:dyDescent="0.25">
      <c r="AM1694" s="20">
        <f t="shared" si="46"/>
        <v>19</v>
      </c>
      <c r="AN1694" s="165">
        <v>9.5</v>
      </c>
      <c r="AO1694" s="167">
        <v>34.242957746478872</v>
      </c>
      <c r="AP1694" s="168">
        <v>-0.4</v>
      </c>
      <c r="AQ1694" s="169">
        <v>4.2</v>
      </c>
      <c r="AR1694" s="170">
        <v>46</v>
      </c>
      <c r="BX1694" s="165">
        <v>103</v>
      </c>
      <c r="BY1694" s="167">
        <v>82.218309859154928</v>
      </c>
      <c r="BZ1694" s="168">
        <v>0.9</v>
      </c>
      <c r="CA1694" s="169">
        <v>6.8</v>
      </c>
      <c r="CB1694" s="170">
        <v>59</v>
      </c>
    </row>
    <row r="1695" spans="39:110" ht="13.15" hidden="1" x14ac:dyDescent="0.25">
      <c r="AM1695" s="20">
        <f t="shared" si="46"/>
        <v>20</v>
      </c>
      <c r="AN1695" s="165">
        <v>10</v>
      </c>
      <c r="AO1695" s="167">
        <v>40.933098591549296</v>
      </c>
      <c r="AP1695" s="168">
        <v>-0.2</v>
      </c>
      <c r="AQ1695" s="169">
        <v>4.5999999999999996</v>
      </c>
      <c r="AR1695" s="170">
        <v>48</v>
      </c>
      <c r="BX1695" s="165">
        <v>102</v>
      </c>
      <c r="BY1695" s="167">
        <v>82.218309859154928</v>
      </c>
      <c r="BZ1695" s="168">
        <v>0.9</v>
      </c>
      <c r="CA1695" s="169">
        <v>6.8</v>
      </c>
      <c r="CB1695" s="170">
        <v>59</v>
      </c>
      <c r="DB1695" s="138" t="s">
        <v>114</v>
      </c>
      <c r="DC1695" s="139"/>
      <c r="DD1695" s="139"/>
      <c r="DE1695" s="140" t="s">
        <v>215</v>
      </c>
      <c r="DF1695" s="141">
        <v>410</v>
      </c>
    </row>
    <row r="1696" spans="39:110" hidden="1" x14ac:dyDescent="0.2">
      <c r="AM1696" s="20">
        <f t="shared" si="46"/>
        <v>21</v>
      </c>
      <c r="AN1696" s="165">
        <v>10.5</v>
      </c>
      <c r="AO1696" s="167">
        <v>47.7112676056338</v>
      </c>
      <c r="AP1696" s="168">
        <v>-0.1</v>
      </c>
      <c r="AQ1696" s="169">
        <v>4.8</v>
      </c>
      <c r="AR1696" s="170">
        <v>49</v>
      </c>
      <c r="BX1696" s="165">
        <v>101</v>
      </c>
      <c r="BY1696" s="167">
        <v>82.218309859154928</v>
      </c>
      <c r="BZ1696" s="168">
        <v>0.9</v>
      </c>
      <c r="CA1696" s="169">
        <v>6.8</v>
      </c>
      <c r="CB1696" s="170">
        <v>59</v>
      </c>
      <c r="DB1696" s="144" t="s">
        <v>161</v>
      </c>
      <c r="DD1696" s="20" t="s">
        <v>162</v>
      </c>
      <c r="DF1696" s="145"/>
    </row>
    <row r="1697" spans="39:110" ht="13.15" hidden="1" thickBot="1" x14ac:dyDescent="0.25">
      <c r="AM1697" s="20">
        <f t="shared" si="46"/>
        <v>22</v>
      </c>
      <c r="AN1697" s="165">
        <v>11</v>
      </c>
      <c r="AO1697" s="167">
        <v>54.137323943661976</v>
      </c>
      <c r="AP1697" s="168">
        <v>0.1</v>
      </c>
      <c r="AQ1697" s="169">
        <v>5.2</v>
      </c>
      <c r="AR1697" s="170">
        <v>51</v>
      </c>
      <c r="BX1697" s="165">
        <v>100</v>
      </c>
      <c r="BY1697" s="167">
        <v>82.218309859154928</v>
      </c>
      <c r="BZ1697" s="168">
        <v>0.9</v>
      </c>
      <c r="CA1697" s="169">
        <v>6.8</v>
      </c>
      <c r="CB1697" s="170">
        <v>59</v>
      </c>
      <c r="DB1697" s="181" t="s">
        <v>270</v>
      </c>
      <c r="DC1697" s="148"/>
      <c r="DD1697" s="148"/>
      <c r="DE1697" s="148"/>
      <c r="DF1697" s="149"/>
    </row>
    <row r="1698" spans="39:110" ht="13.15" hidden="1" thickBot="1" x14ac:dyDescent="0.25">
      <c r="AM1698" s="20">
        <f t="shared" si="46"/>
        <v>23</v>
      </c>
      <c r="AN1698" s="165">
        <v>11.5</v>
      </c>
      <c r="AO1698" s="167">
        <v>59.859154929577464</v>
      </c>
      <c r="AP1698" s="168">
        <v>0.2</v>
      </c>
      <c r="AQ1698" s="169">
        <v>5.4</v>
      </c>
      <c r="AR1698" s="170">
        <v>52</v>
      </c>
      <c r="BX1698" s="165">
        <v>99</v>
      </c>
      <c r="BY1698" s="167">
        <v>87.5</v>
      </c>
      <c r="BZ1698" s="168">
        <v>1.2</v>
      </c>
      <c r="CA1698" s="169">
        <v>7.4</v>
      </c>
      <c r="CB1698" s="170">
        <v>62</v>
      </c>
      <c r="DB1698" s="150" t="s">
        <v>164</v>
      </c>
      <c r="DC1698" s="151" t="s">
        <v>271</v>
      </c>
      <c r="DD1698" s="152"/>
      <c r="DE1698" s="152"/>
      <c r="DF1698" s="153"/>
    </row>
    <row r="1699" spans="39:110" ht="13.15" hidden="1" thickBot="1" x14ac:dyDescent="0.25">
      <c r="AM1699" s="20">
        <f t="shared" si="46"/>
        <v>24</v>
      </c>
      <c r="AN1699" s="165">
        <v>12</v>
      </c>
      <c r="AO1699" s="167">
        <v>65.404929577464785</v>
      </c>
      <c r="AP1699" s="168">
        <v>0.4</v>
      </c>
      <c r="AQ1699" s="169">
        <v>5.8</v>
      </c>
      <c r="AR1699" s="170">
        <v>54</v>
      </c>
      <c r="BX1699" s="165">
        <v>98</v>
      </c>
      <c r="BY1699" s="167">
        <v>87.5</v>
      </c>
      <c r="BZ1699" s="168">
        <v>1.2</v>
      </c>
      <c r="CA1699" s="169">
        <v>7.4</v>
      </c>
      <c r="CB1699" s="170">
        <v>62</v>
      </c>
      <c r="DB1699" s="155" t="s">
        <v>10</v>
      </c>
      <c r="DC1699" s="158" t="s">
        <v>13</v>
      </c>
      <c r="DD1699" s="156" t="s">
        <v>14</v>
      </c>
      <c r="DE1699" s="156" t="s">
        <v>15</v>
      </c>
      <c r="DF1699" s="159" t="s">
        <v>16</v>
      </c>
    </row>
    <row r="1700" spans="39:110" hidden="1" x14ac:dyDescent="0.2">
      <c r="AM1700" s="20">
        <f t="shared" si="46"/>
        <v>25</v>
      </c>
      <c r="AN1700" s="165">
        <v>12.5</v>
      </c>
      <c r="AO1700" s="167">
        <v>70.686619718309856</v>
      </c>
      <c r="AP1700" s="168">
        <v>0.5</v>
      </c>
      <c r="AQ1700" s="169">
        <v>6</v>
      </c>
      <c r="AR1700" s="170">
        <v>55</v>
      </c>
      <c r="BX1700" s="165">
        <v>97</v>
      </c>
      <c r="BY1700" s="167">
        <v>87.5</v>
      </c>
      <c r="BZ1700" s="168">
        <v>1.2</v>
      </c>
      <c r="CA1700" s="169">
        <v>7.4</v>
      </c>
      <c r="CB1700" s="170">
        <v>62</v>
      </c>
      <c r="DB1700" s="160">
        <v>8</v>
      </c>
      <c r="DC1700" s="161">
        <v>0.12195121951219512</v>
      </c>
      <c r="DD1700" s="162">
        <v>-3</v>
      </c>
      <c r="DE1700" s="163">
        <v>-1</v>
      </c>
      <c r="DF1700" s="164">
        <v>20</v>
      </c>
    </row>
    <row r="1701" spans="39:110" hidden="1" x14ac:dyDescent="0.2">
      <c r="AM1701" s="20">
        <f t="shared" si="46"/>
        <v>26</v>
      </c>
      <c r="AN1701" s="165">
        <v>13</v>
      </c>
      <c r="AO1701" s="167">
        <v>76.760563380281681</v>
      </c>
      <c r="AP1701" s="168">
        <v>0.7</v>
      </c>
      <c r="AQ1701" s="169">
        <v>6.4</v>
      </c>
      <c r="AR1701" s="170">
        <v>57</v>
      </c>
      <c r="BX1701" s="165">
        <v>96</v>
      </c>
      <c r="BY1701" s="167">
        <v>87.5</v>
      </c>
      <c r="BZ1701" s="168">
        <v>1.2</v>
      </c>
      <c r="CA1701" s="169">
        <v>7.4</v>
      </c>
      <c r="CB1701" s="170">
        <v>62</v>
      </c>
      <c r="DB1701" s="165">
        <v>9</v>
      </c>
      <c r="DC1701" s="167">
        <v>0.48780487804878048</v>
      </c>
      <c r="DD1701" s="168">
        <v>-2.6</v>
      </c>
      <c r="DE1701" s="169">
        <v>-0.2</v>
      </c>
      <c r="DF1701" s="170">
        <v>24</v>
      </c>
    </row>
    <row r="1702" spans="39:110" hidden="1" x14ac:dyDescent="0.2">
      <c r="AM1702" s="20">
        <f t="shared" si="46"/>
        <v>27</v>
      </c>
      <c r="AN1702" s="165">
        <v>13.5</v>
      </c>
      <c r="AO1702" s="167">
        <v>82.83450704225352</v>
      </c>
      <c r="AP1702" s="168">
        <v>0.9</v>
      </c>
      <c r="AQ1702" s="169">
        <v>6.8</v>
      </c>
      <c r="AR1702" s="170">
        <v>59</v>
      </c>
      <c r="BX1702" s="165">
        <v>95</v>
      </c>
      <c r="BY1702" s="167">
        <v>87.5</v>
      </c>
      <c r="BZ1702" s="168">
        <v>1.2</v>
      </c>
      <c r="CA1702" s="169">
        <v>7.4</v>
      </c>
      <c r="CB1702" s="170">
        <v>62</v>
      </c>
      <c r="DB1702" s="165">
        <v>10</v>
      </c>
      <c r="DC1702" s="167">
        <v>0.48780487804878048</v>
      </c>
      <c r="DD1702" s="168">
        <v>-2.6</v>
      </c>
      <c r="DE1702" s="169">
        <v>-0.2</v>
      </c>
      <c r="DF1702" s="170">
        <v>24</v>
      </c>
    </row>
    <row r="1703" spans="39:110" hidden="1" x14ac:dyDescent="0.2">
      <c r="AM1703" s="20">
        <f t="shared" si="46"/>
        <v>28</v>
      </c>
      <c r="AN1703" s="165">
        <v>14</v>
      </c>
      <c r="AO1703" s="167">
        <v>87.940140845070431</v>
      </c>
      <c r="AP1703" s="168">
        <v>1.2</v>
      </c>
      <c r="AQ1703" s="169">
        <v>7.4</v>
      </c>
      <c r="AR1703" s="170">
        <v>62</v>
      </c>
      <c r="BX1703" s="165">
        <v>94</v>
      </c>
      <c r="BY1703" s="167">
        <v>87.5</v>
      </c>
      <c r="BZ1703" s="168">
        <v>1.2</v>
      </c>
      <c r="CA1703" s="169">
        <v>7.4</v>
      </c>
      <c r="CB1703" s="170">
        <v>62</v>
      </c>
      <c r="DB1703" s="165">
        <v>11</v>
      </c>
      <c r="DC1703" s="167">
        <v>0.85365853658536595</v>
      </c>
      <c r="DD1703" s="168">
        <v>-2.4</v>
      </c>
      <c r="DE1703" s="169">
        <v>0.2</v>
      </c>
      <c r="DF1703" s="170">
        <v>26</v>
      </c>
    </row>
    <row r="1704" spans="39:110" hidden="1" x14ac:dyDescent="0.2">
      <c r="AM1704" s="20">
        <f t="shared" si="46"/>
        <v>29</v>
      </c>
      <c r="AN1704" s="165">
        <v>14.5</v>
      </c>
      <c r="AO1704" s="167">
        <v>92.693661971830991</v>
      </c>
      <c r="AP1704" s="168">
        <v>1.5</v>
      </c>
      <c r="AQ1704" s="169">
        <v>8</v>
      </c>
      <c r="AR1704" s="170">
        <v>65</v>
      </c>
      <c r="BX1704" s="165">
        <v>93</v>
      </c>
      <c r="BY1704" s="167">
        <v>87.5</v>
      </c>
      <c r="BZ1704" s="168">
        <v>1.2</v>
      </c>
      <c r="CA1704" s="169">
        <v>7.4</v>
      </c>
      <c r="CB1704" s="170">
        <v>62</v>
      </c>
      <c r="DB1704" s="165">
        <v>12</v>
      </c>
      <c r="DC1704" s="167">
        <v>1.3414634146341464</v>
      </c>
      <c r="DD1704" s="168">
        <v>-2.2000000000000002</v>
      </c>
      <c r="DE1704" s="169">
        <v>0.6</v>
      </c>
      <c r="DF1704" s="170">
        <v>28</v>
      </c>
    </row>
    <row r="1705" spans="39:110" ht="13.15" hidden="1" thickBot="1" x14ac:dyDescent="0.25">
      <c r="AM1705" s="20">
        <f t="shared" si="46"/>
        <v>30</v>
      </c>
      <c r="AN1705" s="172">
        <v>15</v>
      </c>
      <c r="AO1705" s="173">
        <v>96.390845070422543</v>
      </c>
      <c r="AP1705" s="174">
        <v>1.8</v>
      </c>
      <c r="AQ1705" s="175">
        <v>8.6</v>
      </c>
      <c r="AR1705" s="176">
        <v>68</v>
      </c>
      <c r="BX1705" s="165">
        <v>92</v>
      </c>
      <c r="BY1705" s="167">
        <v>87.5</v>
      </c>
      <c r="BZ1705" s="168">
        <v>1.2</v>
      </c>
      <c r="CA1705" s="169">
        <v>7.4</v>
      </c>
      <c r="CB1705" s="170">
        <v>62</v>
      </c>
      <c r="DB1705" s="165">
        <v>13</v>
      </c>
      <c r="DC1705" s="167">
        <v>2.4390243902439024</v>
      </c>
      <c r="DD1705" s="168">
        <v>-2</v>
      </c>
      <c r="DE1705" s="169">
        <v>1</v>
      </c>
      <c r="DF1705" s="170">
        <v>30</v>
      </c>
    </row>
    <row r="1706" spans="39:110" hidden="1" x14ac:dyDescent="0.2">
      <c r="BX1706" s="165">
        <v>91</v>
      </c>
      <c r="BY1706" s="167">
        <v>87.5</v>
      </c>
      <c r="BZ1706" s="168">
        <v>1.2</v>
      </c>
      <c r="CA1706" s="169">
        <v>7.4</v>
      </c>
      <c r="CB1706" s="170">
        <v>62</v>
      </c>
      <c r="DB1706" s="165">
        <v>14</v>
      </c>
      <c r="DC1706" s="167">
        <v>3.6585365853658534</v>
      </c>
      <c r="DD1706" s="168">
        <v>-1.8</v>
      </c>
      <c r="DE1706" s="169">
        <v>1.4</v>
      </c>
      <c r="DF1706" s="170">
        <v>32</v>
      </c>
    </row>
    <row r="1707" spans="39:110" ht="13.15" hidden="1" thickBot="1" x14ac:dyDescent="0.25">
      <c r="BX1707" s="165">
        <v>90</v>
      </c>
      <c r="BY1707" s="167">
        <v>87.5</v>
      </c>
      <c r="BZ1707" s="168">
        <v>1.2</v>
      </c>
      <c r="CA1707" s="169">
        <v>7.4</v>
      </c>
      <c r="CB1707" s="170">
        <v>62</v>
      </c>
      <c r="DB1707" s="165">
        <v>15</v>
      </c>
      <c r="DC1707" s="167">
        <v>4.5121951219512191</v>
      </c>
      <c r="DD1707" s="168">
        <v>-1.7</v>
      </c>
      <c r="DE1707" s="169">
        <v>1.6</v>
      </c>
      <c r="DF1707" s="170">
        <v>33</v>
      </c>
    </row>
    <row r="1708" spans="39:110" ht="13.15" hidden="1" x14ac:dyDescent="0.25">
      <c r="AN1708" s="138" t="s">
        <v>335</v>
      </c>
      <c r="AO1708" s="139"/>
      <c r="AP1708" s="139"/>
      <c r="AQ1708" s="140" t="s">
        <v>327</v>
      </c>
      <c r="AR1708" s="141">
        <v>568</v>
      </c>
      <c r="BX1708" s="165">
        <v>89</v>
      </c>
      <c r="BY1708" s="167">
        <v>91.813380281690144</v>
      </c>
      <c r="BZ1708" s="168">
        <v>1.4</v>
      </c>
      <c r="CA1708" s="169">
        <v>7.8</v>
      </c>
      <c r="CB1708" s="170">
        <v>64</v>
      </c>
      <c r="DB1708" s="165">
        <v>16</v>
      </c>
      <c r="DC1708" s="167">
        <v>5.2439024390243905</v>
      </c>
      <c r="DD1708" s="168">
        <v>-1.6</v>
      </c>
      <c r="DE1708" s="169">
        <v>1.8</v>
      </c>
      <c r="DF1708" s="170">
        <v>34</v>
      </c>
    </row>
    <row r="1709" spans="39:110" hidden="1" x14ac:dyDescent="0.2">
      <c r="AN1709" s="144" t="s">
        <v>161</v>
      </c>
      <c r="AP1709" s="20" t="s">
        <v>336</v>
      </c>
      <c r="AR1709" s="145"/>
      <c r="BX1709" s="165">
        <v>88</v>
      </c>
      <c r="BY1709" s="167">
        <v>91.813380281690144</v>
      </c>
      <c r="BZ1709" s="168">
        <v>1.4</v>
      </c>
      <c r="CA1709" s="169">
        <v>7.8</v>
      </c>
      <c r="CB1709" s="170">
        <v>64</v>
      </c>
      <c r="DB1709" s="165">
        <v>17</v>
      </c>
      <c r="DC1709" s="167">
        <v>6.3414634146341466</v>
      </c>
      <c r="DD1709" s="168">
        <v>-1.5</v>
      </c>
      <c r="DE1709" s="169">
        <v>2</v>
      </c>
      <c r="DF1709" s="170">
        <v>35</v>
      </c>
    </row>
    <row r="1710" spans="39:110" ht="13.15" hidden="1" thickBot="1" x14ac:dyDescent="0.25">
      <c r="AN1710" s="181" t="s">
        <v>338</v>
      </c>
      <c r="AO1710" s="148"/>
      <c r="AP1710" s="148"/>
      <c r="AQ1710" s="148"/>
      <c r="AR1710" s="149"/>
      <c r="BX1710" s="165">
        <v>87</v>
      </c>
      <c r="BY1710" s="167">
        <v>91.813380281690144</v>
      </c>
      <c r="BZ1710" s="168">
        <v>1.4</v>
      </c>
      <c r="CA1710" s="169">
        <v>7.8</v>
      </c>
      <c r="CB1710" s="170">
        <v>64</v>
      </c>
      <c r="DB1710" s="165">
        <v>18</v>
      </c>
      <c r="DC1710" s="167">
        <v>7.4390243902439019</v>
      </c>
      <c r="DD1710" s="168">
        <v>-1.4</v>
      </c>
      <c r="DE1710" s="169">
        <v>2.2000000000000002</v>
      </c>
      <c r="DF1710" s="170">
        <v>36</v>
      </c>
    </row>
    <row r="1711" spans="39:110" ht="13.15" hidden="1" thickBot="1" x14ac:dyDescent="0.25">
      <c r="AN1711" s="150" t="s">
        <v>164</v>
      </c>
      <c r="AO1711" s="151" t="s">
        <v>334</v>
      </c>
      <c r="AP1711" s="152"/>
      <c r="AQ1711" s="152"/>
      <c r="AR1711" s="153"/>
      <c r="BX1711" s="165">
        <v>86</v>
      </c>
      <c r="BY1711" s="167">
        <v>91.813380281690144</v>
      </c>
      <c r="BZ1711" s="168">
        <v>1.4</v>
      </c>
      <c r="CA1711" s="169">
        <v>7.8</v>
      </c>
      <c r="CB1711" s="170">
        <v>64</v>
      </c>
      <c r="DB1711" s="165">
        <v>19</v>
      </c>
      <c r="DC1711" s="167">
        <v>8.536585365853659</v>
      </c>
      <c r="DD1711" s="168">
        <v>-1.4</v>
      </c>
      <c r="DE1711" s="169">
        <v>2.2000000000000002</v>
      </c>
      <c r="DF1711" s="170">
        <v>36</v>
      </c>
    </row>
    <row r="1712" spans="39:110" ht="13.15" hidden="1" thickBot="1" x14ac:dyDescent="0.25">
      <c r="AN1712" s="155" t="s">
        <v>10</v>
      </c>
      <c r="AO1712" s="156" t="s">
        <v>13</v>
      </c>
      <c r="AP1712" s="156" t="s">
        <v>14</v>
      </c>
      <c r="AQ1712" s="156" t="s">
        <v>15</v>
      </c>
      <c r="AR1712" s="159" t="s">
        <v>16</v>
      </c>
      <c r="BX1712" s="165">
        <v>85</v>
      </c>
      <c r="BY1712" s="167">
        <v>91.813380281690144</v>
      </c>
      <c r="BZ1712" s="168">
        <v>1.4</v>
      </c>
      <c r="CA1712" s="169">
        <v>7.8</v>
      </c>
      <c r="CB1712" s="170">
        <v>64</v>
      </c>
      <c r="DB1712" s="165">
        <v>20</v>
      </c>
      <c r="DC1712" s="167">
        <v>10.121951219512196</v>
      </c>
      <c r="DD1712" s="168">
        <v>-1.3</v>
      </c>
      <c r="DE1712" s="169">
        <v>2.4</v>
      </c>
      <c r="DF1712" s="170">
        <v>37</v>
      </c>
    </row>
    <row r="1713" spans="39:110" hidden="1" x14ac:dyDescent="0.2">
      <c r="AM1713" s="20">
        <f t="shared" ref="AM1713:AM1743" si="47">AN1713*2</f>
        <v>0</v>
      </c>
      <c r="AN1713" s="160">
        <v>0</v>
      </c>
      <c r="AO1713" s="161">
        <v>0</v>
      </c>
      <c r="AP1713" s="162">
        <v>-3.1</v>
      </c>
      <c r="AQ1713" s="163">
        <v>-1.2</v>
      </c>
      <c r="AR1713" s="164">
        <v>19</v>
      </c>
      <c r="BX1713" s="165">
        <v>84</v>
      </c>
      <c r="BY1713" s="167">
        <v>91.813380281690144</v>
      </c>
      <c r="BZ1713" s="168">
        <v>1.4</v>
      </c>
      <c r="CA1713" s="169">
        <v>7.8</v>
      </c>
      <c r="CB1713" s="170">
        <v>64</v>
      </c>
      <c r="DB1713" s="165">
        <v>21</v>
      </c>
      <c r="DC1713" s="167">
        <v>11.341463414634147</v>
      </c>
      <c r="DD1713" s="168">
        <v>-1.2</v>
      </c>
      <c r="DE1713" s="169">
        <v>2.6</v>
      </c>
      <c r="DF1713" s="170">
        <v>38</v>
      </c>
    </row>
    <row r="1714" spans="39:110" hidden="1" x14ac:dyDescent="0.2">
      <c r="AM1714" s="20">
        <f t="shared" si="47"/>
        <v>1</v>
      </c>
      <c r="AN1714" s="165">
        <v>0.5</v>
      </c>
      <c r="AO1714" s="167">
        <v>8.8028169014084515E-2</v>
      </c>
      <c r="AP1714" s="168">
        <v>-3</v>
      </c>
      <c r="AQ1714" s="169">
        <v>-1</v>
      </c>
      <c r="AR1714" s="170">
        <v>20</v>
      </c>
      <c r="BX1714" s="165">
        <v>83</v>
      </c>
      <c r="BY1714" s="167">
        <v>91.813380281690144</v>
      </c>
      <c r="BZ1714" s="168">
        <v>1.4</v>
      </c>
      <c r="CA1714" s="169">
        <v>7.8</v>
      </c>
      <c r="CB1714" s="170">
        <v>64</v>
      </c>
      <c r="DB1714" s="165">
        <v>22</v>
      </c>
      <c r="DC1714" s="167">
        <v>12.073170731707316</v>
      </c>
      <c r="DD1714" s="168">
        <v>-1.2</v>
      </c>
      <c r="DE1714" s="169">
        <v>2.6</v>
      </c>
      <c r="DF1714" s="170">
        <v>38</v>
      </c>
    </row>
    <row r="1715" spans="39:110" hidden="1" x14ac:dyDescent="0.2">
      <c r="AM1715" s="20">
        <f t="shared" si="47"/>
        <v>2</v>
      </c>
      <c r="AN1715" s="165">
        <v>1</v>
      </c>
      <c r="AO1715" s="167">
        <v>0.17605633802816903</v>
      </c>
      <c r="AP1715" s="168">
        <v>-2.9</v>
      </c>
      <c r="AQ1715" s="169">
        <v>-0.8</v>
      </c>
      <c r="AR1715" s="170">
        <v>21</v>
      </c>
      <c r="BX1715" s="165">
        <v>82</v>
      </c>
      <c r="BY1715" s="167">
        <v>91.813380281690144</v>
      </c>
      <c r="BZ1715" s="168">
        <v>1.4</v>
      </c>
      <c r="CA1715" s="169">
        <v>7.8</v>
      </c>
      <c r="CB1715" s="170">
        <v>64</v>
      </c>
      <c r="DB1715" s="165">
        <v>23</v>
      </c>
      <c r="DC1715" s="167">
        <v>13.780487804878049</v>
      </c>
      <c r="DD1715" s="168">
        <v>-1.1000000000000001</v>
      </c>
      <c r="DE1715" s="169">
        <v>2.8</v>
      </c>
      <c r="DF1715" s="170">
        <v>39</v>
      </c>
    </row>
    <row r="1716" spans="39:110" hidden="1" x14ac:dyDescent="0.2">
      <c r="AM1716" s="20">
        <f t="shared" si="47"/>
        <v>3</v>
      </c>
      <c r="AN1716" s="165">
        <v>1.5</v>
      </c>
      <c r="AO1716" s="167">
        <v>0.17605633802816903</v>
      </c>
      <c r="AP1716" s="168">
        <v>-2.9</v>
      </c>
      <c r="AQ1716" s="169">
        <v>-0.8</v>
      </c>
      <c r="AR1716" s="170">
        <v>21</v>
      </c>
      <c r="BX1716" s="165">
        <v>81</v>
      </c>
      <c r="BY1716" s="167">
        <v>91.813380281690144</v>
      </c>
      <c r="BZ1716" s="168">
        <v>1.4</v>
      </c>
      <c r="CA1716" s="169">
        <v>7.8</v>
      </c>
      <c r="CB1716" s="170">
        <v>64</v>
      </c>
      <c r="DB1716" s="165">
        <v>24</v>
      </c>
      <c r="DC1716" s="167">
        <v>15.609756097560975</v>
      </c>
      <c r="DD1716" s="168">
        <v>-1</v>
      </c>
      <c r="DE1716" s="169">
        <v>3</v>
      </c>
      <c r="DF1716" s="170">
        <v>40</v>
      </c>
    </row>
    <row r="1717" spans="39:110" hidden="1" x14ac:dyDescent="0.2">
      <c r="AM1717" s="20">
        <f t="shared" si="47"/>
        <v>4</v>
      </c>
      <c r="AN1717" s="165">
        <v>2</v>
      </c>
      <c r="AO1717" s="167">
        <v>0.2640845070422535</v>
      </c>
      <c r="AP1717" s="168">
        <v>-2.8</v>
      </c>
      <c r="AQ1717" s="169">
        <v>-0.6</v>
      </c>
      <c r="AR1717" s="170">
        <v>22</v>
      </c>
      <c r="BX1717" s="165">
        <v>80</v>
      </c>
      <c r="BY1717" s="167">
        <v>91.813380281690144</v>
      </c>
      <c r="BZ1717" s="168">
        <v>1.4</v>
      </c>
      <c r="CA1717" s="169">
        <v>7.8</v>
      </c>
      <c r="CB1717" s="170">
        <v>64</v>
      </c>
      <c r="DB1717" s="165">
        <v>25</v>
      </c>
      <c r="DC1717" s="167">
        <v>16.829268292682929</v>
      </c>
      <c r="DD1717" s="168">
        <v>-1</v>
      </c>
      <c r="DE1717" s="169">
        <v>3</v>
      </c>
      <c r="DF1717" s="170">
        <v>40</v>
      </c>
    </row>
    <row r="1718" spans="39:110" hidden="1" x14ac:dyDescent="0.2">
      <c r="AM1718" s="20">
        <f t="shared" si="47"/>
        <v>5</v>
      </c>
      <c r="AN1718" s="165">
        <v>2.5</v>
      </c>
      <c r="AO1718" s="167">
        <v>0.35211267605633806</v>
      </c>
      <c r="AP1718" s="168">
        <v>-2.7</v>
      </c>
      <c r="AQ1718" s="169">
        <v>-0.4</v>
      </c>
      <c r="AR1718" s="170">
        <v>23</v>
      </c>
      <c r="BX1718" s="165">
        <v>79</v>
      </c>
      <c r="BY1718" s="167">
        <v>95.686619718309856</v>
      </c>
      <c r="BZ1718" s="168">
        <v>1.7</v>
      </c>
      <c r="CA1718" s="169">
        <v>8.4</v>
      </c>
      <c r="CB1718" s="170">
        <v>67</v>
      </c>
      <c r="DB1718" s="165">
        <v>26</v>
      </c>
      <c r="DC1718" s="167">
        <v>18.414634146341463</v>
      </c>
      <c r="DD1718" s="168">
        <v>-0.9</v>
      </c>
      <c r="DE1718" s="169">
        <v>3.2</v>
      </c>
      <c r="DF1718" s="170">
        <v>41</v>
      </c>
    </row>
    <row r="1719" spans="39:110" hidden="1" x14ac:dyDescent="0.2">
      <c r="AM1719" s="20">
        <f t="shared" si="47"/>
        <v>6</v>
      </c>
      <c r="AN1719" s="165">
        <v>3</v>
      </c>
      <c r="AO1719" s="167">
        <v>0.528169014084507</v>
      </c>
      <c r="AP1719" s="168">
        <v>-2.6</v>
      </c>
      <c r="AQ1719" s="169">
        <v>-0.2</v>
      </c>
      <c r="AR1719" s="170">
        <v>24</v>
      </c>
      <c r="BX1719" s="165">
        <v>78</v>
      </c>
      <c r="BY1719" s="167">
        <v>95.686619718309856</v>
      </c>
      <c r="BZ1719" s="168">
        <v>1.7</v>
      </c>
      <c r="CA1719" s="169">
        <v>8.4</v>
      </c>
      <c r="CB1719" s="170">
        <v>67</v>
      </c>
      <c r="DB1719" s="165">
        <v>27</v>
      </c>
      <c r="DC1719" s="167">
        <v>19.634146341463417</v>
      </c>
      <c r="DD1719" s="168">
        <v>-0.9</v>
      </c>
      <c r="DE1719" s="169">
        <v>3.2</v>
      </c>
      <c r="DF1719" s="170">
        <v>41</v>
      </c>
    </row>
    <row r="1720" spans="39:110" hidden="1" x14ac:dyDescent="0.2">
      <c r="AM1720" s="20">
        <f t="shared" si="47"/>
        <v>7</v>
      </c>
      <c r="AN1720" s="165">
        <v>3.5</v>
      </c>
      <c r="AO1720" s="167">
        <v>0.79225352112676051</v>
      </c>
      <c r="AP1720" s="168">
        <v>-2.4</v>
      </c>
      <c r="AQ1720" s="169">
        <v>0.2</v>
      </c>
      <c r="AR1720" s="170">
        <v>26</v>
      </c>
      <c r="BX1720" s="165">
        <v>77</v>
      </c>
      <c r="BY1720" s="167">
        <v>95.686619718309856</v>
      </c>
      <c r="BZ1720" s="168">
        <v>1.7</v>
      </c>
      <c r="CA1720" s="169">
        <v>8.4</v>
      </c>
      <c r="CB1720" s="170">
        <v>67</v>
      </c>
      <c r="DB1720" s="165">
        <v>28</v>
      </c>
      <c r="DC1720" s="167">
        <v>20.609756097560975</v>
      </c>
      <c r="DD1720" s="168">
        <v>-0.8</v>
      </c>
      <c r="DE1720" s="169">
        <v>3.4</v>
      </c>
      <c r="DF1720" s="170">
        <v>42</v>
      </c>
    </row>
    <row r="1721" spans="39:110" hidden="1" x14ac:dyDescent="0.2">
      <c r="AM1721" s="20">
        <f t="shared" si="47"/>
        <v>8</v>
      </c>
      <c r="AN1721" s="165">
        <v>4</v>
      </c>
      <c r="AO1721" s="167">
        <v>1.3204225352112675</v>
      </c>
      <c r="AP1721" s="168">
        <v>-2.2000000000000002</v>
      </c>
      <c r="AQ1721" s="169">
        <v>0.6</v>
      </c>
      <c r="AR1721" s="170">
        <v>28</v>
      </c>
      <c r="BX1721" s="165">
        <v>76</v>
      </c>
      <c r="BY1721" s="167">
        <v>95.686619718309856</v>
      </c>
      <c r="BZ1721" s="168">
        <v>1.7</v>
      </c>
      <c r="CA1721" s="169">
        <v>8.4</v>
      </c>
      <c r="CB1721" s="170">
        <v>67</v>
      </c>
      <c r="DB1721" s="165">
        <v>29</v>
      </c>
      <c r="DC1721" s="167">
        <v>21.951219512195124</v>
      </c>
      <c r="DD1721" s="168">
        <v>-0.8</v>
      </c>
      <c r="DE1721" s="169">
        <v>3.4</v>
      </c>
      <c r="DF1721" s="170">
        <v>42</v>
      </c>
    </row>
    <row r="1722" spans="39:110" hidden="1" x14ac:dyDescent="0.2">
      <c r="AM1722" s="20">
        <f t="shared" si="47"/>
        <v>9</v>
      </c>
      <c r="AN1722" s="165">
        <v>4.5</v>
      </c>
      <c r="AO1722" s="167">
        <v>2.024647887323944</v>
      </c>
      <c r="AP1722" s="168">
        <v>-2.1</v>
      </c>
      <c r="AQ1722" s="169">
        <v>0.8</v>
      </c>
      <c r="AR1722" s="170">
        <v>29</v>
      </c>
      <c r="BX1722" s="165">
        <v>75</v>
      </c>
      <c r="BY1722" s="167">
        <v>95.686619718309856</v>
      </c>
      <c r="BZ1722" s="168">
        <v>1.7</v>
      </c>
      <c r="CA1722" s="169">
        <v>8.4</v>
      </c>
      <c r="CB1722" s="170">
        <v>67</v>
      </c>
      <c r="DB1722" s="165">
        <v>30</v>
      </c>
      <c r="DC1722" s="167">
        <v>23.292682926829269</v>
      </c>
      <c r="DD1722" s="168">
        <v>-0.7</v>
      </c>
      <c r="DE1722" s="169">
        <v>3.6</v>
      </c>
      <c r="DF1722" s="170">
        <v>43</v>
      </c>
    </row>
    <row r="1723" spans="39:110" hidden="1" x14ac:dyDescent="0.2">
      <c r="AM1723" s="20">
        <f t="shared" si="47"/>
        <v>10</v>
      </c>
      <c r="AN1723" s="165">
        <v>5</v>
      </c>
      <c r="AO1723" s="167">
        <v>2.8169014084507045</v>
      </c>
      <c r="AP1723" s="168">
        <v>-1.9</v>
      </c>
      <c r="AQ1723" s="169">
        <v>1.2</v>
      </c>
      <c r="AR1723" s="170">
        <v>31</v>
      </c>
      <c r="BX1723" s="165">
        <v>74</v>
      </c>
      <c r="BY1723" s="167">
        <v>95.686619718309856</v>
      </c>
      <c r="BZ1723" s="168">
        <v>1.7</v>
      </c>
      <c r="CA1723" s="169">
        <v>8.4</v>
      </c>
      <c r="CB1723" s="170">
        <v>67</v>
      </c>
      <c r="DB1723" s="165">
        <v>31</v>
      </c>
      <c r="DC1723" s="167">
        <v>24.756097560975611</v>
      </c>
      <c r="DD1723" s="168">
        <v>-0.7</v>
      </c>
      <c r="DE1723" s="169">
        <v>3.6</v>
      </c>
      <c r="DF1723" s="170">
        <v>43</v>
      </c>
    </row>
    <row r="1724" spans="39:110" hidden="1" x14ac:dyDescent="0.2">
      <c r="AM1724" s="20">
        <f t="shared" si="47"/>
        <v>11</v>
      </c>
      <c r="AN1724" s="165">
        <v>5.5</v>
      </c>
      <c r="AO1724" s="167">
        <v>3.609154929577465</v>
      </c>
      <c r="AP1724" s="168">
        <v>-1.8</v>
      </c>
      <c r="AQ1724" s="169">
        <v>1.4</v>
      </c>
      <c r="AR1724" s="170">
        <v>32</v>
      </c>
      <c r="BX1724" s="165">
        <v>73</v>
      </c>
      <c r="BY1724" s="167">
        <v>95.686619718309856</v>
      </c>
      <c r="BZ1724" s="168">
        <v>1.7</v>
      </c>
      <c r="CA1724" s="169">
        <v>8.4</v>
      </c>
      <c r="CB1724" s="170">
        <v>67</v>
      </c>
      <c r="DB1724" s="165">
        <v>32</v>
      </c>
      <c r="DC1724" s="167">
        <v>25.975609756097562</v>
      </c>
      <c r="DD1724" s="168">
        <v>-0.6</v>
      </c>
      <c r="DE1724" s="169">
        <v>3.8</v>
      </c>
      <c r="DF1724" s="170">
        <v>44</v>
      </c>
    </row>
    <row r="1725" spans="39:110" hidden="1" x14ac:dyDescent="0.2">
      <c r="AM1725" s="20">
        <f t="shared" si="47"/>
        <v>12</v>
      </c>
      <c r="AN1725" s="165">
        <v>6</v>
      </c>
      <c r="AO1725" s="167">
        <v>4.753521126760563</v>
      </c>
      <c r="AP1725" s="168">
        <v>-1.7</v>
      </c>
      <c r="AQ1725" s="169">
        <v>1.6</v>
      </c>
      <c r="AR1725" s="170">
        <v>33</v>
      </c>
      <c r="BX1725" s="165">
        <v>72</v>
      </c>
      <c r="BY1725" s="167">
        <v>95.686619718309856</v>
      </c>
      <c r="BZ1725" s="168">
        <v>1.7</v>
      </c>
      <c r="CA1725" s="169">
        <v>8.4</v>
      </c>
      <c r="CB1725" s="170">
        <v>67</v>
      </c>
      <c r="DB1725" s="165">
        <v>33</v>
      </c>
      <c r="DC1725" s="167">
        <v>27.31707317073171</v>
      </c>
      <c r="DD1725" s="168">
        <v>-0.6</v>
      </c>
      <c r="DE1725" s="169">
        <v>3.8</v>
      </c>
      <c r="DF1725" s="170">
        <v>44</v>
      </c>
    </row>
    <row r="1726" spans="39:110" hidden="1" x14ac:dyDescent="0.2">
      <c r="AM1726" s="20">
        <f t="shared" si="47"/>
        <v>13</v>
      </c>
      <c r="AN1726" s="165">
        <v>6.5</v>
      </c>
      <c r="AO1726" s="167">
        <v>5.9859154929577461</v>
      </c>
      <c r="AP1726" s="168">
        <v>-1.6</v>
      </c>
      <c r="AQ1726" s="169">
        <v>1.8</v>
      </c>
      <c r="AR1726" s="170">
        <v>34</v>
      </c>
      <c r="BX1726" s="165">
        <v>71</v>
      </c>
      <c r="BY1726" s="167">
        <v>95.686619718309856</v>
      </c>
      <c r="BZ1726" s="168">
        <v>1.7</v>
      </c>
      <c r="CA1726" s="169">
        <v>8.4</v>
      </c>
      <c r="CB1726" s="170">
        <v>67</v>
      </c>
      <c r="DB1726" s="165">
        <v>34</v>
      </c>
      <c r="DC1726" s="167">
        <v>29.024390243902438</v>
      </c>
      <c r="DD1726" s="168">
        <v>-0.6</v>
      </c>
      <c r="DE1726" s="169">
        <v>3.8</v>
      </c>
      <c r="DF1726" s="170">
        <v>44</v>
      </c>
    </row>
    <row r="1727" spans="39:110" hidden="1" x14ac:dyDescent="0.2">
      <c r="AM1727" s="20">
        <f t="shared" si="47"/>
        <v>14</v>
      </c>
      <c r="AN1727" s="165">
        <v>7</v>
      </c>
      <c r="AO1727" s="167">
        <v>8.1866197183098599</v>
      </c>
      <c r="AP1727" s="168">
        <v>-1.4</v>
      </c>
      <c r="AQ1727" s="169">
        <v>2.2000000000000002</v>
      </c>
      <c r="AR1727" s="170">
        <v>36</v>
      </c>
      <c r="BX1727" s="165">
        <v>70</v>
      </c>
      <c r="BY1727" s="167">
        <v>95.686619718309856</v>
      </c>
      <c r="BZ1727" s="168">
        <v>1.7</v>
      </c>
      <c r="CA1727" s="169">
        <v>8.4</v>
      </c>
      <c r="CB1727" s="170">
        <v>67</v>
      </c>
      <c r="DB1727" s="165">
        <v>35</v>
      </c>
      <c r="DC1727" s="167">
        <v>30.487804878048781</v>
      </c>
      <c r="DD1727" s="168">
        <v>-0.5</v>
      </c>
      <c r="DE1727" s="169">
        <v>4</v>
      </c>
      <c r="DF1727" s="170">
        <v>45</v>
      </c>
    </row>
    <row r="1728" spans="39:110" hidden="1" x14ac:dyDescent="0.2">
      <c r="AM1728" s="20">
        <f t="shared" si="47"/>
        <v>15</v>
      </c>
      <c r="AN1728" s="165">
        <v>7.5</v>
      </c>
      <c r="AO1728" s="167">
        <v>10.915492957746478</v>
      </c>
      <c r="AP1728" s="168">
        <v>-1.2</v>
      </c>
      <c r="AQ1728" s="169">
        <v>2.6</v>
      </c>
      <c r="AR1728" s="170">
        <v>38</v>
      </c>
      <c r="BX1728" s="165">
        <v>69</v>
      </c>
      <c r="BY1728" s="167">
        <v>98.239436619718319</v>
      </c>
      <c r="BZ1728" s="168">
        <v>2.1</v>
      </c>
      <c r="CA1728" s="169">
        <v>9.1999999999999993</v>
      </c>
      <c r="CB1728" s="170">
        <v>71</v>
      </c>
      <c r="DB1728" s="165">
        <v>36</v>
      </c>
      <c r="DC1728" s="167">
        <v>32.073170731707314</v>
      </c>
      <c r="DD1728" s="168">
        <v>-0.5</v>
      </c>
      <c r="DE1728" s="169">
        <v>4</v>
      </c>
      <c r="DF1728" s="170">
        <v>45</v>
      </c>
    </row>
    <row r="1729" spans="39:110" hidden="1" x14ac:dyDescent="0.2">
      <c r="AM1729" s="20">
        <f t="shared" si="47"/>
        <v>16</v>
      </c>
      <c r="AN1729" s="165">
        <v>8</v>
      </c>
      <c r="AO1729" s="167">
        <v>14.524647887323944</v>
      </c>
      <c r="AP1729" s="168">
        <v>-1.1000000000000001</v>
      </c>
      <c r="AQ1729" s="169">
        <v>2.8</v>
      </c>
      <c r="AR1729" s="170">
        <v>39</v>
      </c>
      <c r="BX1729" s="165">
        <v>68</v>
      </c>
      <c r="BY1729" s="167">
        <v>98.239436619718319</v>
      </c>
      <c r="BZ1729" s="168">
        <v>2.1</v>
      </c>
      <c r="CA1729" s="169">
        <v>9.1999999999999993</v>
      </c>
      <c r="CB1729" s="170">
        <v>71</v>
      </c>
      <c r="DB1729" s="165">
        <v>37</v>
      </c>
      <c r="DC1729" s="167">
        <v>33.292682926829272</v>
      </c>
      <c r="DD1729" s="168">
        <v>-0.4</v>
      </c>
      <c r="DE1729" s="169">
        <v>4.2</v>
      </c>
      <c r="DF1729" s="170">
        <v>46</v>
      </c>
    </row>
    <row r="1730" spans="39:110" hidden="1" x14ac:dyDescent="0.2">
      <c r="AM1730" s="20">
        <f t="shared" si="47"/>
        <v>17</v>
      </c>
      <c r="AN1730" s="165">
        <v>8.5</v>
      </c>
      <c r="AO1730" s="167">
        <v>17.95774647887324</v>
      </c>
      <c r="AP1730" s="168">
        <v>-0.9</v>
      </c>
      <c r="AQ1730" s="169">
        <v>3.2</v>
      </c>
      <c r="AR1730" s="170">
        <v>41</v>
      </c>
      <c r="BX1730" s="165">
        <v>67</v>
      </c>
      <c r="BY1730" s="167">
        <v>98.239436619718319</v>
      </c>
      <c r="BZ1730" s="168">
        <v>2.1</v>
      </c>
      <c r="CA1730" s="169">
        <v>9.1999999999999993</v>
      </c>
      <c r="CB1730" s="170">
        <v>71</v>
      </c>
      <c r="DB1730" s="165">
        <v>38</v>
      </c>
      <c r="DC1730" s="167">
        <v>34.756097560975604</v>
      </c>
      <c r="DD1730" s="168">
        <v>-0.4</v>
      </c>
      <c r="DE1730" s="169">
        <v>4.2</v>
      </c>
      <c r="DF1730" s="170">
        <v>46</v>
      </c>
    </row>
    <row r="1731" spans="39:110" hidden="1" x14ac:dyDescent="0.2">
      <c r="AM1731" s="20">
        <f t="shared" si="47"/>
        <v>18</v>
      </c>
      <c r="AN1731" s="165">
        <v>9</v>
      </c>
      <c r="AO1731" s="167">
        <v>21.919014084507044</v>
      </c>
      <c r="AP1731" s="168">
        <v>-0.8</v>
      </c>
      <c r="AQ1731" s="169">
        <v>3.4</v>
      </c>
      <c r="AR1731" s="170">
        <v>42</v>
      </c>
      <c r="BX1731" s="165">
        <v>66</v>
      </c>
      <c r="BY1731" s="167">
        <v>98.239436619718319</v>
      </c>
      <c r="BZ1731" s="168">
        <v>2.1</v>
      </c>
      <c r="CA1731" s="169">
        <v>9.1999999999999993</v>
      </c>
      <c r="CB1731" s="170">
        <v>71</v>
      </c>
      <c r="DB1731" s="165">
        <v>39</v>
      </c>
      <c r="DC1731" s="167">
        <v>36.951219512195124</v>
      </c>
      <c r="DD1731" s="168">
        <v>-0.3</v>
      </c>
      <c r="DE1731" s="169">
        <v>4.4000000000000004</v>
      </c>
      <c r="DF1731" s="170">
        <v>47</v>
      </c>
    </row>
    <row r="1732" spans="39:110" hidden="1" x14ac:dyDescent="0.2">
      <c r="AM1732" s="20">
        <f t="shared" si="47"/>
        <v>19</v>
      </c>
      <c r="AN1732" s="165">
        <v>9.5</v>
      </c>
      <c r="AO1732" s="167">
        <v>26.1443661971831</v>
      </c>
      <c r="AP1732" s="168">
        <v>-0.6</v>
      </c>
      <c r="AQ1732" s="169">
        <v>3.8</v>
      </c>
      <c r="AR1732" s="170">
        <v>44</v>
      </c>
      <c r="BX1732" s="165">
        <v>65</v>
      </c>
      <c r="BY1732" s="167">
        <v>98.239436619718319</v>
      </c>
      <c r="BZ1732" s="168">
        <v>2.1</v>
      </c>
      <c r="CA1732" s="169">
        <v>9.1999999999999993</v>
      </c>
      <c r="CB1732" s="170">
        <v>71</v>
      </c>
      <c r="DB1732" s="165">
        <v>40</v>
      </c>
      <c r="DC1732" s="167">
        <v>38.780487804878049</v>
      </c>
      <c r="DD1732" s="168">
        <v>-0.3</v>
      </c>
      <c r="DE1732" s="169">
        <v>4.4000000000000004</v>
      </c>
      <c r="DF1732" s="170">
        <v>47</v>
      </c>
    </row>
    <row r="1733" spans="39:110" hidden="1" x14ac:dyDescent="0.2">
      <c r="AM1733" s="20">
        <f t="shared" si="47"/>
        <v>20</v>
      </c>
      <c r="AN1733" s="165">
        <v>10</v>
      </c>
      <c r="AO1733" s="167">
        <v>31.073943661971832</v>
      </c>
      <c r="AP1733" s="168">
        <v>-0.5</v>
      </c>
      <c r="AQ1733" s="169">
        <v>4</v>
      </c>
      <c r="AR1733" s="170">
        <v>45</v>
      </c>
      <c r="BX1733" s="165">
        <v>64</v>
      </c>
      <c r="BY1733" s="167">
        <v>98.239436619718319</v>
      </c>
      <c r="BZ1733" s="168">
        <v>2.1</v>
      </c>
      <c r="CA1733" s="169">
        <v>9.1999999999999993</v>
      </c>
      <c r="CB1733" s="170">
        <v>71</v>
      </c>
      <c r="DB1733" s="165">
        <v>41</v>
      </c>
      <c r="DC1733" s="167">
        <v>40.243902439024396</v>
      </c>
      <c r="DD1733" s="168">
        <v>-0.2</v>
      </c>
      <c r="DE1733" s="169">
        <v>4.5999999999999996</v>
      </c>
      <c r="DF1733" s="170">
        <v>48</v>
      </c>
    </row>
    <row r="1734" spans="39:110" hidden="1" x14ac:dyDescent="0.2">
      <c r="AM1734" s="20">
        <f t="shared" si="47"/>
        <v>21</v>
      </c>
      <c r="AN1734" s="165">
        <v>10.5</v>
      </c>
      <c r="AO1734" s="167">
        <v>36.179577464788728</v>
      </c>
      <c r="AP1734" s="168">
        <v>-0.4</v>
      </c>
      <c r="AQ1734" s="169">
        <v>4.2</v>
      </c>
      <c r="AR1734" s="170">
        <v>46</v>
      </c>
      <c r="BX1734" s="165">
        <v>63</v>
      </c>
      <c r="BY1734" s="167">
        <v>98.239436619718319</v>
      </c>
      <c r="BZ1734" s="168">
        <v>2.1</v>
      </c>
      <c r="CA1734" s="169">
        <v>9.1999999999999993</v>
      </c>
      <c r="CB1734" s="170">
        <v>71</v>
      </c>
      <c r="DB1734" s="165">
        <v>42</v>
      </c>
      <c r="DC1734" s="167">
        <v>41.707317073170728</v>
      </c>
      <c r="DD1734" s="168">
        <v>-0.2</v>
      </c>
      <c r="DE1734" s="169">
        <v>4.5999999999999996</v>
      </c>
      <c r="DF1734" s="170">
        <v>48</v>
      </c>
    </row>
    <row r="1735" spans="39:110" hidden="1" x14ac:dyDescent="0.2">
      <c r="AM1735" s="20">
        <f t="shared" si="47"/>
        <v>22</v>
      </c>
      <c r="AN1735" s="165">
        <v>11</v>
      </c>
      <c r="AO1735" s="167">
        <v>41.021126760563384</v>
      </c>
      <c r="AP1735" s="168">
        <v>-0.2</v>
      </c>
      <c r="AQ1735" s="169">
        <v>4.5999999999999996</v>
      </c>
      <c r="AR1735" s="170">
        <v>48</v>
      </c>
      <c r="BX1735" s="165">
        <v>62</v>
      </c>
      <c r="BY1735" s="167">
        <v>98.239436619718319</v>
      </c>
      <c r="BZ1735" s="168">
        <v>2.1</v>
      </c>
      <c r="CA1735" s="169">
        <v>9.1999999999999993</v>
      </c>
      <c r="CB1735" s="170">
        <v>71</v>
      </c>
      <c r="DB1735" s="165">
        <v>43</v>
      </c>
      <c r="DC1735" s="167">
        <v>43.292682926829265</v>
      </c>
      <c r="DD1735" s="168">
        <v>-0.2</v>
      </c>
      <c r="DE1735" s="169">
        <v>4.5999999999999996</v>
      </c>
      <c r="DF1735" s="170">
        <v>48</v>
      </c>
    </row>
    <row r="1736" spans="39:110" hidden="1" x14ac:dyDescent="0.2">
      <c r="AM1736" s="20">
        <f t="shared" si="47"/>
        <v>23</v>
      </c>
      <c r="AN1736" s="165">
        <v>11.5</v>
      </c>
      <c r="AO1736" s="167">
        <v>45.510563380281688</v>
      </c>
      <c r="AP1736" s="168">
        <v>-0.1</v>
      </c>
      <c r="AQ1736" s="169">
        <v>4.8</v>
      </c>
      <c r="AR1736" s="170">
        <v>49</v>
      </c>
      <c r="BX1736" s="165">
        <v>61</v>
      </c>
      <c r="BY1736" s="167">
        <v>98.239436619718319</v>
      </c>
      <c r="BZ1736" s="168">
        <v>2.1</v>
      </c>
      <c r="CA1736" s="169">
        <v>9.1999999999999993</v>
      </c>
      <c r="CB1736" s="170">
        <v>71</v>
      </c>
      <c r="DB1736" s="165">
        <v>44</v>
      </c>
      <c r="DC1736" s="167">
        <v>45.609756097560975</v>
      </c>
      <c r="DD1736" s="168">
        <v>-0.1</v>
      </c>
      <c r="DE1736" s="169">
        <v>4.8</v>
      </c>
      <c r="DF1736" s="170">
        <v>49</v>
      </c>
    </row>
    <row r="1737" spans="39:110" hidden="1" x14ac:dyDescent="0.2">
      <c r="AM1737" s="20">
        <f t="shared" si="47"/>
        <v>24</v>
      </c>
      <c r="AN1737" s="165">
        <v>12</v>
      </c>
      <c r="AO1737" s="167">
        <v>52.376760563380287</v>
      </c>
      <c r="AP1737" s="168">
        <v>0.1</v>
      </c>
      <c r="AQ1737" s="169">
        <v>5.2</v>
      </c>
      <c r="AR1737" s="170">
        <v>51</v>
      </c>
      <c r="BX1737" s="165">
        <v>60</v>
      </c>
      <c r="BY1737" s="167">
        <v>98.239436619718319</v>
      </c>
      <c r="BZ1737" s="168">
        <v>2.1</v>
      </c>
      <c r="CA1737" s="169">
        <v>9.1999999999999993</v>
      </c>
      <c r="CB1737" s="170">
        <v>71</v>
      </c>
      <c r="DB1737" s="165">
        <v>45</v>
      </c>
      <c r="DC1737" s="167">
        <v>47.926829268292678</v>
      </c>
      <c r="DD1737" s="168">
        <v>-0.1</v>
      </c>
      <c r="DE1737" s="169">
        <v>4.8</v>
      </c>
      <c r="DF1737" s="170">
        <v>49</v>
      </c>
    </row>
    <row r="1738" spans="39:110" hidden="1" x14ac:dyDescent="0.2">
      <c r="AM1738" s="20">
        <f t="shared" si="47"/>
        <v>25</v>
      </c>
      <c r="AN1738" s="165">
        <v>12.5</v>
      </c>
      <c r="AO1738" s="167">
        <v>59.154929577464785</v>
      </c>
      <c r="AP1738" s="168">
        <v>0.2</v>
      </c>
      <c r="AQ1738" s="169">
        <v>5.4</v>
      </c>
      <c r="AR1738" s="170">
        <v>52</v>
      </c>
      <c r="BX1738" s="165">
        <v>59</v>
      </c>
      <c r="BY1738" s="167">
        <v>99.295774647887328</v>
      </c>
      <c r="BZ1738" s="168">
        <v>2.5</v>
      </c>
      <c r="CA1738" s="169">
        <v>10</v>
      </c>
      <c r="CB1738" s="170">
        <v>75</v>
      </c>
      <c r="DB1738" s="165">
        <v>46</v>
      </c>
      <c r="DC1738" s="167">
        <v>49.146341463414636</v>
      </c>
      <c r="DD1738" s="168">
        <v>0</v>
      </c>
      <c r="DE1738" s="169">
        <v>5</v>
      </c>
      <c r="DF1738" s="170">
        <v>50</v>
      </c>
    </row>
    <row r="1739" spans="39:110" hidden="1" x14ac:dyDescent="0.2">
      <c r="AM1739" s="20">
        <f t="shared" si="47"/>
        <v>26</v>
      </c>
      <c r="AN1739" s="165">
        <v>13</v>
      </c>
      <c r="AO1739" s="167">
        <v>65.492957746478879</v>
      </c>
      <c r="AP1739" s="168">
        <v>0.4</v>
      </c>
      <c r="AQ1739" s="169">
        <v>5.8</v>
      </c>
      <c r="AR1739" s="170">
        <v>54</v>
      </c>
      <c r="BX1739" s="165">
        <v>58</v>
      </c>
      <c r="BY1739" s="167">
        <v>99.295774647887328</v>
      </c>
      <c r="BZ1739" s="168">
        <v>2.5</v>
      </c>
      <c r="CA1739" s="169">
        <v>10</v>
      </c>
      <c r="CB1739" s="170">
        <v>75</v>
      </c>
      <c r="DB1739" s="165">
        <v>47</v>
      </c>
      <c r="DC1739" s="167">
        <v>50.243902439024389</v>
      </c>
      <c r="DD1739" s="168">
        <v>0</v>
      </c>
      <c r="DE1739" s="169">
        <v>5</v>
      </c>
      <c r="DF1739" s="170">
        <v>50</v>
      </c>
    </row>
    <row r="1740" spans="39:110" hidden="1" x14ac:dyDescent="0.2">
      <c r="AM1740" s="20">
        <f t="shared" si="47"/>
        <v>27</v>
      </c>
      <c r="AN1740" s="165">
        <v>13.5</v>
      </c>
      <c r="AO1740" s="167">
        <v>71.478873239436624</v>
      </c>
      <c r="AP1740" s="168">
        <v>0.6</v>
      </c>
      <c r="AQ1740" s="169">
        <v>6.2</v>
      </c>
      <c r="AR1740" s="170">
        <v>56</v>
      </c>
      <c r="BX1740" s="165">
        <v>57</v>
      </c>
      <c r="BY1740" s="167">
        <v>99.295774647887328</v>
      </c>
      <c r="BZ1740" s="168">
        <v>2.5</v>
      </c>
      <c r="CA1740" s="169">
        <v>10</v>
      </c>
      <c r="CB1740" s="170">
        <v>75</v>
      </c>
      <c r="DB1740" s="165">
        <v>48</v>
      </c>
      <c r="DC1740" s="167">
        <v>52.31707317073171</v>
      </c>
      <c r="DD1740" s="168">
        <v>0.1</v>
      </c>
      <c r="DE1740" s="169">
        <v>5.2</v>
      </c>
      <c r="DF1740" s="170">
        <v>51</v>
      </c>
    </row>
    <row r="1741" spans="39:110" hidden="1" x14ac:dyDescent="0.2">
      <c r="AM1741" s="20">
        <f t="shared" si="47"/>
        <v>28</v>
      </c>
      <c r="AN1741" s="165">
        <v>14</v>
      </c>
      <c r="AO1741" s="167">
        <v>79.489436619718319</v>
      </c>
      <c r="AP1741" s="168">
        <v>0.8</v>
      </c>
      <c r="AQ1741" s="169">
        <v>6.6</v>
      </c>
      <c r="AR1741" s="170">
        <v>58</v>
      </c>
      <c r="BX1741" s="165">
        <v>56</v>
      </c>
      <c r="BY1741" s="167">
        <v>99.295774647887328</v>
      </c>
      <c r="BZ1741" s="168">
        <v>2.5</v>
      </c>
      <c r="CA1741" s="169">
        <v>10</v>
      </c>
      <c r="CB1741" s="170">
        <v>75</v>
      </c>
      <c r="DB1741" s="165">
        <v>49</v>
      </c>
      <c r="DC1741" s="167">
        <v>54.634146341463421</v>
      </c>
      <c r="DD1741" s="168">
        <v>0.1</v>
      </c>
      <c r="DE1741" s="169">
        <v>5.2</v>
      </c>
      <c r="DF1741" s="170">
        <v>51</v>
      </c>
    </row>
    <row r="1742" spans="39:110" hidden="1" x14ac:dyDescent="0.2">
      <c r="AM1742" s="20">
        <f t="shared" si="47"/>
        <v>29</v>
      </c>
      <c r="AN1742" s="165">
        <v>14.5</v>
      </c>
      <c r="AO1742" s="167">
        <v>87.411971830985919</v>
      </c>
      <c r="AP1742" s="168">
        <v>1.1000000000000001</v>
      </c>
      <c r="AQ1742" s="169">
        <v>7.2</v>
      </c>
      <c r="AR1742" s="170">
        <v>61</v>
      </c>
      <c r="BX1742" s="165">
        <v>55</v>
      </c>
      <c r="BY1742" s="167">
        <v>99.295774647887328</v>
      </c>
      <c r="BZ1742" s="168">
        <v>2.5</v>
      </c>
      <c r="CA1742" s="169">
        <v>10</v>
      </c>
      <c r="CB1742" s="170">
        <v>75</v>
      </c>
      <c r="DB1742" s="165">
        <v>50</v>
      </c>
      <c r="DC1742" s="167">
        <v>55.853658536585371</v>
      </c>
      <c r="DD1742" s="168">
        <v>0.1</v>
      </c>
      <c r="DE1742" s="169">
        <v>5.2</v>
      </c>
      <c r="DF1742" s="170">
        <v>51</v>
      </c>
    </row>
    <row r="1743" spans="39:110" ht="13.15" hidden="1" thickBot="1" x14ac:dyDescent="0.25">
      <c r="AM1743" s="20">
        <f t="shared" si="47"/>
        <v>30</v>
      </c>
      <c r="AN1743" s="172">
        <v>15</v>
      </c>
      <c r="AO1743" s="173">
        <v>93.838028169014081</v>
      </c>
      <c r="AP1743" s="174">
        <v>1.5</v>
      </c>
      <c r="AQ1743" s="175">
        <v>8</v>
      </c>
      <c r="AR1743" s="176">
        <v>65</v>
      </c>
      <c r="BX1743" s="165">
        <v>54</v>
      </c>
      <c r="BY1743" s="167">
        <v>99.295774647887328</v>
      </c>
      <c r="BZ1743" s="168">
        <v>2.5</v>
      </c>
      <c r="CA1743" s="169">
        <v>10</v>
      </c>
      <c r="CB1743" s="170">
        <v>75</v>
      </c>
      <c r="DB1743" s="165">
        <v>51</v>
      </c>
      <c r="DC1743" s="167">
        <v>56.341463414634141</v>
      </c>
      <c r="DD1743" s="168">
        <v>0.2</v>
      </c>
      <c r="DE1743" s="169">
        <v>5.4</v>
      </c>
      <c r="DF1743" s="170">
        <v>52</v>
      </c>
    </row>
    <row r="1744" spans="39:110" hidden="1" x14ac:dyDescent="0.2">
      <c r="BX1744" s="165">
        <v>53</v>
      </c>
      <c r="BY1744" s="167">
        <v>99.295774647887328</v>
      </c>
      <c r="BZ1744" s="168">
        <v>2.5</v>
      </c>
      <c r="CA1744" s="169">
        <v>10</v>
      </c>
      <c r="CB1744" s="170">
        <v>75</v>
      </c>
      <c r="DB1744" s="165">
        <v>52</v>
      </c>
      <c r="DC1744" s="167">
        <v>57.68292682926829</v>
      </c>
      <c r="DD1744" s="168">
        <v>0.2</v>
      </c>
      <c r="DE1744" s="169">
        <v>5.4</v>
      </c>
      <c r="DF1744" s="170">
        <v>52</v>
      </c>
    </row>
    <row r="1745" spans="76:110" hidden="1" x14ac:dyDescent="0.2">
      <c r="BX1745" s="165">
        <v>52</v>
      </c>
      <c r="BY1745" s="167">
        <v>99.295774647887328</v>
      </c>
      <c r="BZ1745" s="168">
        <v>2.5</v>
      </c>
      <c r="CA1745" s="169">
        <v>10</v>
      </c>
      <c r="CB1745" s="170">
        <v>75</v>
      </c>
      <c r="DB1745" s="165">
        <v>53</v>
      </c>
      <c r="DC1745" s="167">
        <v>59.024390243902438</v>
      </c>
      <c r="DD1745" s="168">
        <v>0.2</v>
      </c>
      <c r="DE1745" s="169">
        <v>5.4</v>
      </c>
      <c r="DF1745" s="170">
        <v>52</v>
      </c>
    </row>
    <row r="1746" spans="76:110" hidden="1" x14ac:dyDescent="0.2">
      <c r="BX1746" s="165">
        <v>51</v>
      </c>
      <c r="BY1746" s="167">
        <v>99.295774647887328</v>
      </c>
      <c r="BZ1746" s="168">
        <v>2.5</v>
      </c>
      <c r="CA1746" s="169">
        <v>10</v>
      </c>
      <c r="CB1746" s="170">
        <v>75</v>
      </c>
      <c r="DB1746" s="165">
        <v>54</v>
      </c>
      <c r="DC1746" s="167">
        <v>60.121951219512191</v>
      </c>
      <c r="DD1746" s="168">
        <v>0.3</v>
      </c>
      <c r="DE1746" s="169">
        <v>5.6</v>
      </c>
      <c r="DF1746" s="170">
        <v>53</v>
      </c>
    </row>
    <row r="1747" spans="76:110" hidden="1" x14ac:dyDescent="0.2">
      <c r="BX1747" s="165">
        <v>50</v>
      </c>
      <c r="BY1747" s="167">
        <v>99.295774647887328</v>
      </c>
      <c r="BZ1747" s="168">
        <v>2.5</v>
      </c>
      <c r="CA1747" s="169">
        <v>10</v>
      </c>
      <c r="CB1747" s="170">
        <v>75</v>
      </c>
      <c r="DB1747" s="165">
        <v>55</v>
      </c>
      <c r="DC1747" s="167">
        <v>61.951219512195124</v>
      </c>
      <c r="DD1747" s="168">
        <v>0.3</v>
      </c>
      <c r="DE1747" s="169">
        <v>5.6</v>
      </c>
      <c r="DF1747" s="170">
        <v>53</v>
      </c>
    </row>
    <row r="1748" spans="76:110" hidden="1" x14ac:dyDescent="0.2">
      <c r="BX1748" s="165">
        <v>49</v>
      </c>
      <c r="BY1748" s="167">
        <v>99.735915492957744</v>
      </c>
      <c r="BZ1748" s="168">
        <v>2.8</v>
      </c>
      <c r="CA1748" s="169">
        <v>10.6</v>
      </c>
      <c r="CB1748" s="170">
        <v>78</v>
      </c>
      <c r="DB1748" s="165">
        <v>56</v>
      </c>
      <c r="DC1748" s="167">
        <v>63.902439024390247</v>
      </c>
      <c r="DD1748" s="168">
        <v>0.4</v>
      </c>
      <c r="DE1748" s="169">
        <v>5.8</v>
      </c>
      <c r="DF1748" s="170">
        <v>54</v>
      </c>
    </row>
    <row r="1749" spans="76:110" hidden="1" x14ac:dyDescent="0.2">
      <c r="BX1749" s="165">
        <v>48</v>
      </c>
      <c r="BY1749" s="167">
        <v>99.735915492957744</v>
      </c>
      <c r="BZ1749" s="168">
        <v>2.8</v>
      </c>
      <c r="CA1749" s="169">
        <v>10.6</v>
      </c>
      <c r="CB1749" s="170">
        <v>78</v>
      </c>
      <c r="DB1749" s="165">
        <v>57</v>
      </c>
      <c r="DC1749" s="167">
        <v>65.487804878048777</v>
      </c>
      <c r="DD1749" s="168">
        <v>0.4</v>
      </c>
      <c r="DE1749" s="169">
        <v>5.8</v>
      </c>
      <c r="DF1749" s="170">
        <v>54</v>
      </c>
    </row>
    <row r="1750" spans="76:110" hidden="1" x14ac:dyDescent="0.2">
      <c r="BX1750" s="165">
        <v>47</v>
      </c>
      <c r="BY1750" s="167">
        <v>99.735915492957744</v>
      </c>
      <c r="BZ1750" s="168">
        <v>2.8</v>
      </c>
      <c r="CA1750" s="169">
        <v>10.6</v>
      </c>
      <c r="CB1750" s="170">
        <v>78</v>
      </c>
      <c r="DB1750" s="165">
        <v>58</v>
      </c>
      <c r="DC1750" s="167">
        <v>67.682926829268297</v>
      </c>
      <c r="DD1750" s="168">
        <v>0.5</v>
      </c>
      <c r="DE1750" s="169">
        <v>6</v>
      </c>
      <c r="DF1750" s="170">
        <v>55</v>
      </c>
    </row>
    <row r="1751" spans="76:110" hidden="1" x14ac:dyDescent="0.2">
      <c r="BX1751" s="165">
        <v>46</v>
      </c>
      <c r="BY1751" s="167">
        <v>99.735915492957744</v>
      </c>
      <c r="BZ1751" s="168">
        <v>2.8</v>
      </c>
      <c r="CA1751" s="169">
        <v>10.6</v>
      </c>
      <c r="CB1751" s="170">
        <v>78</v>
      </c>
      <c r="DB1751" s="165">
        <v>59</v>
      </c>
      <c r="DC1751" s="167">
        <v>69.756097560975604</v>
      </c>
      <c r="DD1751" s="168">
        <v>0.5</v>
      </c>
      <c r="DE1751" s="169">
        <v>6</v>
      </c>
      <c r="DF1751" s="170">
        <v>55</v>
      </c>
    </row>
    <row r="1752" spans="76:110" hidden="1" x14ac:dyDescent="0.2">
      <c r="BX1752" s="165">
        <v>45</v>
      </c>
      <c r="BY1752" s="167">
        <v>99.735915492957744</v>
      </c>
      <c r="BZ1752" s="168">
        <v>2.8</v>
      </c>
      <c r="CA1752" s="169">
        <v>10.6</v>
      </c>
      <c r="CB1752" s="170">
        <v>78</v>
      </c>
      <c r="DB1752" s="165">
        <v>60</v>
      </c>
      <c r="DC1752" s="167">
        <v>70.731707317073173</v>
      </c>
      <c r="DD1752" s="168">
        <v>0.5</v>
      </c>
      <c r="DE1752" s="169">
        <v>6</v>
      </c>
      <c r="DF1752" s="170">
        <v>55</v>
      </c>
    </row>
    <row r="1753" spans="76:110" hidden="1" x14ac:dyDescent="0.2">
      <c r="BX1753" s="165">
        <v>44</v>
      </c>
      <c r="BY1753" s="167">
        <v>99.735915492957744</v>
      </c>
      <c r="BZ1753" s="168">
        <v>2.8</v>
      </c>
      <c r="CA1753" s="169">
        <v>10.6</v>
      </c>
      <c r="CB1753" s="170">
        <v>78</v>
      </c>
      <c r="DB1753" s="165">
        <v>61</v>
      </c>
      <c r="DC1753" s="167">
        <v>71.829268292682926</v>
      </c>
      <c r="DD1753" s="168">
        <v>0.6</v>
      </c>
      <c r="DE1753" s="169">
        <v>6.2</v>
      </c>
      <c r="DF1753" s="170">
        <v>56</v>
      </c>
    </row>
    <row r="1754" spans="76:110" hidden="1" x14ac:dyDescent="0.2">
      <c r="BX1754" s="165">
        <v>43</v>
      </c>
      <c r="BY1754" s="167">
        <v>99.735915492957744</v>
      </c>
      <c r="BZ1754" s="168">
        <v>2.8</v>
      </c>
      <c r="CA1754" s="169">
        <v>10.6</v>
      </c>
      <c r="CB1754" s="170">
        <v>78</v>
      </c>
      <c r="DB1754" s="165">
        <v>62</v>
      </c>
      <c r="DC1754" s="167">
        <v>73.414634146341456</v>
      </c>
      <c r="DD1754" s="168">
        <v>0.6</v>
      </c>
      <c r="DE1754" s="169">
        <v>6.2</v>
      </c>
      <c r="DF1754" s="170">
        <v>56</v>
      </c>
    </row>
    <row r="1755" spans="76:110" hidden="1" x14ac:dyDescent="0.2">
      <c r="BX1755" s="165">
        <v>42</v>
      </c>
      <c r="BY1755" s="167">
        <v>99.735915492957744</v>
      </c>
      <c r="BZ1755" s="168">
        <v>2.8</v>
      </c>
      <c r="CA1755" s="169">
        <v>10.6</v>
      </c>
      <c r="CB1755" s="170">
        <v>78</v>
      </c>
      <c r="DB1755" s="165">
        <v>63</v>
      </c>
      <c r="DC1755" s="167">
        <v>75.487804878048777</v>
      </c>
      <c r="DD1755" s="168">
        <v>0.7</v>
      </c>
      <c r="DE1755" s="169">
        <v>6.4</v>
      </c>
      <c r="DF1755" s="170">
        <v>57</v>
      </c>
    </row>
    <row r="1756" spans="76:110" hidden="1" x14ac:dyDescent="0.2">
      <c r="BX1756" s="165">
        <v>41</v>
      </c>
      <c r="BY1756" s="167">
        <v>99.735915492957744</v>
      </c>
      <c r="BZ1756" s="168">
        <v>2.8</v>
      </c>
      <c r="CA1756" s="169">
        <v>10.6</v>
      </c>
      <c r="CB1756" s="170">
        <v>78</v>
      </c>
      <c r="DB1756" s="165">
        <v>64</v>
      </c>
      <c r="DC1756" s="167">
        <v>77.195121951219519</v>
      </c>
      <c r="DD1756" s="168">
        <v>0.7</v>
      </c>
      <c r="DE1756" s="169">
        <v>6.4</v>
      </c>
      <c r="DF1756" s="170">
        <v>57</v>
      </c>
    </row>
    <row r="1757" spans="76:110" hidden="1" x14ac:dyDescent="0.2">
      <c r="BX1757" s="165">
        <v>40</v>
      </c>
      <c r="BY1757" s="167">
        <v>99.735915492957744</v>
      </c>
      <c r="BZ1757" s="168">
        <v>2.8</v>
      </c>
      <c r="CA1757" s="169">
        <v>10.6</v>
      </c>
      <c r="CB1757" s="170">
        <v>78</v>
      </c>
      <c r="DB1757" s="165">
        <v>65</v>
      </c>
      <c r="DC1757" s="167">
        <v>78.41463414634147</v>
      </c>
      <c r="DD1757" s="168">
        <v>0.8</v>
      </c>
      <c r="DE1757" s="169">
        <v>6.6</v>
      </c>
      <c r="DF1757" s="170">
        <v>58</v>
      </c>
    </row>
    <row r="1758" spans="76:110" hidden="1" x14ac:dyDescent="0.2">
      <c r="BX1758" s="165">
        <v>39</v>
      </c>
      <c r="BY1758" s="167">
        <v>99.911971830985919</v>
      </c>
      <c r="BZ1758" s="168">
        <v>3</v>
      </c>
      <c r="CA1758" s="169">
        <v>11</v>
      </c>
      <c r="CB1758" s="170">
        <v>80</v>
      </c>
      <c r="DB1758" s="165">
        <v>66</v>
      </c>
      <c r="DC1758" s="167">
        <v>79.634146341463421</v>
      </c>
      <c r="DD1758" s="168">
        <v>0.8</v>
      </c>
      <c r="DE1758" s="169">
        <v>6.6</v>
      </c>
      <c r="DF1758" s="170">
        <v>58</v>
      </c>
    </row>
    <row r="1759" spans="76:110" hidden="1" x14ac:dyDescent="0.2">
      <c r="BX1759" s="165">
        <v>38</v>
      </c>
      <c r="BY1759" s="167">
        <v>99.911971830985919</v>
      </c>
      <c r="BZ1759" s="168">
        <v>3</v>
      </c>
      <c r="CA1759" s="169">
        <v>11</v>
      </c>
      <c r="CB1759" s="170">
        <v>80</v>
      </c>
      <c r="DB1759" s="165">
        <v>67</v>
      </c>
      <c r="DC1759" s="167">
        <v>80.731707317073173</v>
      </c>
      <c r="DD1759" s="168">
        <v>0.9</v>
      </c>
      <c r="DE1759" s="169">
        <v>6.8</v>
      </c>
      <c r="DF1759" s="170">
        <v>59</v>
      </c>
    </row>
    <row r="1760" spans="76:110" hidden="1" x14ac:dyDescent="0.2">
      <c r="BX1760" s="165">
        <v>37</v>
      </c>
      <c r="BY1760" s="167">
        <v>99.911971830985919</v>
      </c>
      <c r="BZ1760" s="168">
        <v>3</v>
      </c>
      <c r="CA1760" s="169">
        <v>11</v>
      </c>
      <c r="CB1760" s="170">
        <v>80</v>
      </c>
      <c r="DB1760" s="165">
        <v>68</v>
      </c>
      <c r="DC1760" s="167">
        <v>82.317073170731703</v>
      </c>
      <c r="DD1760" s="168">
        <v>0.9</v>
      </c>
      <c r="DE1760" s="169">
        <v>6.8</v>
      </c>
      <c r="DF1760" s="170">
        <v>59</v>
      </c>
    </row>
    <row r="1761" spans="76:110" hidden="1" x14ac:dyDescent="0.2">
      <c r="BX1761" s="165">
        <v>36</v>
      </c>
      <c r="BY1761" s="167">
        <v>99.911971830985919</v>
      </c>
      <c r="BZ1761" s="168">
        <v>3</v>
      </c>
      <c r="CA1761" s="169">
        <v>11</v>
      </c>
      <c r="CB1761" s="170">
        <v>80</v>
      </c>
      <c r="DB1761" s="165">
        <v>69</v>
      </c>
      <c r="DC1761" s="167">
        <v>83.902439024390247</v>
      </c>
      <c r="DD1761" s="168">
        <v>1</v>
      </c>
      <c r="DE1761" s="169">
        <v>7</v>
      </c>
      <c r="DF1761" s="170">
        <v>60</v>
      </c>
    </row>
    <row r="1762" spans="76:110" hidden="1" x14ac:dyDescent="0.2">
      <c r="BX1762" s="165">
        <v>35</v>
      </c>
      <c r="BY1762" s="167">
        <v>99.911971830985919</v>
      </c>
      <c r="BZ1762" s="168">
        <v>3</v>
      </c>
      <c r="CA1762" s="169">
        <v>11</v>
      </c>
      <c r="CB1762" s="170">
        <v>80</v>
      </c>
      <c r="DB1762" s="165">
        <v>70</v>
      </c>
      <c r="DC1762" s="167">
        <v>84.512195121951223</v>
      </c>
      <c r="DD1762" s="168">
        <v>1</v>
      </c>
      <c r="DE1762" s="169">
        <v>7</v>
      </c>
      <c r="DF1762" s="170">
        <v>60</v>
      </c>
    </row>
    <row r="1763" spans="76:110" hidden="1" x14ac:dyDescent="0.2">
      <c r="BX1763" s="165">
        <v>34</v>
      </c>
      <c r="BY1763" s="167">
        <v>99.911971830985919</v>
      </c>
      <c r="BZ1763" s="168">
        <v>3</v>
      </c>
      <c r="CA1763" s="169">
        <v>11</v>
      </c>
      <c r="CB1763" s="170">
        <v>80</v>
      </c>
      <c r="DB1763" s="165">
        <v>71</v>
      </c>
      <c r="DC1763" s="167">
        <v>85.121951219512198</v>
      </c>
      <c r="DD1763" s="168">
        <v>1</v>
      </c>
      <c r="DE1763" s="169">
        <v>7</v>
      </c>
      <c r="DF1763" s="170">
        <v>60</v>
      </c>
    </row>
    <row r="1764" spans="76:110" hidden="1" x14ac:dyDescent="0.2">
      <c r="BX1764" s="165">
        <v>33</v>
      </c>
      <c r="BY1764" s="167">
        <v>99.911971830985919</v>
      </c>
      <c r="BZ1764" s="168">
        <v>3</v>
      </c>
      <c r="CA1764" s="169">
        <v>11</v>
      </c>
      <c r="CB1764" s="170">
        <v>80</v>
      </c>
      <c r="DB1764" s="165">
        <v>72</v>
      </c>
      <c r="DC1764" s="167">
        <v>86.341463414634148</v>
      </c>
      <c r="DD1764" s="168">
        <v>1.1000000000000001</v>
      </c>
      <c r="DE1764" s="169">
        <v>7.2</v>
      </c>
      <c r="DF1764" s="170">
        <v>61</v>
      </c>
    </row>
    <row r="1765" spans="76:110" hidden="1" x14ac:dyDescent="0.2">
      <c r="BX1765" s="165">
        <v>32</v>
      </c>
      <c r="BY1765" s="167">
        <v>99.911971830985919</v>
      </c>
      <c r="BZ1765" s="168">
        <v>3</v>
      </c>
      <c r="CA1765" s="169">
        <v>11</v>
      </c>
      <c r="CB1765" s="170">
        <v>80</v>
      </c>
      <c r="DB1765" s="165">
        <v>73</v>
      </c>
      <c r="DC1765" s="167">
        <v>87.682926829268297</v>
      </c>
      <c r="DD1765" s="168">
        <v>1.2</v>
      </c>
      <c r="DE1765" s="169">
        <v>7.4</v>
      </c>
      <c r="DF1765" s="170">
        <v>62</v>
      </c>
    </row>
    <row r="1766" spans="76:110" hidden="1" x14ac:dyDescent="0.2">
      <c r="BX1766" s="165">
        <v>31</v>
      </c>
      <c r="BY1766" s="167">
        <v>99.911971830985919</v>
      </c>
      <c r="BZ1766" s="168">
        <v>3</v>
      </c>
      <c r="CA1766" s="169">
        <v>11</v>
      </c>
      <c r="CB1766" s="170">
        <v>80</v>
      </c>
      <c r="DB1766" s="165">
        <v>74</v>
      </c>
      <c r="DC1766" s="167">
        <v>88.902439024390247</v>
      </c>
      <c r="DD1766" s="168">
        <v>1.2</v>
      </c>
      <c r="DE1766" s="169">
        <v>7.4</v>
      </c>
      <c r="DF1766" s="170">
        <v>62</v>
      </c>
    </row>
    <row r="1767" spans="76:110" hidden="1" x14ac:dyDescent="0.2">
      <c r="BX1767" s="165">
        <v>30</v>
      </c>
      <c r="BY1767" s="167">
        <v>99.911971830985919</v>
      </c>
      <c r="BZ1767" s="168">
        <v>3</v>
      </c>
      <c r="CA1767" s="169">
        <v>11</v>
      </c>
      <c r="CB1767" s="170">
        <v>80</v>
      </c>
      <c r="DB1767" s="165">
        <v>75</v>
      </c>
      <c r="DC1767" s="167">
        <v>89.756097560975618</v>
      </c>
      <c r="DD1767" s="168">
        <v>1.3</v>
      </c>
      <c r="DE1767" s="169">
        <v>7.6</v>
      </c>
      <c r="DF1767" s="170">
        <v>63</v>
      </c>
    </row>
    <row r="1768" spans="76:110" hidden="1" x14ac:dyDescent="0.2">
      <c r="BX1768" s="165">
        <v>29</v>
      </c>
      <c r="BY1768" s="167">
        <v>99.911971830985919</v>
      </c>
      <c r="BZ1768" s="168">
        <v>3</v>
      </c>
      <c r="CA1768" s="169">
        <v>11</v>
      </c>
      <c r="CB1768" s="170">
        <v>80</v>
      </c>
      <c r="DB1768" s="165">
        <v>76</v>
      </c>
      <c r="DC1768" s="167">
        <v>90.487804878048777</v>
      </c>
      <c r="DD1768" s="168">
        <v>1.3</v>
      </c>
      <c r="DE1768" s="169">
        <v>7.6</v>
      </c>
      <c r="DF1768" s="170">
        <v>63</v>
      </c>
    </row>
    <row r="1769" spans="76:110" hidden="1" x14ac:dyDescent="0.2">
      <c r="BX1769" s="165">
        <v>28</v>
      </c>
      <c r="BY1769" s="167">
        <v>99.911971830985919</v>
      </c>
      <c r="BZ1769" s="168">
        <v>3</v>
      </c>
      <c r="CA1769" s="169">
        <v>11</v>
      </c>
      <c r="CB1769" s="170">
        <v>80</v>
      </c>
      <c r="DB1769" s="165">
        <v>77</v>
      </c>
      <c r="DC1769" s="167">
        <v>91.463414634146346</v>
      </c>
      <c r="DD1769" s="168">
        <v>1.4</v>
      </c>
      <c r="DE1769" s="169">
        <v>7.8</v>
      </c>
      <c r="DF1769" s="170">
        <v>64</v>
      </c>
    </row>
    <row r="1770" spans="76:110" hidden="1" x14ac:dyDescent="0.2">
      <c r="BX1770" s="165">
        <v>27</v>
      </c>
      <c r="BY1770" s="167">
        <v>99.911971830985919</v>
      </c>
      <c r="BZ1770" s="168">
        <v>3</v>
      </c>
      <c r="CA1770" s="169">
        <v>11</v>
      </c>
      <c r="CB1770" s="170">
        <v>80</v>
      </c>
      <c r="DB1770" s="165">
        <v>78</v>
      </c>
      <c r="DC1770" s="167">
        <v>92.195121951219519</v>
      </c>
      <c r="DD1770" s="168">
        <v>1.4</v>
      </c>
      <c r="DE1770" s="169">
        <v>7.8</v>
      </c>
      <c r="DF1770" s="170">
        <v>64</v>
      </c>
    </row>
    <row r="1771" spans="76:110" hidden="1" x14ac:dyDescent="0.2">
      <c r="BX1771" s="165">
        <v>26</v>
      </c>
      <c r="BY1771" s="167">
        <v>99.911971830985919</v>
      </c>
      <c r="BZ1771" s="168">
        <v>3</v>
      </c>
      <c r="CA1771" s="169">
        <v>11</v>
      </c>
      <c r="CB1771" s="170">
        <v>80</v>
      </c>
      <c r="DB1771" s="165">
        <v>79</v>
      </c>
      <c r="DC1771" s="167">
        <v>92.682926829268297</v>
      </c>
      <c r="DD1771" s="168">
        <v>1.5</v>
      </c>
      <c r="DE1771" s="169">
        <v>8</v>
      </c>
      <c r="DF1771" s="170">
        <v>65</v>
      </c>
    </row>
    <row r="1772" spans="76:110" hidden="1" x14ac:dyDescent="0.2">
      <c r="BX1772" s="165">
        <v>25</v>
      </c>
      <c r="BY1772" s="167">
        <v>99.911971830985919</v>
      </c>
      <c r="BZ1772" s="168">
        <v>3</v>
      </c>
      <c r="CA1772" s="169">
        <v>11</v>
      </c>
      <c r="CB1772" s="170">
        <v>80</v>
      </c>
      <c r="DB1772" s="165">
        <v>80</v>
      </c>
      <c r="DC1772" s="167">
        <v>93.658536585365866</v>
      </c>
      <c r="DD1772" s="168">
        <v>1.5</v>
      </c>
      <c r="DE1772" s="169">
        <v>8</v>
      </c>
      <c r="DF1772" s="170">
        <v>65</v>
      </c>
    </row>
    <row r="1773" spans="76:110" hidden="1" x14ac:dyDescent="0.2">
      <c r="BX1773" s="165">
        <v>24</v>
      </c>
      <c r="BY1773" s="167">
        <v>99.911971830985919</v>
      </c>
      <c r="BZ1773" s="168">
        <v>3</v>
      </c>
      <c r="CA1773" s="169">
        <v>11</v>
      </c>
      <c r="CB1773" s="170">
        <v>80</v>
      </c>
      <c r="DB1773" s="165">
        <v>81</v>
      </c>
      <c r="DC1773" s="167">
        <v>94.634146341463406</v>
      </c>
      <c r="DD1773" s="168">
        <v>1.6</v>
      </c>
      <c r="DE1773" s="169">
        <v>8.1999999999999993</v>
      </c>
      <c r="DF1773" s="170">
        <v>66</v>
      </c>
    </row>
    <row r="1774" spans="76:110" hidden="1" x14ac:dyDescent="0.2">
      <c r="BX1774" s="165">
        <v>23</v>
      </c>
      <c r="BY1774" s="167">
        <v>99.911971830985919</v>
      </c>
      <c r="BZ1774" s="168">
        <v>3</v>
      </c>
      <c r="CA1774" s="169">
        <v>11</v>
      </c>
      <c r="CB1774" s="170">
        <v>80</v>
      </c>
      <c r="DB1774" s="165">
        <v>82</v>
      </c>
      <c r="DC1774" s="167">
        <v>95.487804878048777</v>
      </c>
      <c r="DD1774" s="168">
        <v>1.7</v>
      </c>
      <c r="DE1774" s="169">
        <v>8.4</v>
      </c>
      <c r="DF1774" s="170">
        <v>67</v>
      </c>
    </row>
    <row r="1775" spans="76:110" hidden="1" x14ac:dyDescent="0.2">
      <c r="BX1775" s="165">
        <v>22</v>
      </c>
      <c r="BY1775" s="167">
        <v>99.911971830985919</v>
      </c>
      <c r="BZ1775" s="168">
        <v>3</v>
      </c>
      <c r="CA1775" s="169">
        <v>11</v>
      </c>
      <c r="CB1775" s="170">
        <v>80</v>
      </c>
      <c r="DB1775" s="165">
        <v>83</v>
      </c>
      <c r="DC1775" s="167">
        <v>96.58536585365853</v>
      </c>
      <c r="DD1775" s="168">
        <v>1.8</v>
      </c>
      <c r="DE1775" s="169">
        <v>8.6</v>
      </c>
      <c r="DF1775" s="170">
        <v>68</v>
      </c>
    </row>
    <row r="1776" spans="76:110" hidden="1" x14ac:dyDescent="0.2">
      <c r="BX1776" s="165">
        <v>21</v>
      </c>
      <c r="BY1776" s="167">
        <v>99.911971830985919</v>
      </c>
      <c r="BZ1776" s="168">
        <v>3</v>
      </c>
      <c r="CA1776" s="169">
        <v>11</v>
      </c>
      <c r="CB1776" s="170">
        <v>80</v>
      </c>
      <c r="DB1776" s="165">
        <v>84</v>
      </c>
      <c r="DC1776" s="167">
        <v>97.195121951219505</v>
      </c>
      <c r="DD1776" s="168">
        <v>1.9</v>
      </c>
      <c r="DE1776" s="169">
        <v>8.8000000000000007</v>
      </c>
      <c r="DF1776" s="170">
        <v>69</v>
      </c>
    </row>
    <row r="1777" spans="76:110" ht="13.15" hidden="1" thickBot="1" x14ac:dyDescent="0.25">
      <c r="BX1777" s="172">
        <v>20</v>
      </c>
      <c r="BY1777" s="173">
        <v>99.911971830985919</v>
      </c>
      <c r="BZ1777" s="174">
        <v>3</v>
      </c>
      <c r="CA1777" s="175">
        <v>11</v>
      </c>
      <c r="CB1777" s="176">
        <v>80</v>
      </c>
      <c r="DB1777" s="165">
        <v>85</v>
      </c>
      <c r="DC1777" s="167">
        <v>97.682926829268297</v>
      </c>
      <c r="DD1777" s="168">
        <v>2</v>
      </c>
      <c r="DE1777" s="169">
        <v>9</v>
      </c>
      <c r="DF1777" s="170">
        <v>70</v>
      </c>
    </row>
    <row r="1778" spans="76:110" hidden="1" x14ac:dyDescent="0.2">
      <c r="DB1778" s="165">
        <v>86</v>
      </c>
      <c r="DC1778" s="167">
        <v>98.536585365853654</v>
      </c>
      <c r="DD1778" s="168">
        <v>2.2000000000000002</v>
      </c>
      <c r="DE1778" s="169">
        <v>9.4</v>
      </c>
      <c r="DF1778" s="170">
        <v>72</v>
      </c>
    </row>
    <row r="1779" spans="76:110" hidden="1" x14ac:dyDescent="0.2">
      <c r="DB1779" s="165">
        <v>87</v>
      </c>
      <c r="DC1779" s="167">
        <v>98.536585365853654</v>
      </c>
      <c r="DD1779" s="168">
        <v>2.2000000000000002</v>
      </c>
      <c r="DE1779" s="169">
        <v>9.4</v>
      </c>
      <c r="DF1779" s="170">
        <v>72</v>
      </c>
    </row>
    <row r="1780" spans="76:110" hidden="1" x14ac:dyDescent="0.2">
      <c r="DB1780" s="165">
        <v>88</v>
      </c>
      <c r="DC1780" s="167">
        <v>99.146341463414629</v>
      </c>
      <c r="DD1780" s="168">
        <v>2.4</v>
      </c>
      <c r="DE1780" s="169">
        <v>9.8000000000000007</v>
      </c>
      <c r="DF1780" s="170">
        <v>74</v>
      </c>
    </row>
    <row r="1781" spans="76:110" hidden="1" x14ac:dyDescent="0.2">
      <c r="DB1781" s="165">
        <v>89</v>
      </c>
      <c r="DC1781" s="167">
        <v>99.390243902439025</v>
      </c>
      <c r="DD1781" s="168">
        <v>2.5</v>
      </c>
      <c r="DE1781" s="169">
        <v>10</v>
      </c>
      <c r="DF1781" s="170">
        <v>75</v>
      </c>
    </row>
    <row r="1782" spans="76:110" hidden="1" x14ac:dyDescent="0.2">
      <c r="DB1782" s="165">
        <v>90</v>
      </c>
      <c r="DC1782" s="167">
        <v>99.756097560975604</v>
      </c>
      <c r="DD1782" s="168">
        <v>2.8</v>
      </c>
      <c r="DE1782" s="169">
        <v>10.6</v>
      </c>
      <c r="DF1782" s="170">
        <v>78</v>
      </c>
    </row>
    <row r="1783" spans="76:110" hidden="1" x14ac:dyDescent="0.2">
      <c r="DB1783" s="165">
        <v>91</v>
      </c>
      <c r="DC1783" s="167">
        <v>99.756097560975604</v>
      </c>
      <c r="DD1783" s="168">
        <v>2.8</v>
      </c>
      <c r="DE1783" s="169">
        <v>10.6</v>
      </c>
      <c r="DF1783" s="170">
        <v>78</v>
      </c>
    </row>
    <row r="1784" spans="76:110" hidden="1" x14ac:dyDescent="0.2">
      <c r="DB1784" s="165">
        <v>92</v>
      </c>
      <c r="DC1784" s="167">
        <v>99.756097560975604</v>
      </c>
      <c r="DD1784" s="168">
        <v>2.8</v>
      </c>
      <c r="DE1784" s="169">
        <v>10.6</v>
      </c>
      <c r="DF1784" s="170">
        <v>78</v>
      </c>
    </row>
    <row r="1785" spans="76:110" ht="13.15" hidden="1" thickBot="1" x14ac:dyDescent="0.25">
      <c r="DB1785" s="172">
        <v>93</v>
      </c>
      <c r="DC1785" s="173">
        <v>99.756097560975604</v>
      </c>
      <c r="DD1785" s="174">
        <v>2.8</v>
      </c>
      <c r="DE1785" s="175">
        <v>10.6</v>
      </c>
      <c r="DF1785" s="176">
        <v>78</v>
      </c>
    </row>
    <row r="1786" spans="76:110" hidden="1" x14ac:dyDescent="0.2"/>
    <row r="1787" spans="76:110" hidden="1" x14ac:dyDescent="0.2"/>
    <row r="1788" spans="76:110" hidden="1" x14ac:dyDescent="0.2"/>
    <row r="1789" spans="76:110" hidden="1" x14ac:dyDescent="0.2"/>
    <row r="1790" spans="76:110" hidden="1" x14ac:dyDescent="0.2"/>
    <row r="1791" spans="76:110" hidden="1" x14ac:dyDescent="0.2"/>
    <row r="1792" spans="76:110" hidden="1" x14ac:dyDescent="0.2"/>
    <row r="1793" hidden="1" x14ac:dyDescent="0.2"/>
    <row r="1794" hidden="1" x14ac:dyDescent="0.2"/>
    <row r="1795" hidden="1" x14ac:dyDescent="0.2"/>
    <row r="1796" hidden="1" x14ac:dyDescent="0.2"/>
    <row r="1797" hidden="1" x14ac:dyDescent="0.2"/>
    <row r="1798" hidden="1" x14ac:dyDescent="0.2"/>
    <row r="1799" hidden="1" x14ac:dyDescent="0.2"/>
  </sheetData>
  <sheetProtection password="D3CC" sheet="1" objects="1" scenarios="1" insertRows="0" deleteRows="0" selectLockedCells="1"/>
  <mergeCells count="181">
    <mergeCell ref="C198:E198"/>
    <mergeCell ref="C167:E167"/>
    <mergeCell ref="C168:E168"/>
    <mergeCell ref="C186:E186"/>
    <mergeCell ref="C188:E188"/>
    <mergeCell ref="C189:E189"/>
    <mergeCell ref="O6:P6"/>
    <mergeCell ref="C243:E243"/>
    <mergeCell ref="C78:E78"/>
    <mergeCell ref="C221:E221"/>
    <mergeCell ref="C229:E229"/>
    <mergeCell ref="C191:E191"/>
    <mergeCell ref="C204:E204"/>
    <mergeCell ref="C228:E228"/>
    <mergeCell ref="C238:E238"/>
    <mergeCell ref="C80:E80"/>
    <mergeCell ref="C61:E61"/>
    <mergeCell ref="C62:E62"/>
    <mergeCell ref="C68:E68"/>
    <mergeCell ref="C71:E71"/>
    <mergeCell ref="C67:E67"/>
    <mergeCell ref="C72:E72"/>
    <mergeCell ref="C75:E75"/>
    <mergeCell ref="C76:E76"/>
    <mergeCell ref="C202:E202"/>
    <mergeCell ref="C181:E181"/>
    <mergeCell ref="C203:E203"/>
    <mergeCell ref="C217:E217"/>
    <mergeCell ref="C175:E175"/>
    <mergeCell ref="C179:E179"/>
    <mergeCell ref="C244:E244"/>
    <mergeCell ref="C116:E116"/>
    <mergeCell ref="C125:E125"/>
    <mergeCell ref="C132:E132"/>
    <mergeCell ref="C139:E139"/>
    <mergeCell ref="C154:E154"/>
    <mergeCell ref="C162:E162"/>
    <mergeCell ref="C227:E227"/>
    <mergeCell ref="C241:E241"/>
    <mergeCell ref="C213:E213"/>
    <mergeCell ref="C236:E236"/>
    <mergeCell ref="C212:E212"/>
    <mergeCell ref="C184:E184"/>
    <mergeCell ref="C185:E185"/>
    <mergeCell ref="C210:E210"/>
    <mergeCell ref="C211:E211"/>
    <mergeCell ref="C199:E199"/>
    <mergeCell ref="C209:E209"/>
    <mergeCell ref="C146:E146"/>
    <mergeCell ref="C144:E144"/>
    <mergeCell ref="C207:E207"/>
    <mergeCell ref="C187:E187"/>
    <mergeCell ref="C174:E174"/>
    <mergeCell ref="C171:E171"/>
    <mergeCell ref="C172:E172"/>
    <mergeCell ref="C242:E242"/>
    <mergeCell ref="C208:E208"/>
    <mergeCell ref="C239:E239"/>
    <mergeCell ref="C220:E220"/>
    <mergeCell ref="C214:E214"/>
    <mergeCell ref="C240:E240"/>
    <mergeCell ref="C235:E235"/>
    <mergeCell ref="C218:E218"/>
    <mergeCell ref="C226:E226"/>
    <mergeCell ref="C225:E225"/>
    <mergeCell ref="C237:E237"/>
    <mergeCell ref="C190:E190"/>
    <mergeCell ref="C200:E200"/>
    <mergeCell ref="C201:E201"/>
    <mergeCell ref="C180:E180"/>
    <mergeCell ref="C182:E182"/>
    <mergeCell ref="C219:E219"/>
    <mergeCell ref="C160:E160"/>
    <mergeCell ref="C129:E129"/>
    <mergeCell ref="C183:E183"/>
    <mergeCell ref="C178:E178"/>
    <mergeCell ref="C166:E166"/>
    <mergeCell ref="C173:E173"/>
    <mergeCell ref="C115:E115"/>
    <mergeCell ref="C123:E123"/>
    <mergeCell ref="C124:E124"/>
    <mergeCell ref="C121:E121"/>
    <mergeCell ref="C128:E128"/>
    <mergeCell ref="C135:E135"/>
    <mergeCell ref="C122:E122"/>
    <mergeCell ref="C131:E131"/>
    <mergeCell ref="C159:E159"/>
    <mergeCell ref="C148:E148"/>
    <mergeCell ref="C149:E149"/>
    <mergeCell ref="C151:E151"/>
    <mergeCell ref="C152:E152"/>
    <mergeCell ref="C158:E158"/>
    <mergeCell ref="C169:E169"/>
    <mergeCell ref="C170:E170"/>
    <mergeCell ref="C165:E165"/>
    <mergeCell ref="C138:E138"/>
    <mergeCell ref="C55:E55"/>
    <mergeCell ref="C35:E35"/>
    <mergeCell ref="C43:E43"/>
    <mergeCell ref="C147:E147"/>
    <mergeCell ref="C161:E161"/>
    <mergeCell ref="C110:E110"/>
    <mergeCell ref="C113:E113"/>
    <mergeCell ref="C130:E130"/>
    <mergeCell ref="C85:E85"/>
    <mergeCell ref="C99:E99"/>
    <mergeCell ref="C104:E104"/>
    <mergeCell ref="C112:E112"/>
    <mergeCell ref="C111:E111"/>
    <mergeCell ref="C105:E105"/>
    <mergeCell ref="C106:E106"/>
    <mergeCell ref="C107:E107"/>
    <mergeCell ref="C108:E108"/>
    <mergeCell ref="C145:E145"/>
    <mergeCell ref="C153:E153"/>
    <mergeCell ref="C114:E114"/>
    <mergeCell ref="C95:E95"/>
    <mergeCell ref="C93:E93"/>
    <mergeCell ref="C98:E98"/>
    <mergeCell ref="C87:E87"/>
    <mergeCell ref="C96:E96"/>
    <mergeCell ref="C74:E74"/>
    <mergeCell ref="C84:E84"/>
    <mergeCell ref="C69:E69"/>
    <mergeCell ref="C70:E70"/>
    <mergeCell ref="C63:E63"/>
    <mergeCell ref="C59:E59"/>
    <mergeCell ref="C60:E60"/>
    <mergeCell ref="C58:E58"/>
    <mergeCell ref="C73:E73"/>
    <mergeCell ref="C94:E94"/>
    <mergeCell ref="C77:E77"/>
    <mergeCell ref="C79:E79"/>
    <mergeCell ref="C26:E26"/>
    <mergeCell ref="C16:E16"/>
    <mergeCell ref="C22:E22"/>
    <mergeCell ref="C66:E66"/>
    <mergeCell ref="C83:E83"/>
    <mergeCell ref="C47:E47"/>
    <mergeCell ref="C56:E56"/>
    <mergeCell ref="C44:E44"/>
    <mergeCell ref="C48:E48"/>
    <mergeCell ref="C32:E32"/>
    <mergeCell ref="C57:E57"/>
    <mergeCell ref="C45:E45"/>
    <mergeCell ref="C36:E36"/>
    <mergeCell ref="C37:E37"/>
    <mergeCell ref="C38:E38"/>
    <mergeCell ref="C52:E52"/>
    <mergeCell ref="C53:E53"/>
    <mergeCell ref="C40:E40"/>
    <mergeCell ref="C46:E46"/>
    <mergeCell ref="C39:E39"/>
    <mergeCell ref="C49:E49"/>
    <mergeCell ref="C50:E50"/>
    <mergeCell ref="C51:E51"/>
    <mergeCell ref="C54:E54"/>
    <mergeCell ref="C19:E19"/>
    <mergeCell ref="C20:E20"/>
    <mergeCell ref="C21:E21"/>
    <mergeCell ref="C137:E137"/>
    <mergeCell ref="C157:E157"/>
    <mergeCell ref="C109:E109"/>
    <mergeCell ref="C86:E86"/>
    <mergeCell ref="F2:K3"/>
    <mergeCell ref="C14:E14"/>
    <mergeCell ref="C15:E15"/>
    <mergeCell ref="C31:E31"/>
    <mergeCell ref="F9:M9"/>
    <mergeCell ref="F4:M5"/>
    <mergeCell ref="C28:E28"/>
    <mergeCell ref="C29:E29"/>
    <mergeCell ref="C24:E24"/>
    <mergeCell ref="C25:E25"/>
    <mergeCell ref="C30:E30"/>
    <mergeCell ref="C23:E23"/>
    <mergeCell ref="F12:M13"/>
    <mergeCell ref="F7:H8"/>
    <mergeCell ref="C27:E27"/>
    <mergeCell ref="C17:E17"/>
    <mergeCell ref="C18:E18"/>
  </mergeCells>
  <phoneticPr fontId="8" type="noConversion"/>
  <conditionalFormatting sqref="E7">
    <cfRule type="cellIs" dxfId="12" priority="1" stopIfTrue="1" operator="lessThanOrEqual">
      <formula>15</formula>
    </cfRule>
    <cfRule type="cellIs" dxfId="11" priority="2" stopIfTrue="1" operator="greaterThanOrEqual">
      <formula>66</formula>
    </cfRule>
  </conditionalFormatting>
  <conditionalFormatting sqref="C2">
    <cfRule type="cellIs" dxfId="10" priority="3" stopIfTrue="1" operator="notBetween">
      <formula>"A"</formula>
      <formula>"B"</formula>
    </cfRule>
  </conditionalFormatting>
  <conditionalFormatting sqref="C5">
    <cfRule type="expression" dxfId="9" priority="7" stopIfTrue="1">
      <formula>NOT(ISERROR(SEARCH("w",C5)))</formula>
    </cfRule>
    <cfRule type="expression" dxfId="8" priority="8" stopIfTrue="1">
      <formula>NOT(ISERROR(SEARCH("m",C5)))</formula>
    </cfRule>
  </conditionalFormatting>
  <dataValidations count="6">
    <dataValidation type="list" allowBlank="1" showInputMessage="1" showErrorMessage="1" errorTitle="Eingegebener Wert ist ungültig." error="Bitte geben Sie m für männlich und w für weiblich ein." sqref="C5" xr:uid="{00000000-0002-0000-0000-000000000000}">
      <formula1>$D$5:$D$6</formula1>
    </dataValidation>
    <dataValidation type="list" allowBlank="1" showInputMessage="1" showErrorMessage="1" errorTitle="Eingegebener Wert ist ungültig." error="Bitte geben Sie A für Erstuntersuchung oder B für Verlaufsuntersuchung an." sqref="C2" xr:uid="{00000000-0002-0000-0000-000001000000}">
      <formula1>$D$2:$D$3</formula1>
    </dataValidation>
    <dataValidation type="whole" allowBlank="1" showInputMessage="1" showErrorMessage="1" errorTitle="Eingegebener Wert ist ungültig." error="Die Bildungskorrektur ist nur für den Bereich zwischen 6 und 25 Jahren Bildung zulässig. Bitte geben Sie nur ganze Zahlen ein._x000a_" promptTitle="Schul- und Berufsbildung" prompt="Bitte zählen Sie die Schuljahre und sämtliche Jahre für die Berufsbildung (auch Zweitausbildung etc.) zusammen und geben Sie den Wert als ganze Zahl ein. Dieser Wert ist relevant für die Bildungskorrektur." sqref="C6" xr:uid="{00000000-0002-0000-0000-000002000000}">
      <formula1>5</formula1>
      <formula2>27</formula2>
    </dataValidation>
    <dataValidation type="whole" allowBlank="1" showInputMessage="1" showErrorMessage="1" errorTitle="Eingegebener Wert ist ungültig." error="Bitte einen PR zwischen 0-100 eingeben." promptTitle="Prozentrang" prompt="Bitte als Prozentrang PR einen Wert von 0-100 eingeben." sqref="I200:I204 I209:I214 I219:I221 I227:I229 I237:I244" xr:uid="{00000000-0002-0000-0000-000003000000}">
      <formula1>0</formula1>
      <formula2>100</formula2>
    </dataValidation>
    <dataValidation type="date" operator="greaterThan" allowBlank="1" showInputMessage="1" showErrorMessage="1" errorTitle="Geburtsdatum überprüfen" error="Das Alter liegt ausserhalb des Bereichs, für den Normwerte vorliegen." sqref="C7" xr:uid="{00000000-0002-0000-0000-000004000000}">
      <formula1>15342</formula1>
    </dataValidation>
    <dataValidation type="date" operator="greaterThan" allowBlank="1" showInputMessage="1" showErrorMessage="1" errorTitle="Untersuchungsdatum" error="Bitte überprüfen Sie das Untersuchungsdatum." sqref="C8" xr:uid="{00000000-0002-0000-0000-000005000000}">
      <formula1>36526</formula1>
    </dataValidation>
  </dataValidations>
  <pageMargins left="0.78740157499999996" right="0.78740157499999996" top="0.984251969" bottom="0.984251969" header="0.4921259845" footer="0.4921259845"/>
  <pageSetup paperSize="9" scale="56" orientation="portrait" r:id="rId1"/>
  <headerFooter alignWithMargins="0"/>
  <rowBreaks count="2" manualBreakCount="2">
    <brk id="88" min="1" max="10" man="1"/>
    <brk id="191" min="1" max="10"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8"/>
  <dimension ref="A1:IO43"/>
  <sheetViews>
    <sheetView showGridLines="0" showRowColHeaders="0" tabSelected="1" topLeftCell="A3" zoomScale="83" workbookViewId="0">
      <selection activeCell="AA5" sqref="AA5:AY43"/>
    </sheetView>
  </sheetViews>
  <sheetFormatPr baseColWidth="10" defaultColWidth="12.77734375" defaultRowHeight="13.15" customHeight="1" x14ac:dyDescent="0.2"/>
  <cols>
    <col min="1" max="3" width="10.77734375" style="20" customWidth="1"/>
    <col min="4" max="4" width="0.77734375" style="20" customWidth="1"/>
    <col min="5" max="6" width="5.77734375" style="20" customWidth="1"/>
    <col min="7" max="7" width="8.21875" style="20" customWidth="1"/>
    <col min="8" max="8" width="8" style="20" customWidth="1"/>
    <col min="9" max="9" width="0.77734375" style="20" customWidth="1"/>
    <col min="10" max="12" width="6.77734375" style="20" customWidth="1"/>
    <col min="13" max="14" width="7.77734375" style="20" customWidth="1"/>
    <col min="15" max="23" width="1.77734375" style="20" hidden="1" customWidth="1"/>
    <col min="24" max="24" width="1.77734375" style="20" customWidth="1"/>
    <col min="25" max="25" width="0.21875" style="20" customWidth="1"/>
    <col min="26" max="26" width="3.77734375" style="20" customWidth="1"/>
    <col min="27" max="35" width="2.77734375" style="20" customWidth="1"/>
    <col min="36" max="36" width="3.21875" style="20" customWidth="1"/>
    <col min="37" max="37" width="3" style="20" customWidth="1"/>
    <col min="38" max="41" width="3.21875" style="20" customWidth="1"/>
    <col min="42" max="42" width="3" style="20" customWidth="1"/>
    <col min="43" max="44" width="3.21875" style="20" customWidth="1"/>
    <col min="45" max="47" width="3" style="20" customWidth="1"/>
    <col min="48" max="48" width="3.21875" style="20" customWidth="1"/>
    <col min="49" max="49" width="3" style="20" customWidth="1"/>
    <col min="50" max="51" width="2.77734375" style="20" customWidth="1"/>
    <col min="52" max="249" width="12.77734375" style="20" hidden="1" customWidth="1"/>
    <col min="250" max="16384" width="12.77734375" style="20"/>
  </cols>
  <sheetData>
    <row r="1" spans="1:130" ht="13.15" customHeight="1" x14ac:dyDescent="0.2">
      <c r="A1" s="115"/>
      <c r="B1" s="121"/>
      <c r="C1" s="116"/>
      <c r="D1" s="116"/>
      <c r="E1" s="116"/>
      <c r="F1" s="21"/>
      <c r="G1" s="21"/>
      <c r="H1" s="21"/>
      <c r="I1" s="21"/>
      <c r="J1" s="21"/>
      <c r="K1" s="117"/>
      <c r="L1" s="117"/>
      <c r="M1" s="116"/>
      <c r="N1" s="116"/>
      <c r="O1" s="21"/>
      <c r="P1" s="21"/>
      <c r="Q1" s="21"/>
      <c r="R1" s="21"/>
      <c r="S1" s="21"/>
      <c r="T1" s="21"/>
      <c r="U1" s="21"/>
      <c r="V1" s="21"/>
      <c r="W1" s="21"/>
      <c r="X1" s="21"/>
      <c r="Y1" s="118"/>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1"/>
      <c r="BH1" s="21"/>
      <c r="BI1" s="21"/>
      <c r="BJ1" s="21"/>
      <c r="BK1" s="21"/>
      <c r="BL1" s="21"/>
      <c r="BM1" s="21"/>
      <c r="BN1" s="21"/>
      <c r="BO1" s="21"/>
      <c r="BP1" s="21"/>
      <c r="BQ1" s="21"/>
      <c r="BR1" s="21"/>
      <c r="BS1" s="21"/>
      <c r="BT1" s="21"/>
      <c r="BU1" s="21"/>
      <c r="BV1" s="21"/>
      <c r="BW1" s="21"/>
      <c r="BX1" s="21"/>
      <c r="BY1" s="21"/>
      <c r="BZ1" s="21"/>
      <c r="CA1" s="21"/>
      <c r="CB1" s="21"/>
      <c r="CC1" s="21"/>
      <c r="CD1" s="21"/>
      <c r="CE1" s="21"/>
      <c r="CF1" s="21"/>
      <c r="CG1" s="21"/>
      <c r="CH1" s="21"/>
      <c r="CI1" s="21"/>
      <c r="CJ1" s="21"/>
      <c r="CK1" s="21"/>
      <c r="CL1" s="21"/>
      <c r="CM1" s="21"/>
      <c r="CN1" s="21"/>
      <c r="CO1" s="21"/>
      <c r="CP1" s="21"/>
      <c r="CQ1" s="21"/>
      <c r="CR1" s="21"/>
      <c r="CS1" s="21"/>
      <c r="CT1" s="21"/>
      <c r="CU1" s="21"/>
      <c r="CV1" s="21"/>
      <c r="CW1" s="21"/>
      <c r="CX1" s="21"/>
      <c r="CY1" s="21"/>
      <c r="CZ1" s="21"/>
      <c r="DA1" s="21"/>
      <c r="DB1" s="21"/>
      <c r="DC1" s="21"/>
      <c r="DD1" s="21"/>
      <c r="DE1" s="21"/>
      <c r="DF1" s="21"/>
      <c r="DG1" s="21"/>
      <c r="DH1" s="21"/>
      <c r="DI1" s="21"/>
      <c r="DJ1" s="21"/>
      <c r="DK1" s="21"/>
      <c r="DL1" s="21"/>
      <c r="DM1" s="21"/>
      <c r="DN1" s="21"/>
      <c r="DO1" s="21"/>
      <c r="DP1" s="21"/>
      <c r="DQ1" s="21"/>
      <c r="DR1" s="21"/>
      <c r="DS1" s="21"/>
      <c r="DT1" s="21"/>
      <c r="DU1" s="21"/>
      <c r="DV1" s="21"/>
      <c r="DW1" s="21"/>
      <c r="DX1" s="21"/>
      <c r="DY1" s="21"/>
      <c r="DZ1" s="21"/>
    </row>
    <row r="2" spans="1:130" ht="40.25" customHeight="1" x14ac:dyDescent="0.2">
      <c r="A2" s="21"/>
      <c r="B2" s="332" t="s">
        <v>372</v>
      </c>
      <c r="C2" s="333"/>
      <c r="D2" s="333"/>
      <c r="E2" s="333"/>
      <c r="F2" s="334"/>
      <c r="G2" s="28"/>
      <c r="H2" s="28"/>
      <c r="I2" s="28"/>
      <c r="J2" s="28"/>
      <c r="K2" s="28"/>
      <c r="L2" s="329" t="s">
        <v>322</v>
      </c>
      <c r="M2" s="329"/>
      <c r="N2" s="329"/>
      <c r="O2" s="28"/>
      <c r="P2" s="28"/>
      <c r="Q2" s="28"/>
      <c r="R2" s="28"/>
      <c r="S2" s="28"/>
      <c r="T2" s="28"/>
      <c r="U2" s="28"/>
      <c r="V2" s="28"/>
      <c r="W2" s="28"/>
      <c r="X2" s="28"/>
      <c r="Y2" s="118"/>
      <c r="Z2" s="21"/>
      <c r="AA2" s="282" t="s">
        <v>396</v>
      </c>
      <c r="AB2" s="282" t="s">
        <v>397</v>
      </c>
      <c r="AC2" s="21"/>
      <c r="AD2" s="21"/>
      <c r="AE2" s="21"/>
      <c r="AF2" s="21"/>
      <c r="AG2" s="21"/>
      <c r="AH2" s="21"/>
      <c r="AI2" s="21"/>
      <c r="AJ2" s="21"/>
      <c r="AK2" s="21"/>
      <c r="AL2" s="21"/>
      <c r="AM2" s="21"/>
      <c r="AN2" s="21"/>
      <c r="AO2" s="21"/>
      <c r="AP2" s="21"/>
      <c r="AQ2" s="21"/>
      <c r="AR2" s="21"/>
      <c r="AS2" s="21"/>
      <c r="AT2" s="21"/>
      <c r="AU2" s="21"/>
      <c r="AV2" s="21"/>
      <c r="AW2" s="21"/>
      <c r="AX2" s="21"/>
      <c r="AY2" s="21"/>
      <c r="AZ2" s="21"/>
      <c r="BA2" s="21"/>
      <c r="BB2" s="21"/>
      <c r="BC2" s="21"/>
      <c r="BD2" s="21"/>
      <c r="BE2" s="21"/>
      <c r="BF2" s="21"/>
      <c r="BG2" s="21"/>
      <c r="BH2" s="21"/>
      <c r="BI2" s="21"/>
      <c r="BJ2" s="21"/>
      <c r="BK2" s="21"/>
      <c r="BL2" s="21"/>
      <c r="BM2" s="21"/>
      <c r="BN2" s="21"/>
      <c r="BO2" s="21"/>
      <c r="BP2" s="21"/>
      <c r="BQ2" s="21"/>
      <c r="BR2" s="21"/>
      <c r="BS2" s="21"/>
      <c r="BT2" s="21"/>
      <c r="BU2" s="21"/>
      <c r="BV2" s="21"/>
      <c r="BW2" s="21"/>
      <c r="BX2" s="21"/>
      <c r="BY2" s="21"/>
      <c r="BZ2" s="21"/>
      <c r="CA2" s="21"/>
      <c r="CB2" s="21"/>
      <c r="CC2" s="21"/>
      <c r="CD2" s="21"/>
      <c r="CE2" s="21"/>
      <c r="CF2" s="21"/>
      <c r="CG2" s="21"/>
      <c r="CH2" s="21"/>
      <c r="CI2" s="21"/>
      <c r="CJ2" s="21"/>
      <c r="CK2" s="21"/>
      <c r="CL2" s="21"/>
      <c r="CM2" s="21"/>
      <c r="CN2" s="21"/>
      <c r="CO2" s="21"/>
      <c r="CP2" s="21"/>
      <c r="CQ2" s="21"/>
      <c r="CR2" s="21"/>
      <c r="CS2" s="21"/>
      <c r="CT2" s="21"/>
      <c r="CU2" s="21"/>
      <c r="CV2" s="21"/>
      <c r="CW2" s="21"/>
      <c r="CX2" s="21"/>
      <c r="CY2" s="21"/>
      <c r="CZ2" s="21"/>
      <c r="DA2" s="21"/>
      <c r="DB2" s="21"/>
      <c r="DC2" s="21"/>
      <c r="DD2" s="21"/>
      <c r="DE2" s="21"/>
      <c r="DF2" s="21"/>
      <c r="DG2" s="21"/>
      <c r="DH2" s="21"/>
      <c r="DI2" s="21"/>
      <c r="DJ2" s="21"/>
      <c r="DK2" s="21"/>
      <c r="DL2" s="21"/>
      <c r="DM2" s="21"/>
      <c r="DN2" s="21"/>
      <c r="DO2" s="21"/>
      <c r="DP2" s="21"/>
      <c r="DQ2" s="21"/>
      <c r="DR2" s="21"/>
      <c r="DS2" s="21"/>
      <c r="DT2" s="21"/>
      <c r="DU2" s="21"/>
      <c r="DV2" s="21"/>
      <c r="DW2" s="21"/>
      <c r="DX2" s="21"/>
      <c r="DY2" s="21"/>
      <c r="DZ2" s="21"/>
    </row>
    <row r="3" spans="1:130" ht="19.899999999999999" customHeight="1" x14ac:dyDescent="0.25">
      <c r="A3" s="25"/>
      <c r="B3" s="330" t="s">
        <v>134</v>
      </c>
      <c r="C3" s="331"/>
      <c r="D3" s="29"/>
      <c r="E3" s="29"/>
      <c r="F3" s="29"/>
      <c r="G3" s="29"/>
      <c r="H3" s="29"/>
      <c r="I3" s="29"/>
      <c r="J3" s="29"/>
      <c r="K3" s="29"/>
      <c r="L3" s="29"/>
      <c r="M3" s="29"/>
      <c r="N3" s="29"/>
      <c r="O3" s="6"/>
      <c r="P3" s="6"/>
      <c r="Q3" s="6"/>
      <c r="R3" s="6"/>
      <c r="S3" s="6"/>
      <c r="T3" s="6"/>
      <c r="U3" s="6"/>
      <c r="V3" s="6"/>
      <c r="W3" s="6"/>
      <c r="X3" s="6"/>
      <c r="Y3" s="119"/>
      <c r="Z3" s="23" t="s">
        <v>135</v>
      </c>
      <c r="AA3" s="23">
        <v>1</v>
      </c>
      <c r="AB3" s="23">
        <v>2</v>
      </c>
      <c r="AC3" s="23">
        <v>3</v>
      </c>
      <c r="AD3" s="23">
        <v>4</v>
      </c>
      <c r="AE3" s="23">
        <v>5</v>
      </c>
      <c r="AF3" s="23">
        <v>6</v>
      </c>
      <c r="AG3" s="23">
        <v>7</v>
      </c>
      <c r="AH3" s="23">
        <v>8</v>
      </c>
      <c r="AI3" s="23">
        <v>9</v>
      </c>
      <c r="AJ3" s="23">
        <v>10</v>
      </c>
      <c r="AK3" s="23">
        <v>11</v>
      </c>
      <c r="AL3" s="23">
        <v>12</v>
      </c>
      <c r="AM3" s="23">
        <v>13</v>
      </c>
      <c r="AN3" s="23">
        <v>14</v>
      </c>
      <c r="AO3" s="23">
        <v>15</v>
      </c>
      <c r="AP3" s="23">
        <v>16</v>
      </c>
      <c r="AQ3" s="23">
        <v>17</v>
      </c>
      <c r="AR3" s="23">
        <v>18</v>
      </c>
      <c r="AS3" s="23">
        <v>19</v>
      </c>
      <c r="AT3" s="23">
        <v>20</v>
      </c>
      <c r="AU3" s="23">
        <v>21</v>
      </c>
      <c r="AV3" s="23">
        <v>22</v>
      </c>
      <c r="AW3" s="23">
        <v>23</v>
      </c>
      <c r="AX3" s="23">
        <v>24</v>
      </c>
      <c r="AY3" s="23">
        <v>25</v>
      </c>
      <c r="AZ3" s="30"/>
      <c r="BA3" s="23">
        <v>1</v>
      </c>
      <c r="BB3" s="23">
        <v>2</v>
      </c>
      <c r="BC3" s="23">
        <v>3</v>
      </c>
      <c r="BD3" s="23">
        <v>4</v>
      </c>
      <c r="BE3" s="23">
        <v>5</v>
      </c>
      <c r="BF3" s="23">
        <v>6</v>
      </c>
      <c r="BG3" s="23">
        <v>7</v>
      </c>
      <c r="BH3" s="23">
        <v>8</v>
      </c>
      <c r="BI3" s="23">
        <v>9</v>
      </c>
      <c r="BJ3" s="23">
        <v>10</v>
      </c>
      <c r="BK3" s="23">
        <v>11</v>
      </c>
      <c r="BL3" s="23">
        <v>12</v>
      </c>
      <c r="BM3" s="23">
        <v>13</v>
      </c>
      <c r="BN3" s="23">
        <v>14</v>
      </c>
      <c r="BO3" s="23">
        <v>15</v>
      </c>
      <c r="BP3" s="23">
        <v>16</v>
      </c>
      <c r="BQ3" s="23">
        <v>17</v>
      </c>
      <c r="BR3" s="23">
        <v>18</v>
      </c>
      <c r="BS3" s="23">
        <v>19</v>
      </c>
      <c r="BT3" s="23">
        <v>20</v>
      </c>
      <c r="BU3" s="23">
        <v>21</v>
      </c>
      <c r="BV3" s="23">
        <v>22</v>
      </c>
      <c r="BW3" s="23">
        <v>23</v>
      </c>
      <c r="BX3" s="23">
        <v>24</v>
      </c>
      <c r="BY3" s="23">
        <v>25</v>
      </c>
      <c r="BZ3" s="30"/>
      <c r="CA3" s="23">
        <v>1</v>
      </c>
      <c r="CB3" s="23">
        <v>2</v>
      </c>
      <c r="CC3" s="23">
        <v>3</v>
      </c>
      <c r="CD3" s="23">
        <v>4</v>
      </c>
      <c r="CE3" s="23">
        <v>5</v>
      </c>
      <c r="CF3" s="23">
        <v>6</v>
      </c>
      <c r="CG3" s="23">
        <v>7</v>
      </c>
      <c r="CH3" s="23">
        <v>8</v>
      </c>
      <c r="CI3" s="23">
        <v>9</v>
      </c>
      <c r="CJ3" s="23">
        <v>10</v>
      </c>
      <c r="CK3" s="23">
        <v>11</v>
      </c>
      <c r="CL3" s="23">
        <v>12</v>
      </c>
      <c r="CM3" s="23">
        <v>13</v>
      </c>
      <c r="CN3" s="23">
        <v>14</v>
      </c>
      <c r="CO3" s="23">
        <v>15</v>
      </c>
      <c r="CP3" s="23">
        <v>16</v>
      </c>
      <c r="CQ3" s="23">
        <v>17</v>
      </c>
      <c r="CR3" s="23">
        <v>18</v>
      </c>
      <c r="CS3" s="23">
        <v>19</v>
      </c>
      <c r="CT3" s="23">
        <v>20</v>
      </c>
      <c r="CU3" s="23">
        <v>21</v>
      </c>
      <c r="CV3" s="23">
        <v>22</v>
      </c>
      <c r="CW3" s="23">
        <v>23</v>
      </c>
      <c r="CX3" s="23">
        <v>24</v>
      </c>
      <c r="CY3" s="23">
        <v>25</v>
      </c>
      <c r="CZ3" s="30"/>
      <c r="DA3" s="23">
        <v>1</v>
      </c>
      <c r="DB3" s="23">
        <v>2</v>
      </c>
      <c r="DC3" s="23">
        <v>3</v>
      </c>
      <c r="DD3" s="23">
        <v>4</v>
      </c>
      <c r="DE3" s="23">
        <v>5</v>
      </c>
      <c r="DF3" s="23">
        <v>6</v>
      </c>
      <c r="DG3" s="23">
        <v>7</v>
      </c>
      <c r="DH3" s="23">
        <v>8</v>
      </c>
      <c r="DI3" s="23">
        <v>9</v>
      </c>
      <c r="DJ3" s="23">
        <v>10</v>
      </c>
      <c r="DK3" s="23">
        <v>11</v>
      </c>
      <c r="DL3" s="23">
        <v>12</v>
      </c>
      <c r="DM3" s="23">
        <v>13</v>
      </c>
      <c r="DN3" s="23">
        <v>14</v>
      </c>
      <c r="DO3" s="23">
        <v>15</v>
      </c>
      <c r="DP3" s="23">
        <v>16</v>
      </c>
      <c r="DQ3" s="23">
        <v>17</v>
      </c>
      <c r="DR3" s="23">
        <v>18</v>
      </c>
      <c r="DS3" s="23">
        <v>19</v>
      </c>
      <c r="DT3" s="23">
        <v>20</v>
      </c>
      <c r="DU3" s="23">
        <v>21</v>
      </c>
      <c r="DV3" s="23">
        <v>22</v>
      </c>
      <c r="DW3" s="23">
        <v>23</v>
      </c>
      <c r="DX3" s="23">
        <v>24</v>
      </c>
      <c r="DY3" s="23">
        <v>25</v>
      </c>
      <c r="DZ3" s="23"/>
    </row>
    <row r="4" spans="1:130" ht="15.65" x14ac:dyDescent="0.35">
      <c r="A4" s="37" t="s">
        <v>133</v>
      </c>
      <c r="B4" s="31" t="s">
        <v>136</v>
      </c>
      <c r="C4" s="31" t="s">
        <v>137</v>
      </c>
      <c r="D4" s="32"/>
      <c r="E4" s="31" t="s">
        <v>138</v>
      </c>
      <c r="F4" s="31" t="s">
        <v>139</v>
      </c>
      <c r="G4" s="31" t="s">
        <v>152</v>
      </c>
      <c r="H4" s="31" t="s">
        <v>153</v>
      </c>
      <c r="I4" s="32"/>
      <c r="J4" s="31" t="s">
        <v>154</v>
      </c>
      <c r="K4" s="31" t="s">
        <v>140</v>
      </c>
      <c r="L4" s="31" t="s">
        <v>141</v>
      </c>
      <c r="M4" s="31" t="s">
        <v>155</v>
      </c>
      <c r="N4" s="31" t="s">
        <v>156</v>
      </c>
      <c r="O4" s="6"/>
      <c r="P4" s="6"/>
      <c r="Q4" s="6"/>
      <c r="R4" s="6"/>
      <c r="S4" s="6"/>
      <c r="T4" s="6"/>
      <c r="U4" s="6"/>
      <c r="V4" s="6"/>
      <c r="W4" s="6"/>
      <c r="X4" s="33"/>
      <c r="Y4" s="119"/>
      <c r="Z4" s="34">
        <v>1</v>
      </c>
      <c r="AA4" s="122"/>
      <c r="AB4" s="123"/>
      <c r="AC4" s="123"/>
      <c r="AD4" s="123"/>
      <c r="AE4" s="123"/>
      <c r="AF4" s="123"/>
      <c r="AG4" s="123"/>
      <c r="AH4" s="123"/>
      <c r="AI4" s="123"/>
      <c r="AJ4" s="123"/>
      <c r="AK4" s="123"/>
      <c r="AL4" s="123"/>
      <c r="AM4" s="123"/>
      <c r="AN4" s="123"/>
      <c r="AO4" s="123"/>
      <c r="AP4" s="123"/>
      <c r="AQ4" s="123"/>
      <c r="AR4" s="123"/>
      <c r="AS4" s="123"/>
      <c r="AT4" s="123"/>
      <c r="AU4" s="123"/>
      <c r="AV4" s="123"/>
      <c r="AW4" s="123"/>
      <c r="AX4" s="123"/>
      <c r="AY4" s="124"/>
      <c r="AZ4" s="35"/>
      <c r="BA4" s="36"/>
      <c r="BB4" s="36"/>
      <c r="BC4" s="36"/>
      <c r="BD4" s="36"/>
      <c r="BE4" s="36"/>
      <c r="BF4" s="36"/>
      <c r="BG4" s="36"/>
      <c r="BH4" s="36"/>
      <c r="BI4" s="36"/>
      <c r="BJ4" s="36"/>
      <c r="BK4" s="36"/>
      <c r="BL4" s="36"/>
      <c r="BM4" s="36"/>
      <c r="BN4" s="36"/>
      <c r="BO4" s="36"/>
      <c r="BP4" s="36"/>
      <c r="BQ4" s="36"/>
      <c r="BR4" s="36"/>
      <c r="BS4" s="36"/>
      <c r="BT4" s="36"/>
      <c r="BU4" s="36"/>
      <c r="BV4" s="36"/>
      <c r="BW4" s="36"/>
      <c r="BX4" s="36"/>
      <c r="BY4" s="36"/>
      <c r="BZ4" s="35"/>
      <c r="CA4" s="36"/>
      <c r="CB4" s="36"/>
      <c r="CC4" s="36"/>
      <c r="CD4" s="36"/>
      <c r="CE4" s="36"/>
      <c r="CF4" s="36"/>
      <c r="CG4" s="36"/>
      <c r="CH4" s="36"/>
      <c r="CI4" s="36"/>
      <c r="CJ4" s="36"/>
      <c r="CK4" s="36"/>
      <c r="CL4" s="36"/>
      <c r="CM4" s="36"/>
      <c r="CN4" s="36"/>
      <c r="CO4" s="36"/>
      <c r="CP4" s="36"/>
      <c r="CQ4" s="36"/>
      <c r="CR4" s="36"/>
      <c r="CS4" s="36"/>
      <c r="CT4" s="36"/>
      <c r="CU4" s="36"/>
      <c r="CV4" s="36"/>
      <c r="CW4" s="36"/>
      <c r="CX4" s="36"/>
      <c r="CY4" s="36"/>
      <c r="CZ4" s="36"/>
      <c r="DA4" s="36"/>
      <c r="DB4" s="36"/>
      <c r="DC4" s="36"/>
      <c r="DD4" s="36"/>
      <c r="DE4" s="36"/>
      <c r="DF4" s="36"/>
      <c r="DG4" s="36"/>
      <c r="DH4" s="36"/>
      <c r="DI4" s="36"/>
      <c r="DJ4" s="36"/>
      <c r="DK4" s="36"/>
      <c r="DL4" s="36"/>
      <c r="DM4" s="36"/>
      <c r="DN4" s="36"/>
      <c r="DO4" s="36"/>
      <c r="DP4" s="36"/>
      <c r="DQ4" s="36"/>
      <c r="DR4" s="36"/>
      <c r="DS4" s="36"/>
      <c r="DT4" s="36"/>
      <c r="DU4" s="36"/>
      <c r="DV4" s="36"/>
      <c r="DW4" s="36"/>
      <c r="DX4" s="36"/>
      <c r="DY4" s="36"/>
      <c r="DZ4" s="36"/>
    </row>
    <row r="5" spans="1:130" x14ac:dyDescent="0.25">
      <c r="A5" s="37">
        <v>1</v>
      </c>
      <c r="B5" s="38">
        <v>5</v>
      </c>
      <c r="C5" s="39">
        <v>25</v>
      </c>
      <c r="D5" s="22"/>
      <c r="E5" s="126">
        <f ca="1">IF(C5="","",J5-H5)</f>
        <v>28</v>
      </c>
      <c r="F5" s="126">
        <f t="shared" ref="F5:F14" ca="1" si="0">IF(E5="","",G5+H5)</f>
        <v>0</v>
      </c>
      <c r="G5" s="128">
        <f ca="1">IF(E5="","",DZ5)</f>
        <v>0</v>
      </c>
      <c r="H5" s="129">
        <f ca="1">IF(C5="","",CZ5)</f>
        <v>0</v>
      </c>
      <c r="I5" s="126"/>
      <c r="J5" s="126">
        <f ca="1">IF(AND($B5&gt;=1,$B5&lt;=40,$C5&gt;=1,$C5&lt;=25),IF($B5&gt;1,SUM(INDIRECT("BA4:BY"&amp;($B5+2))),0)+SUM(INDIRECT("BA"&amp;($B5+3)&amp;":B"&amp;CHAR(64+$C5)&amp;($B5+3))),0)</f>
        <v>28</v>
      </c>
      <c r="K5" s="126">
        <f ca="1">$E5</f>
        <v>28</v>
      </c>
      <c r="L5" s="126">
        <f ca="1">$F5</f>
        <v>0</v>
      </c>
      <c r="M5" s="126">
        <f ca="1">$G5</f>
        <v>0</v>
      </c>
      <c r="N5" s="126">
        <f ca="1">$H5</f>
        <v>0</v>
      </c>
      <c r="O5" s="6"/>
      <c r="P5" s="6"/>
      <c r="Q5" s="6"/>
      <c r="R5" s="6"/>
      <c r="S5" s="6"/>
      <c r="T5" s="6"/>
      <c r="U5" s="6"/>
      <c r="V5" s="6"/>
      <c r="W5" s="6"/>
      <c r="X5" s="6"/>
      <c r="Y5" s="119"/>
      <c r="Z5" s="34">
        <v>2</v>
      </c>
      <c r="AA5" s="40"/>
      <c r="AB5" s="41"/>
      <c r="AC5" s="41"/>
      <c r="AD5" s="42"/>
      <c r="AE5" s="42"/>
      <c r="AF5" s="41"/>
      <c r="AG5" s="42"/>
      <c r="AH5" s="42"/>
      <c r="AI5" s="42"/>
      <c r="AJ5" s="41"/>
      <c r="AK5" s="42"/>
      <c r="AL5" s="42"/>
      <c r="AM5" s="41"/>
      <c r="AN5" s="42"/>
      <c r="AO5" s="42"/>
      <c r="AP5" s="42"/>
      <c r="AQ5" s="42"/>
      <c r="AR5" s="42"/>
      <c r="AS5" s="42"/>
      <c r="AT5" s="41"/>
      <c r="AU5" s="42"/>
      <c r="AV5" s="42"/>
      <c r="AW5" s="42"/>
      <c r="AX5" s="42"/>
      <c r="AY5" s="43"/>
      <c r="AZ5" s="35"/>
      <c r="BA5" s="36"/>
      <c r="BB5" s="36">
        <v>1</v>
      </c>
      <c r="BC5" s="36">
        <v>1</v>
      </c>
      <c r="BD5" s="36"/>
      <c r="BE5" s="36"/>
      <c r="BF5" s="36">
        <v>1</v>
      </c>
      <c r="BG5" s="36"/>
      <c r="BH5" s="36"/>
      <c r="BI5" s="36"/>
      <c r="BJ5" s="36">
        <v>1</v>
      </c>
      <c r="BK5" s="36"/>
      <c r="BL5" s="36"/>
      <c r="BM5" s="36">
        <v>1</v>
      </c>
      <c r="BN5" s="36"/>
      <c r="BO5" s="36"/>
      <c r="BP5" s="36"/>
      <c r="BQ5" s="36"/>
      <c r="BR5" s="36"/>
      <c r="BS5" s="36"/>
      <c r="BT5" s="36">
        <v>1</v>
      </c>
      <c r="BU5" s="36"/>
      <c r="BV5" s="36"/>
      <c r="BW5" s="36"/>
      <c r="BX5" s="36"/>
      <c r="BY5" s="36"/>
      <c r="BZ5" s="35"/>
      <c r="CA5" s="36">
        <f t="shared" ref="CA5:CA43" si="1">IF(AND(BA5=1,UPPER(LEFT(AA5,1))="A"),1,0)</f>
        <v>0</v>
      </c>
      <c r="CB5" s="36">
        <f t="shared" ref="CB5:CB43" si="2">IF(AND(BB5=1,UPPER(LEFT(AB5,1))="A"),1,0)</f>
        <v>0</v>
      </c>
      <c r="CC5" s="36">
        <f t="shared" ref="CC5:CC43" si="3">IF(AND(BC5=1,UPPER(LEFT(AC5,1))="A"),1,0)</f>
        <v>0</v>
      </c>
      <c r="CD5" s="36">
        <f t="shared" ref="CD5:CD43" si="4">IF(AND(BD5=1,UPPER(LEFT(AD5,1))="A"),1,0)</f>
        <v>0</v>
      </c>
      <c r="CE5" s="36">
        <f t="shared" ref="CE5:CE43" si="5">IF(AND(BE5=1,UPPER(LEFT(AE5,1))="A"),1,0)</f>
        <v>0</v>
      </c>
      <c r="CF5" s="36">
        <f t="shared" ref="CF5:CF43" si="6">IF(AND(BF5=1,UPPER(LEFT(AF5,1))="A"),1,0)</f>
        <v>0</v>
      </c>
      <c r="CG5" s="36">
        <f t="shared" ref="CG5:CG43" si="7">IF(AND(BG5=1,UPPER(LEFT(AG5,1))="A"),1,0)</f>
        <v>0</v>
      </c>
      <c r="CH5" s="36">
        <f t="shared" ref="CH5:CH43" si="8">IF(AND(BH5=1,UPPER(LEFT(AH5,1))="A"),1,0)</f>
        <v>0</v>
      </c>
      <c r="CI5" s="36">
        <f t="shared" ref="CI5:CI43" si="9">IF(AND(BI5=1,UPPER(LEFT(AI5,1))="A"),1,0)</f>
        <v>0</v>
      </c>
      <c r="CJ5" s="36">
        <f t="shared" ref="CJ5:CJ43" si="10">IF(AND(BJ5=1,UPPER(LEFT(AJ5,1))="A"),1,0)</f>
        <v>0</v>
      </c>
      <c r="CK5" s="36">
        <f t="shared" ref="CK5:CK43" si="11">IF(AND(BK5=1,UPPER(LEFT(AK5,1))="A"),1,0)</f>
        <v>0</v>
      </c>
      <c r="CL5" s="36">
        <f t="shared" ref="CL5:CL43" si="12">IF(AND(BL5=1,UPPER(LEFT(AL5,1))="A"),1,0)</f>
        <v>0</v>
      </c>
      <c r="CM5" s="36">
        <f t="shared" ref="CM5:CM43" si="13">IF(AND(BM5=1,UPPER(LEFT(AM5,1))="A"),1,0)</f>
        <v>0</v>
      </c>
      <c r="CN5" s="36">
        <f t="shared" ref="CN5:CN43" si="14">IF(AND(BN5=1,UPPER(LEFT(AN5,1))="A"),1,0)</f>
        <v>0</v>
      </c>
      <c r="CO5" s="36">
        <f t="shared" ref="CO5:CO43" si="15">IF(AND(BO5=1,UPPER(LEFT(AO5,1))="A"),1,0)</f>
        <v>0</v>
      </c>
      <c r="CP5" s="36">
        <f t="shared" ref="CP5:CP43" si="16">IF(AND(BP5=1,UPPER(LEFT(AP5,1))="A"),1,0)</f>
        <v>0</v>
      </c>
      <c r="CQ5" s="36">
        <f t="shared" ref="CQ5:CQ43" si="17">IF(AND(BQ5=1,UPPER(LEFT(AQ5,1))="A"),1,0)</f>
        <v>0</v>
      </c>
      <c r="CR5" s="36">
        <f t="shared" ref="CR5:CR43" si="18">IF(AND(BR5=1,UPPER(LEFT(AR5,1))="A"),1,0)</f>
        <v>0</v>
      </c>
      <c r="CS5" s="36">
        <f t="shared" ref="CS5:CS43" si="19">IF(AND(BS5=1,UPPER(LEFT(AS5,1))="A"),1,0)</f>
        <v>0</v>
      </c>
      <c r="CT5" s="36">
        <f t="shared" ref="CT5:CT43" si="20">IF(AND(BT5=1,UPPER(LEFT(AT5,1))="A"),1,0)</f>
        <v>0</v>
      </c>
      <c r="CU5" s="36">
        <f t="shared" ref="CU5:CU43" si="21">IF(AND(BU5=1,UPPER(LEFT(AU5,1))="A"),1,0)</f>
        <v>0</v>
      </c>
      <c r="CV5" s="36">
        <f t="shared" ref="CV5:CV43" si="22">IF(AND(BV5=1,UPPER(LEFT(AV5,1))="A"),1,0)</f>
        <v>0</v>
      </c>
      <c r="CW5" s="36">
        <f t="shared" ref="CW5:CW43" si="23">IF(AND(BW5=1,UPPER(LEFT(AW5,1))="A"),1,0)</f>
        <v>0</v>
      </c>
      <c r="CX5" s="36">
        <f t="shared" ref="CX5:CX43" si="24">IF(AND(BX5=1,UPPER(LEFT(AX5,1))="A"),1,0)</f>
        <v>0</v>
      </c>
      <c r="CY5" s="36">
        <f t="shared" ref="CY5:CY43" si="25">IF(AND(BY5=1,UPPER(LEFT(AY5,1))="A"),1,0)</f>
        <v>0</v>
      </c>
      <c r="CZ5" s="36">
        <f t="shared" ref="CZ5:CZ14" ca="1" si="26">IF(AND($B5&gt;=1,$B5&lt;=40,$C5&gt;=1,$C5&lt;=25),IF($B5&gt;1,SUM(INDIRECT("CA4:CY" &amp; ($B5 + 2))),0)+SUM(INDIRECT("CA" &amp; ($B5+3) &amp; ":C" &amp; CHAR(64+$C5) &amp; ($B5+3))))</f>
        <v>0</v>
      </c>
      <c r="DA5" s="36">
        <f t="shared" ref="DA5:DA43" si="27">IF(AND(BA5&lt;1,UPPER(LEFT(AA5,1))="F"),1,0)</f>
        <v>0</v>
      </c>
      <c r="DB5" s="36">
        <f t="shared" ref="DB5:DB43" si="28">IF(AND(BB5&lt;1,UPPER(LEFT(AB5,1))="F"),1,0)</f>
        <v>0</v>
      </c>
      <c r="DC5" s="36">
        <f t="shared" ref="DC5:DC43" si="29">IF(AND(BC5&lt;1,UPPER(LEFT(AC5,1))="F"),1,0)</f>
        <v>0</v>
      </c>
      <c r="DD5" s="36">
        <f t="shared" ref="DD5:DD43" si="30">IF(AND(BD5&lt;1,UPPER(LEFT(AD5,1))="F"),1,0)</f>
        <v>0</v>
      </c>
      <c r="DE5" s="36">
        <f t="shared" ref="DE5:DE43" si="31">IF(AND(BE5&lt;1,UPPER(LEFT(AE5,1))="F"),1,0)</f>
        <v>0</v>
      </c>
      <c r="DF5" s="36">
        <f t="shared" ref="DF5:DF43" si="32">IF(AND(BF5&lt;1,UPPER(LEFT(AF5,1))="F"),1,0)</f>
        <v>0</v>
      </c>
      <c r="DG5" s="36">
        <f t="shared" ref="DG5:DG43" si="33">IF(AND(BG5&lt;1,UPPER(LEFT(AG5,1))="F"),1,0)</f>
        <v>0</v>
      </c>
      <c r="DH5" s="36">
        <f t="shared" ref="DH5:DH43" si="34">IF(AND(BH5&lt;1,UPPER(LEFT(AH5,1))="F"),1,0)</f>
        <v>0</v>
      </c>
      <c r="DI5" s="36">
        <f t="shared" ref="DI5:DI43" si="35">IF(AND(BI5&lt;1,UPPER(LEFT(AI5,1))="F"),1,0)</f>
        <v>0</v>
      </c>
      <c r="DJ5" s="36">
        <f t="shared" ref="DJ5:DJ43" si="36">IF(AND(BJ5&lt;1,UPPER(LEFT(AJ5,1))="F"),1,0)</f>
        <v>0</v>
      </c>
      <c r="DK5" s="36">
        <f t="shared" ref="DK5:DK43" si="37">IF(AND(BK5&lt;1,UPPER(LEFT(AK5,1))="F"),1,0)</f>
        <v>0</v>
      </c>
      <c r="DL5" s="36">
        <f t="shared" ref="DL5:DL43" si="38">IF(AND(BL5&lt;1,UPPER(LEFT(AL5,1))="F"),1,0)</f>
        <v>0</v>
      </c>
      <c r="DM5" s="36">
        <f t="shared" ref="DM5:DM43" si="39">IF(AND(BM5&lt;1,UPPER(LEFT(AM5,1))="F"),1,0)</f>
        <v>0</v>
      </c>
      <c r="DN5" s="36">
        <f t="shared" ref="DN5:DN43" si="40">IF(AND(BN5&lt;1,UPPER(LEFT(AN5,1))="F"),1,0)</f>
        <v>0</v>
      </c>
      <c r="DO5" s="36">
        <f t="shared" ref="DO5:DO43" si="41">IF(AND(BO5&lt;1,UPPER(LEFT(AO5,1))="F"),1,0)</f>
        <v>0</v>
      </c>
      <c r="DP5" s="36">
        <f t="shared" ref="DP5:DP43" si="42">IF(AND(BP5&lt;1,UPPER(LEFT(AP5,1))="F"),1,0)</f>
        <v>0</v>
      </c>
      <c r="DQ5" s="36">
        <f t="shared" ref="DQ5:DQ43" si="43">IF(AND(BQ5&lt;1,UPPER(LEFT(AQ5,1))="F"),1,0)</f>
        <v>0</v>
      </c>
      <c r="DR5" s="36">
        <f t="shared" ref="DR5:DR43" si="44">IF(AND(BR5&lt;1,UPPER(LEFT(AR5,1))="F"),1,0)</f>
        <v>0</v>
      </c>
      <c r="DS5" s="36">
        <f t="shared" ref="DS5:DS43" si="45">IF(AND(BS5&lt;1,UPPER(LEFT(AS5,1))="F"),1,0)</f>
        <v>0</v>
      </c>
      <c r="DT5" s="36">
        <f t="shared" ref="DT5:DT43" si="46">IF(AND(BT5&lt;1,UPPER(LEFT(AT5,1))="F"),1,0)</f>
        <v>0</v>
      </c>
      <c r="DU5" s="36">
        <f t="shared" ref="DU5:DU43" si="47">IF(AND(BU5&lt;1,UPPER(LEFT(AU5,1))="F"),1,0)</f>
        <v>0</v>
      </c>
      <c r="DV5" s="36">
        <f t="shared" ref="DV5:DV43" si="48">IF(AND(BV5&lt;1,UPPER(LEFT(AV5,1))="F"),1,0)</f>
        <v>0</v>
      </c>
      <c r="DW5" s="36">
        <f t="shared" ref="DW5:DW43" si="49">IF(AND(BW5&lt;1,UPPER(LEFT(AW5,1))="F"),1,0)</f>
        <v>0</v>
      </c>
      <c r="DX5" s="36">
        <f t="shared" ref="DX5:DX43" si="50">IF(AND(BX5&lt;1,UPPER(LEFT(AX5,1))="F"),1,0)</f>
        <v>0</v>
      </c>
      <c r="DY5" s="36">
        <f t="shared" ref="DY5:DY43" si="51">IF(AND(BY5&lt;1,UPPER(LEFT(AY5,1))="F"),1,0)</f>
        <v>0</v>
      </c>
      <c r="DZ5" s="36">
        <f t="shared" ref="DZ5:DZ14" ca="1" si="52">IF(AND($B5&gt;=1,$B5&lt;=40,$C5&gt;=1,$C5&lt;=25),IF($B5&gt;1,SUM(INDIRECT("DA4:DY" &amp; ($B5+2))),0)+SUM(INDIRECT("DA" &amp; ($B5+3) &amp; ":D" &amp; CHAR(64+$C5) &amp; ($B5+3))))</f>
        <v>0</v>
      </c>
    </row>
    <row r="6" spans="1:130" x14ac:dyDescent="0.25">
      <c r="A6" s="37">
        <v>2</v>
      </c>
      <c r="B6" s="38">
        <v>9</v>
      </c>
      <c r="C6" s="39">
        <v>10</v>
      </c>
      <c r="D6" s="22"/>
      <c r="E6" s="22">
        <f t="shared" ref="E6:E14" ca="1" si="53">IF(J6=J5,"",(J6-J5)-H6)</f>
        <v>22</v>
      </c>
      <c r="F6" s="22">
        <f t="shared" ca="1" si="0"/>
        <v>0</v>
      </c>
      <c r="G6" s="130">
        <f t="shared" ref="G6:G14" ca="1" si="54">IF(E6="","",DZ6-DZ5)</f>
        <v>0</v>
      </c>
      <c r="H6" s="131">
        <f t="shared" ref="H6:H14" ca="1" si="55">IF(C6="","",CZ6-CZ5)</f>
        <v>0</v>
      </c>
      <c r="I6" s="22"/>
      <c r="J6" s="22">
        <f t="shared" ref="J6:J14" ca="1" si="56">IF(AND($B6&gt;=1,$B6&lt;=40,$C6&gt;=1,$C6&lt;=25),IF($B6&gt;1,SUM(INDIRECT("BA4:BY" &amp; ($B6 +2))),0)+SUM(INDIRECT("BA" &amp; ($B6+3) &amp; ":B" &amp; CHAR(64+$C6) &amp; ($B6+3))),J5)</f>
        <v>50</v>
      </c>
      <c r="K6" s="22">
        <f t="shared" ref="K6:K14" ca="1" si="57">IF(E6="",K5,K5+$E6)</f>
        <v>50</v>
      </c>
      <c r="L6" s="22">
        <f t="shared" ref="L6:L14" ca="1" si="58">IF(F6="",L5,L5+$F6)</f>
        <v>0</v>
      </c>
      <c r="M6" s="22">
        <f t="shared" ref="M6:M14" ca="1" si="59">IF(G6="",M5,M5+$G6)</f>
        <v>0</v>
      </c>
      <c r="N6" s="22">
        <f t="shared" ref="N6:N14" ca="1" si="60">IF(H6="",N5,N5+$H6)</f>
        <v>0</v>
      </c>
      <c r="O6" s="6"/>
      <c r="P6" s="6"/>
      <c r="Q6" s="6"/>
      <c r="R6" s="6"/>
      <c r="S6" s="6"/>
      <c r="T6" s="6"/>
      <c r="U6" s="6"/>
      <c r="V6" s="6"/>
      <c r="W6" s="6"/>
      <c r="X6" s="6"/>
      <c r="Y6" s="119"/>
      <c r="Z6" s="34">
        <v>3</v>
      </c>
      <c r="AA6" s="40"/>
      <c r="AB6" s="42"/>
      <c r="AC6" s="42"/>
      <c r="AD6" s="41"/>
      <c r="AE6" s="42"/>
      <c r="AF6" s="42"/>
      <c r="AG6" s="41"/>
      <c r="AH6" s="42"/>
      <c r="AI6" s="42"/>
      <c r="AJ6" s="42"/>
      <c r="AK6" s="41"/>
      <c r="AL6" s="42"/>
      <c r="AM6" s="42"/>
      <c r="AN6" s="41"/>
      <c r="AO6" s="42"/>
      <c r="AP6" s="42"/>
      <c r="AQ6" s="41"/>
      <c r="AR6" s="42"/>
      <c r="AS6" s="42"/>
      <c r="AT6" s="42"/>
      <c r="AU6" s="42"/>
      <c r="AV6" s="42"/>
      <c r="AW6" s="42"/>
      <c r="AX6" s="41"/>
      <c r="AY6" s="43"/>
      <c r="AZ6" s="35"/>
      <c r="BA6" s="36"/>
      <c r="BB6" s="36"/>
      <c r="BC6" s="36"/>
      <c r="BD6" s="36">
        <v>1</v>
      </c>
      <c r="BE6" s="36"/>
      <c r="BF6" s="36"/>
      <c r="BG6" s="36">
        <v>1</v>
      </c>
      <c r="BH6" s="36"/>
      <c r="BI6" s="36"/>
      <c r="BJ6" s="36"/>
      <c r="BK6" s="36">
        <v>1</v>
      </c>
      <c r="BL6" s="36"/>
      <c r="BM6" s="36"/>
      <c r="BN6" s="36">
        <v>1</v>
      </c>
      <c r="BO6" s="36"/>
      <c r="BP6" s="36"/>
      <c r="BQ6" s="36">
        <v>1</v>
      </c>
      <c r="BR6" s="36"/>
      <c r="BS6" s="36"/>
      <c r="BT6" s="36"/>
      <c r="BU6" s="36"/>
      <c r="BV6" s="36"/>
      <c r="BW6" s="36"/>
      <c r="BX6" s="36">
        <v>1</v>
      </c>
      <c r="BY6" s="36"/>
      <c r="BZ6" s="35"/>
      <c r="CA6" s="36">
        <f t="shared" si="1"/>
        <v>0</v>
      </c>
      <c r="CB6" s="36">
        <f t="shared" si="2"/>
        <v>0</v>
      </c>
      <c r="CC6" s="36">
        <f t="shared" si="3"/>
        <v>0</v>
      </c>
      <c r="CD6" s="36">
        <f t="shared" si="4"/>
        <v>0</v>
      </c>
      <c r="CE6" s="36">
        <f t="shared" si="5"/>
        <v>0</v>
      </c>
      <c r="CF6" s="36">
        <f t="shared" si="6"/>
        <v>0</v>
      </c>
      <c r="CG6" s="36">
        <f t="shared" si="7"/>
        <v>0</v>
      </c>
      <c r="CH6" s="36">
        <f t="shared" si="8"/>
        <v>0</v>
      </c>
      <c r="CI6" s="36">
        <f t="shared" si="9"/>
        <v>0</v>
      </c>
      <c r="CJ6" s="36">
        <f t="shared" si="10"/>
        <v>0</v>
      </c>
      <c r="CK6" s="36">
        <f t="shared" si="11"/>
        <v>0</v>
      </c>
      <c r="CL6" s="36">
        <f t="shared" si="12"/>
        <v>0</v>
      </c>
      <c r="CM6" s="36">
        <f t="shared" si="13"/>
        <v>0</v>
      </c>
      <c r="CN6" s="36">
        <f t="shared" si="14"/>
        <v>0</v>
      </c>
      <c r="CO6" s="36">
        <f t="shared" si="15"/>
        <v>0</v>
      </c>
      <c r="CP6" s="36">
        <f t="shared" si="16"/>
        <v>0</v>
      </c>
      <c r="CQ6" s="36">
        <f t="shared" si="17"/>
        <v>0</v>
      </c>
      <c r="CR6" s="36">
        <f t="shared" si="18"/>
        <v>0</v>
      </c>
      <c r="CS6" s="36">
        <f t="shared" si="19"/>
        <v>0</v>
      </c>
      <c r="CT6" s="36">
        <f t="shared" si="20"/>
        <v>0</v>
      </c>
      <c r="CU6" s="36">
        <f t="shared" si="21"/>
        <v>0</v>
      </c>
      <c r="CV6" s="36">
        <f t="shared" si="22"/>
        <v>0</v>
      </c>
      <c r="CW6" s="36">
        <f t="shared" si="23"/>
        <v>0</v>
      </c>
      <c r="CX6" s="36">
        <f t="shared" si="24"/>
        <v>0</v>
      </c>
      <c r="CY6" s="36">
        <f t="shared" si="25"/>
        <v>0</v>
      </c>
      <c r="CZ6" s="36">
        <f t="shared" ca="1" si="26"/>
        <v>0</v>
      </c>
      <c r="DA6" s="36">
        <f t="shared" si="27"/>
        <v>0</v>
      </c>
      <c r="DB6" s="36">
        <f t="shared" si="28"/>
        <v>0</v>
      </c>
      <c r="DC6" s="36">
        <f t="shared" si="29"/>
        <v>0</v>
      </c>
      <c r="DD6" s="36">
        <f t="shared" si="30"/>
        <v>0</v>
      </c>
      <c r="DE6" s="36">
        <f t="shared" si="31"/>
        <v>0</v>
      </c>
      <c r="DF6" s="36">
        <f t="shared" si="32"/>
        <v>0</v>
      </c>
      <c r="DG6" s="36">
        <f t="shared" si="33"/>
        <v>0</v>
      </c>
      <c r="DH6" s="36">
        <f t="shared" si="34"/>
        <v>0</v>
      </c>
      <c r="DI6" s="36">
        <f t="shared" si="35"/>
        <v>0</v>
      </c>
      <c r="DJ6" s="36">
        <f t="shared" si="36"/>
        <v>0</v>
      </c>
      <c r="DK6" s="36">
        <f t="shared" si="37"/>
        <v>0</v>
      </c>
      <c r="DL6" s="36">
        <f t="shared" si="38"/>
        <v>0</v>
      </c>
      <c r="DM6" s="36">
        <f t="shared" si="39"/>
        <v>0</v>
      </c>
      <c r="DN6" s="36">
        <f t="shared" si="40"/>
        <v>0</v>
      </c>
      <c r="DO6" s="36">
        <f t="shared" si="41"/>
        <v>0</v>
      </c>
      <c r="DP6" s="36">
        <f t="shared" si="42"/>
        <v>0</v>
      </c>
      <c r="DQ6" s="36">
        <f t="shared" si="43"/>
        <v>0</v>
      </c>
      <c r="DR6" s="36">
        <f t="shared" si="44"/>
        <v>0</v>
      </c>
      <c r="DS6" s="36">
        <f t="shared" si="45"/>
        <v>0</v>
      </c>
      <c r="DT6" s="36">
        <f t="shared" si="46"/>
        <v>0</v>
      </c>
      <c r="DU6" s="36">
        <f t="shared" si="47"/>
        <v>0</v>
      </c>
      <c r="DV6" s="36">
        <f t="shared" si="48"/>
        <v>0</v>
      </c>
      <c r="DW6" s="36">
        <f t="shared" si="49"/>
        <v>0</v>
      </c>
      <c r="DX6" s="36">
        <f t="shared" si="50"/>
        <v>0</v>
      </c>
      <c r="DY6" s="36">
        <f t="shared" si="51"/>
        <v>0</v>
      </c>
      <c r="DZ6" s="36">
        <f t="shared" ca="1" si="52"/>
        <v>0</v>
      </c>
    </row>
    <row r="7" spans="1:130" x14ac:dyDescent="0.25">
      <c r="A7" s="37">
        <v>3</v>
      </c>
      <c r="B7" s="38">
        <v>13</v>
      </c>
      <c r="C7" s="39">
        <v>10</v>
      </c>
      <c r="D7" s="22"/>
      <c r="E7" s="22">
        <f t="shared" ca="1" si="53"/>
        <v>21</v>
      </c>
      <c r="F7" s="22">
        <f t="shared" ca="1" si="0"/>
        <v>1</v>
      </c>
      <c r="G7" s="130">
        <f t="shared" ca="1" si="54"/>
        <v>0</v>
      </c>
      <c r="H7" s="131">
        <f t="shared" ca="1" si="55"/>
        <v>1</v>
      </c>
      <c r="I7" s="22"/>
      <c r="J7" s="22">
        <f t="shared" ca="1" si="56"/>
        <v>72</v>
      </c>
      <c r="K7" s="22">
        <f t="shared" ca="1" si="57"/>
        <v>71</v>
      </c>
      <c r="L7" s="22">
        <f t="shared" ca="1" si="58"/>
        <v>1</v>
      </c>
      <c r="M7" s="22">
        <f t="shared" ca="1" si="59"/>
        <v>0</v>
      </c>
      <c r="N7" s="22">
        <f t="shared" ca="1" si="60"/>
        <v>1</v>
      </c>
      <c r="O7" s="6"/>
      <c r="P7" s="6"/>
      <c r="Q7" s="6"/>
      <c r="R7" s="6"/>
      <c r="S7" s="6"/>
      <c r="T7" s="6"/>
      <c r="U7" s="6"/>
      <c r="V7" s="6"/>
      <c r="W7" s="6"/>
      <c r="X7" s="6"/>
      <c r="Y7" s="119"/>
      <c r="Z7" s="34">
        <v>4</v>
      </c>
      <c r="AA7" s="44"/>
      <c r="AB7" s="41"/>
      <c r="AC7" s="42"/>
      <c r="AD7" s="41"/>
      <c r="AE7" s="41"/>
      <c r="AF7" s="41"/>
      <c r="AG7" s="42"/>
      <c r="AH7" s="42"/>
      <c r="AI7" s="42"/>
      <c r="AJ7" s="41"/>
      <c r="AK7" s="42"/>
      <c r="AL7" s="42"/>
      <c r="AM7" s="42"/>
      <c r="AN7" s="42"/>
      <c r="AO7" s="42"/>
      <c r="AP7" s="42"/>
      <c r="AQ7" s="42"/>
      <c r="AR7" s="42"/>
      <c r="AS7" s="41"/>
      <c r="AT7" s="42"/>
      <c r="AU7" s="41"/>
      <c r="AV7" s="42"/>
      <c r="AW7" s="42"/>
      <c r="AX7" s="41"/>
      <c r="AY7" s="45"/>
      <c r="AZ7" s="35"/>
      <c r="BA7" s="36">
        <v>1</v>
      </c>
      <c r="BB7" s="36">
        <v>1</v>
      </c>
      <c r="BC7" s="36"/>
      <c r="BD7" s="36">
        <v>1</v>
      </c>
      <c r="BE7" s="36">
        <v>1</v>
      </c>
      <c r="BF7" s="36">
        <v>1</v>
      </c>
      <c r="BG7" s="36"/>
      <c r="BH7" s="36"/>
      <c r="BI7" s="36"/>
      <c r="BJ7" s="36">
        <v>1</v>
      </c>
      <c r="BK7" s="36"/>
      <c r="BL7" s="36"/>
      <c r="BM7" s="36"/>
      <c r="BN7" s="36"/>
      <c r="BO7" s="36"/>
      <c r="BP7" s="36"/>
      <c r="BQ7" s="36"/>
      <c r="BR7" s="36"/>
      <c r="BS7" s="36">
        <v>1</v>
      </c>
      <c r="BT7" s="36"/>
      <c r="BU7" s="36">
        <v>1</v>
      </c>
      <c r="BV7" s="36"/>
      <c r="BW7" s="36"/>
      <c r="BX7" s="36">
        <v>1</v>
      </c>
      <c r="BY7" s="36">
        <v>1</v>
      </c>
      <c r="BZ7" s="35"/>
      <c r="CA7" s="36">
        <f t="shared" si="1"/>
        <v>0</v>
      </c>
      <c r="CB7" s="36">
        <f t="shared" si="2"/>
        <v>0</v>
      </c>
      <c r="CC7" s="36">
        <f t="shared" si="3"/>
        <v>0</v>
      </c>
      <c r="CD7" s="36">
        <f t="shared" si="4"/>
        <v>0</v>
      </c>
      <c r="CE7" s="36">
        <f t="shared" si="5"/>
        <v>0</v>
      </c>
      <c r="CF7" s="36">
        <f t="shared" si="6"/>
        <v>0</v>
      </c>
      <c r="CG7" s="36">
        <f t="shared" si="7"/>
        <v>0</v>
      </c>
      <c r="CH7" s="36">
        <f t="shared" si="8"/>
        <v>0</v>
      </c>
      <c r="CI7" s="36">
        <f t="shared" si="9"/>
        <v>0</v>
      </c>
      <c r="CJ7" s="36">
        <f t="shared" si="10"/>
        <v>0</v>
      </c>
      <c r="CK7" s="36">
        <f t="shared" si="11"/>
        <v>0</v>
      </c>
      <c r="CL7" s="36">
        <f t="shared" si="12"/>
        <v>0</v>
      </c>
      <c r="CM7" s="36">
        <f t="shared" si="13"/>
        <v>0</v>
      </c>
      <c r="CN7" s="36">
        <f t="shared" si="14"/>
        <v>0</v>
      </c>
      <c r="CO7" s="36">
        <f t="shared" si="15"/>
        <v>0</v>
      </c>
      <c r="CP7" s="36">
        <f t="shared" si="16"/>
        <v>0</v>
      </c>
      <c r="CQ7" s="36">
        <f t="shared" si="17"/>
        <v>0</v>
      </c>
      <c r="CR7" s="36">
        <f t="shared" si="18"/>
        <v>0</v>
      </c>
      <c r="CS7" s="36">
        <f t="shared" si="19"/>
        <v>0</v>
      </c>
      <c r="CT7" s="36">
        <f t="shared" si="20"/>
        <v>0</v>
      </c>
      <c r="CU7" s="36">
        <f t="shared" si="21"/>
        <v>0</v>
      </c>
      <c r="CV7" s="36">
        <f t="shared" si="22"/>
        <v>0</v>
      </c>
      <c r="CW7" s="36">
        <f t="shared" si="23"/>
        <v>0</v>
      </c>
      <c r="CX7" s="36">
        <f t="shared" si="24"/>
        <v>0</v>
      </c>
      <c r="CY7" s="36">
        <f t="shared" si="25"/>
        <v>0</v>
      </c>
      <c r="CZ7" s="36">
        <f t="shared" ca="1" si="26"/>
        <v>1</v>
      </c>
      <c r="DA7" s="36">
        <f t="shared" si="27"/>
        <v>0</v>
      </c>
      <c r="DB7" s="36">
        <f t="shared" si="28"/>
        <v>0</v>
      </c>
      <c r="DC7" s="36">
        <f t="shared" si="29"/>
        <v>0</v>
      </c>
      <c r="DD7" s="36">
        <f t="shared" si="30"/>
        <v>0</v>
      </c>
      <c r="DE7" s="36">
        <f t="shared" si="31"/>
        <v>0</v>
      </c>
      <c r="DF7" s="36">
        <f t="shared" si="32"/>
        <v>0</v>
      </c>
      <c r="DG7" s="36">
        <f t="shared" si="33"/>
        <v>0</v>
      </c>
      <c r="DH7" s="36">
        <f t="shared" si="34"/>
        <v>0</v>
      </c>
      <c r="DI7" s="36">
        <f t="shared" si="35"/>
        <v>0</v>
      </c>
      <c r="DJ7" s="36">
        <f t="shared" si="36"/>
        <v>0</v>
      </c>
      <c r="DK7" s="36">
        <f t="shared" si="37"/>
        <v>0</v>
      </c>
      <c r="DL7" s="36">
        <f t="shared" si="38"/>
        <v>0</v>
      </c>
      <c r="DM7" s="36">
        <f t="shared" si="39"/>
        <v>0</v>
      </c>
      <c r="DN7" s="36">
        <f t="shared" si="40"/>
        <v>0</v>
      </c>
      <c r="DO7" s="36">
        <f t="shared" si="41"/>
        <v>0</v>
      </c>
      <c r="DP7" s="36">
        <f t="shared" si="42"/>
        <v>0</v>
      </c>
      <c r="DQ7" s="36">
        <f t="shared" si="43"/>
        <v>0</v>
      </c>
      <c r="DR7" s="36">
        <f t="shared" si="44"/>
        <v>0</v>
      </c>
      <c r="DS7" s="36">
        <f t="shared" si="45"/>
        <v>0</v>
      </c>
      <c r="DT7" s="36">
        <f t="shared" si="46"/>
        <v>0</v>
      </c>
      <c r="DU7" s="36">
        <f t="shared" si="47"/>
        <v>0</v>
      </c>
      <c r="DV7" s="36">
        <f t="shared" si="48"/>
        <v>0</v>
      </c>
      <c r="DW7" s="36">
        <f t="shared" si="49"/>
        <v>0</v>
      </c>
      <c r="DX7" s="36">
        <f t="shared" si="50"/>
        <v>0</v>
      </c>
      <c r="DY7" s="36">
        <f t="shared" si="51"/>
        <v>0</v>
      </c>
      <c r="DZ7" s="36">
        <f t="shared" ca="1" si="52"/>
        <v>0</v>
      </c>
    </row>
    <row r="8" spans="1:130" x14ac:dyDescent="0.25">
      <c r="A8" s="37">
        <v>4</v>
      </c>
      <c r="B8" s="38">
        <v>16</v>
      </c>
      <c r="C8" s="39">
        <v>25</v>
      </c>
      <c r="D8" s="22"/>
      <c r="E8" s="22">
        <f t="shared" ca="1" si="53"/>
        <v>19</v>
      </c>
      <c r="F8" s="22">
        <f t="shared" ca="1" si="0"/>
        <v>0</v>
      </c>
      <c r="G8" s="130">
        <f t="shared" ca="1" si="54"/>
        <v>0</v>
      </c>
      <c r="H8" s="131">
        <f t="shared" ca="1" si="55"/>
        <v>0</v>
      </c>
      <c r="I8" s="22"/>
      <c r="J8" s="22">
        <f t="shared" ca="1" si="56"/>
        <v>91</v>
      </c>
      <c r="K8" s="22">
        <f t="shared" ca="1" si="57"/>
        <v>90</v>
      </c>
      <c r="L8" s="22">
        <f t="shared" ca="1" si="58"/>
        <v>1</v>
      </c>
      <c r="M8" s="22">
        <f t="shared" ca="1" si="59"/>
        <v>0</v>
      </c>
      <c r="N8" s="22">
        <f t="shared" ca="1" si="60"/>
        <v>1</v>
      </c>
      <c r="O8" s="6"/>
      <c r="P8" s="6"/>
      <c r="Q8" s="6"/>
      <c r="R8" s="6"/>
      <c r="S8" s="6"/>
      <c r="T8" s="6"/>
      <c r="U8" s="6"/>
      <c r="V8" s="6"/>
      <c r="W8" s="6"/>
      <c r="X8" s="6"/>
      <c r="Y8" s="119"/>
      <c r="Z8" s="34">
        <v>5</v>
      </c>
      <c r="AA8" s="40"/>
      <c r="AB8" s="41"/>
      <c r="AC8" s="42"/>
      <c r="AD8" s="42"/>
      <c r="AE8" s="42"/>
      <c r="AF8" s="42"/>
      <c r="AG8" s="42"/>
      <c r="AH8" s="42"/>
      <c r="AI8" s="41"/>
      <c r="AJ8" s="42"/>
      <c r="AK8" s="42"/>
      <c r="AL8" s="41"/>
      <c r="AM8" s="42"/>
      <c r="AN8" s="42"/>
      <c r="AO8" s="42"/>
      <c r="AP8" s="41"/>
      <c r="AQ8" s="42"/>
      <c r="AR8" s="42"/>
      <c r="AS8" s="41"/>
      <c r="AT8" s="42"/>
      <c r="AU8" s="42"/>
      <c r="AV8" s="41"/>
      <c r="AW8" s="42"/>
      <c r="AX8" s="42"/>
      <c r="AY8" s="43"/>
      <c r="AZ8" s="35"/>
      <c r="BA8" s="36"/>
      <c r="BB8" s="36">
        <v>1</v>
      </c>
      <c r="BC8" s="36"/>
      <c r="BD8" s="36"/>
      <c r="BE8" s="36"/>
      <c r="BF8" s="36"/>
      <c r="BG8" s="36"/>
      <c r="BH8" s="36"/>
      <c r="BI8" s="36">
        <v>1</v>
      </c>
      <c r="BJ8" s="36"/>
      <c r="BK8" s="36"/>
      <c r="BL8" s="36">
        <v>1</v>
      </c>
      <c r="BM8" s="36"/>
      <c r="BN8" s="36"/>
      <c r="BO8" s="36"/>
      <c r="BP8" s="36">
        <v>1</v>
      </c>
      <c r="BQ8" s="36"/>
      <c r="BR8" s="36"/>
      <c r="BS8" s="36">
        <v>1</v>
      </c>
      <c r="BT8" s="36"/>
      <c r="BU8" s="36"/>
      <c r="BV8" s="36">
        <v>1</v>
      </c>
      <c r="BW8" s="36"/>
      <c r="BX8" s="36"/>
      <c r="BY8" s="36"/>
      <c r="BZ8" s="35"/>
      <c r="CA8" s="36">
        <f t="shared" si="1"/>
        <v>0</v>
      </c>
      <c r="CB8" s="36">
        <f t="shared" si="2"/>
        <v>0</v>
      </c>
      <c r="CC8" s="36">
        <f t="shared" si="3"/>
        <v>0</v>
      </c>
      <c r="CD8" s="36">
        <f t="shared" si="4"/>
        <v>0</v>
      </c>
      <c r="CE8" s="36">
        <f t="shared" si="5"/>
        <v>0</v>
      </c>
      <c r="CF8" s="36">
        <f t="shared" si="6"/>
        <v>0</v>
      </c>
      <c r="CG8" s="36">
        <f t="shared" si="7"/>
        <v>0</v>
      </c>
      <c r="CH8" s="36">
        <f t="shared" si="8"/>
        <v>0</v>
      </c>
      <c r="CI8" s="36">
        <f t="shared" si="9"/>
        <v>0</v>
      </c>
      <c r="CJ8" s="36">
        <f t="shared" si="10"/>
        <v>0</v>
      </c>
      <c r="CK8" s="36">
        <f t="shared" si="11"/>
        <v>0</v>
      </c>
      <c r="CL8" s="36">
        <f t="shared" si="12"/>
        <v>0</v>
      </c>
      <c r="CM8" s="36">
        <f t="shared" si="13"/>
        <v>0</v>
      </c>
      <c r="CN8" s="36">
        <f t="shared" si="14"/>
        <v>0</v>
      </c>
      <c r="CO8" s="36">
        <f t="shared" si="15"/>
        <v>0</v>
      </c>
      <c r="CP8" s="36">
        <f t="shared" si="16"/>
        <v>0</v>
      </c>
      <c r="CQ8" s="36">
        <f t="shared" si="17"/>
        <v>0</v>
      </c>
      <c r="CR8" s="36">
        <f t="shared" si="18"/>
        <v>0</v>
      </c>
      <c r="CS8" s="36">
        <f t="shared" si="19"/>
        <v>0</v>
      </c>
      <c r="CT8" s="36">
        <f t="shared" si="20"/>
        <v>0</v>
      </c>
      <c r="CU8" s="36">
        <f t="shared" si="21"/>
        <v>0</v>
      </c>
      <c r="CV8" s="36">
        <f t="shared" si="22"/>
        <v>0</v>
      </c>
      <c r="CW8" s="36">
        <f t="shared" si="23"/>
        <v>0</v>
      </c>
      <c r="CX8" s="36">
        <f t="shared" si="24"/>
        <v>0</v>
      </c>
      <c r="CY8" s="36">
        <f t="shared" si="25"/>
        <v>0</v>
      </c>
      <c r="CZ8" s="36">
        <f t="shared" ca="1" si="26"/>
        <v>1</v>
      </c>
      <c r="DA8" s="36">
        <f t="shared" si="27"/>
        <v>0</v>
      </c>
      <c r="DB8" s="36">
        <f t="shared" si="28"/>
        <v>0</v>
      </c>
      <c r="DC8" s="36">
        <f t="shared" si="29"/>
        <v>0</v>
      </c>
      <c r="DD8" s="36">
        <f t="shared" si="30"/>
        <v>0</v>
      </c>
      <c r="DE8" s="36">
        <f t="shared" si="31"/>
        <v>0</v>
      </c>
      <c r="DF8" s="36">
        <f t="shared" si="32"/>
        <v>0</v>
      </c>
      <c r="DG8" s="36">
        <f t="shared" si="33"/>
        <v>0</v>
      </c>
      <c r="DH8" s="36">
        <f t="shared" si="34"/>
        <v>0</v>
      </c>
      <c r="DI8" s="36">
        <f t="shared" si="35"/>
        <v>0</v>
      </c>
      <c r="DJ8" s="36">
        <f t="shared" si="36"/>
        <v>0</v>
      </c>
      <c r="DK8" s="36">
        <f t="shared" si="37"/>
        <v>0</v>
      </c>
      <c r="DL8" s="36">
        <f t="shared" si="38"/>
        <v>0</v>
      </c>
      <c r="DM8" s="36">
        <f t="shared" si="39"/>
        <v>0</v>
      </c>
      <c r="DN8" s="36">
        <f t="shared" si="40"/>
        <v>0</v>
      </c>
      <c r="DO8" s="36">
        <f t="shared" si="41"/>
        <v>0</v>
      </c>
      <c r="DP8" s="36">
        <f t="shared" si="42"/>
        <v>0</v>
      </c>
      <c r="DQ8" s="36">
        <f t="shared" si="43"/>
        <v>0</v>
      </c>
      <c r="DR8" s="36">
        <f t="shared" si="44"/>
        <v>0</v>
      </c>
      <c r="DS8" s="36">
        <f t="shared" si="45"/>
        <v>0</v>
      </c>
      <c r="DT8" s="36">
        <f t="shared" si="46"/>
        <v>0</v>
      </c>
      <c r="DU8" s="36">
        <f t="shared" si="47"/>
        <v>0</v>
      </c>
      <c r="DV8" s="36">
        <f t="shared" si="48"/>
        <v>0</v>
      </c>
      <c r="DW8" s="36">
        <f t="shared" si="49"/>
        <v>0</v>
      </c>
      <c r="DX8" s="36">
        <f t="shared" si="50"/>
        <v>0</v>
      </c>
      <c r="DY8" s="36">
        <f t="shared" si="51"/>
        <v>0</v>
      </c>
      <c r="DZ8" s="36">
        <f t="shared" ca="1" si="52"/>
        <v>0</v>
      </c>
    </row>
    <row r="9" spans="1:130" x14ac:dyDescent="0.25">
      <c r="A9" s="37">
        <v>5</v>
      </c>
      <c r="B9" s="38">
        <v>21</v>
      </c>
      <c r="C9" s="39">
        <v>5</v>
      </c>
      <c r="D9" s="22"/>
      <c r="E9" s="22">
        <f t="shared" ca="1" si="53"/>
        <v>24</v>
      </c>
      <c r="F9" s="22">
        <f t="shared" ca="1" si="0"/>
        <v>1</v>
      </c>
      <c r="G9" s="130">
        <f t="shared" ca="1" si="54"/>
        <v>0</v>
      </c>
      <c r="H9" s="131">
        <f t="shared" ca="1" si="55"/>
        <v>1</v>
      </c>
      <c r="I9" s="22"/>
      <c r="J9" s="22">
        <f t="shared" ca="1" si="56"/>
        <v>116</v>
      </c>
      <c r="K9" s="22">
        <f t="shared" ca="1" si="57"/>
        <v>114</v>
      </c>
      <c r="L9" s="22">
        <f t="shared" ca="1" si="58"/>
        <v>2</v>
      </c>
      <c r="M9" s="22">
        <f t="shared" ca="1" si="59"/>
        <v>0</v>
      </c>
      <c r="N9" s="22">
        <f t="shared" ca="1" si="60"/>
        <v>2</v>
      </c>
      <c r="O9" s="6"/>
      <c r="P9" s="6"/>
      <c r="Q9" s="6"/>
      <c r="R9" s="6"/>
      <c r="S9" s="6"/>
      <c r="T9" s="6"/>
      <c r="U9" s="6"/>
      <c r="V9" s="6"/>
      <c r="W9" s="6"/>
      <c r="X9" s="6"/>
      <c r="Y9" s="119"/>
      <c r="Z9" s="34">
        <v>6</v>
      </c>
      <c r="AA9" s="44"/>
      <c r="AB9" s="42"/>
      <c r="AC9" s="42"/>
      <c r="AD9" s="42"/>
      <c r="AE9" s="41"/>
      <c r="AF9" s="42"/>
      <c r="AG9" s="42"/>
      <c r="AH9" s="42"/>
      <c r="AI9" s="41"/>
      <c r="AJ9" s="42"/>
      <c r="AK9" s="42"/>
      <c r="AL9" s="42"/>
      <c r="AM9" s="41"/>
      <c r="AN9" s="42"/>
      <c r="AO9" s="42"/>
      <c r="AP9" s="42"/>
      <c r="AQ9" s="41"/>
      <c r="AR9" s="42"/>
      <c r="AS9" s="42"/>
      <c r="AT9" s="41"/>
      <c r="AU9" s="41"/>
      <c r="AV9" s="42"/>
      <c r="AW9" s="42"/>
      <c r="AX9" s="42"/>
      <c r="AY9" s="45"/>
      <c r="AZ9" s="35"/>
      <c r="BA9" s="36">
        <v>1</v>
      </c>
      <c r="BB9" s="36"/>
      <c r="BC9" s="36"/>
      <c r="BD9" s="36"/>
      <c r="BE9" s="36">
        <v>1</v>
      </c>
      <c r="BF9" s="36"/>
      <c r="BG9" s="36"/>
      <c r="BH9" s="36"/>
      <c r="BI9" s="36">
        <v>1</v>
      </c>
      <c r="BJ9" s="36"/>
      <c r="BK9" s="36"/>
      <c r="BL9" s="36"/>
      <c r="BM9" s="36">
        <v>1</v>
      </c>
      <c r="BN9" s="36"/>
      <c r="BO9" s="36"/>
      <c r="BP9" s="36"/>
      <c r="BQ9" s="36">
        <v>1</v>
      </c>
      <c r="BR9" s="36"/>
      <c r="BS9" s="36"/>
      <c r="BT9" s="36">
        <v>1</v>
      </c>
      <c r="BU9" s="36">
        <v>1</v>
      </c>
      <c r="BV9" s="36"/>
      <c r="BW9" s="36"/>
      <c r="BX9" s="36"/>
      <c r="BY9" s="36">
        <v>1</v>
      </c>
      <c r="BZ9" s="35"/>
      <c r="CA9" s="36">
        <f t="shared" si="1"/>
        <v>0</v>
      </c>
      <c r="CB9" s="36">
        <f t="shared" si="2"/>
        <v>0</v>
      </c>
      <c r="CC9" s="36">
        <f t="shared" si="3"/>
        <v>0</v>
      </c>
      <c r="CD9" s="36">
        <f t="shared" si="4"/>
        <v>0</v>
      </c>
      <c r="CE9" s="36">
        <f t="shared" si="5"/>
        <v>0</v>
      </c>
      <c r="CF9" s="36">
        <f t="shared" si="6"/>
        <v>0</v>
      </c>
      <c r="CG9" s="36">
        <f t="shared" si="7"/>
        <v>0</v>
      </c>
      <c r="CH9" s="36">
        <f t="shared" si="8"/>
        <v>0</v>
      </c>
      <c r="CI9" s="36">
        <f t="shared" si="9"/>
        <v>0</v>
      </c>
      <c r="CJ9" s="36">
        <f t="shared" si="10"/>
        <v>0</v>
      </c>
      <c r="CK9" s="36">
        <f t="shared" si="11"/>
        <v>0</v>
      </c>
      <c r="CL9" s="36">
        <f t="shared" si="12"/>
        <v>0</v>
      </c>
      <c r="CM9" s="36">
        <f t="shared" si="13"/>
        <v>0</v>
      </c>
      <c r="CN9" s="36">
        <f t="shared" si="14"/>
        <v>0</v>
      </c>
      <c r="CO9" s="36">
        <f t="shared" si="15"/>
        <v>0</v>
      </c>
      <c r="CP9" s="36">
        <f t="shared" si="16"/>
        <v>0</v>
      </c>
      <c r="CQ9" s="36">
        <f t="shared" si="17"/>
        <v>0</v>
      </c>
      <c r="CR9" s="36">
        <f t="shared" si="18"/>
        <v>0</v>
      </c>
      <c r="CS9" s="36">
        <f t="shared" si="19"/>
        <v>0</v>
      </c>
      <c r="CT9" s="36">
        <f t="shared" si="20"/>
        <v>0</v>
      </c>
      <c r="CU9" s="36">
        <f t="shared" si="21"/>
        <v>0</v>
      </c>
      <c r="CV9" s="36">
        <f t="shared" si="22"/>
        <v>0</v>
      </c>
      <c r="CW9" s="36">
        <f t="shared" si="23"/>
        <v>0</v>
      </c>
      <c r="CX9" s="36">
        <f t="shared" si="24"/>
        <v>0</v>
      </c>
      <c r="CY9" s="36">
        <f t="shared" si="25"/>
        <v>0</v>
      </c>
      <c r="CZ9" s="36">
        <f t="shared" ca="1" si="26"/>
        <v>2</v>
      </c>
      <c r="DA9" s="36">
        <f t="shared" si="27"/>
        <v>0</v>
      </c>
      <c r="DB9" s="36">
        <f t="shared" si="28"/>
        <v>0</v>
      </c>
      <c r="DC9" s="36">
        <f t="shared" si="29"/>
        <v>0</v>
      </c>
      <c r="DD9" s="36">
        <f t="shared" si="30"/>
        <v>0</v>
      </c>
      <c r="DE9" s="36">
        <f t="shared" si="31"/>
        <v>0</v>
      </c>
      <c r="DF9" s="36">
        <f t="shared" si="32"/>
        <v>0</v>
      </c>
      <c r="DG9" s="36">
        <f t="shared" si="33"/>
        <v>0</v>
      </c>
      <c r="DH9" s="36">
        <f t="shared" si="34"/>
        <v>0</v>
      </c>
      <c r="DI9" s="36">
        <f t="shared" si="35"/>
        <v>0</v>
      </c>
      <c r="DJ9" s="36">
        <f t="shared" si="36"/>
        <v>0</v>
      </c>
      <c r="DK9" s="36">
        <f t="shared" si="37"/>
        <v>0</v>
      </c>
      <c r="DL9" s="36">
        <f t="shared" si="38"/>
        <v>0</v>
      </c>
      <c r="DM9" s="36">
        <f t="shared" si="39"/>
        <v>0</v>
      </c>
      <c r="DN9" s="36">
        <f t="shared" si="40"/>
        <v>0</v>
      </c>
      <c r="DO9" s="36">
        <f t="shared" si="41"/>
        <v>0</v>
      </c>
      <c r="DP9" s="36">
        <f t="shared" si="42"/>
        <v>0</v>
      </c>
      <c r="DQ9" s="36">
        <f t="shared" si="43"/>
        <v>0</v>
      </c>
      <c r="DR9" s="36">
        <f t="shared" si="44"/>
        <v>0</v>
      </c>
      <c r="DS9" s="36">
        <f t="shared" si="45"/>
        <v>0</v>
      </c>
      <c r="DT9" s="36">
        <f t="shared" si="46"/>
        <v>0</v>
      </c>
      <c r="DU9" s="36">
        <f t="shared" si="47"/>
        <v>0</v>
      </c>
      <c r="DV9" s="36">
        <f t="shared" si="48"/>
        <v>0</v>
      </c>
      <c r="DW9" s="36">
        <f t="shared" si="49"/>
        <v>0</v>
      </c>
      <c r="DX9" s="36">
        <f t="shared" si="50"/>
        <v>0</v>
      </c>
      <c r="DY9" s="36">
        <f t="shared" si="51"/>
        <v>0</v>
      </c>
      <c r="DZ9" s="36">
        <f t="shared" ca="1" si="52"/>
        <v>0</v>
      </c>
    </row>
    <row r="10" spans="1:130" x14ac:dyDescent="0.25">
      <c r="A10" s="37">
        <v>6</v>
      </c>
      <c r="B10" s="38">
        <v>25</v>
      </c>
      <c r="C10" s="39">
        <v>22</v>
      </c>
      <c r="D10" s="22"/>
      <c r="E10" s="22">
        <f t="shared" ca="1" si="53"/>
        <v>27</v>
      </c>
      <c r="F10" s="22">
        <f t="shared" ca="1" si="0"/>
        <v>3</v>
      </c>
      <c r="G10" s="130">
        <f t="shared" ca="1" si="54"/>
        <v>0</v>
      </c>
      <c r="H10" s="131">
        <f t="shared" ca="1" si="55"/>
        <v>3</v>
      </c>
      <c r="I10" s="22"/>
      <c r="J10" s="22">
        <f t="shared" ca="1" si="56"/>
        <v>146</v>
      </c>
      <c r="K10" s="22">
        <f t="shared" ca="1" si="57"/>
        <v>141</v>
      </c>
      <c r="L10" s="22">
        <f t="shared" ca="1" si="58"/>
        <v>5</v>
      </c>
      <c r="M10" s="22">
        <f t="shared" ca="1" si="59"/>
        <v>0</v>
      </c>
      <c r="N10" s="22">
        <f t="shared" ca="1" si="60"/>
        <v>5</v>
      </c>
      <c r="O10" s="6"/>
      <c r="P10" s="6"/>
      <c r="Q10" s="6"/>
      <c r="R10" s="6"/>
      <c r="S10" s="6"/>
      <c r="T10" s="6"/>
      <c r="U10" s="6"/>
      <c r="V10" s="6"/>
      <c r="W10" s="6"/>
      <c r="X10" s="6"/>
      <c r="Y10" s="119"/>
      <c r="Z10" s="34">
        <v>7</v>
      </c>
      <c r="AA10" s="40"/>
      <c r="AB10" s="41"/>
      <c r="AC10" s="42"/>
      <c r="AD10" s="42"/>
      <c r="AE10" s="42"/>
      <c r="AF10" s="42"/>
      <c r="AG10" s="42"/>
      <c r="AH10" s="42"/>
      <c r="AI10" s="41"/>
      <c r="AJ10" s="42"/>
      <c r="AK10" s="42"/>
      <c r="AL10" s="41"/>
      <c r="AM10" s="42"/>
      <c r="AN10" s="42"/>
      <c r="AO10" s="42"/>
      <c r="AP10" s="41"/>
      <c r="AQ10" s="42"/>
      <c r="AR10" s="42"/>
      <c r="AS10" s="42"/>
      <c r="AT10" s="41"/>
      <c r="AU10" s="42"/>
      <c r="AV10" s="42"/>
      <c r="AW10" s="42"/>
      <c r="AX10" s="42"/>
      <c r="AY10" s="43"/>
      <c r="AZ10" s="35"/>
      <c r="BA10" s="36"/>
      <c r="BB10" s="36">
        <v>1</v>
      </c>
      <c r="BC10" s="36"/>
      <c r="BD10" s="36"/>
      <c r="BE10" s="36"/>
      <c r="BF10" s="36"/>
      <c r="BG10" s="36"/>
      <c r="BH10" s="36"/>
      <c r="BI10" s="36">
        <v>1</v>
      </c>
      <c r="BJ10" s="36"/>
      <c r="BK10" s="36"/>
      <c r="BL10" s="36">
        <v>1</v>
      </c>
      <c r="BM10" s="36"/>
      <c r="BN10" s="36"/>
      <c r="BO10" s="36"/>
      <c r="BP10" s="36">
        <v>1</v>
      </c>
      <c r="BQ10" s="36"/>
      <c r="BR10" s="36"/>
      <c r="BS10" s="36"/>
      <c r="BT10" s="36">
        <v>1</v>
      </c>
      <c r="BU10" s="36"/>
      <c r="BV10" s="36"/>
      <c r="BW10" s="36"/>
      <c r="BX10" s="36"/>
      <c r="BY10" s="36"/>
      <c r="BZ10" s="35"/>
      <c r="CA10" s="36">
        <f t="shared" si="1"/>
        <v>0</v>
      </c>
      <c r="CB10" s="36">
        <f t="shared" si="2"/>
        <v>0</v>
      </c>
      <c r="CC10" s="36">
        <f t="shared" si="3"/>
        <v>0</v>
      </c>
      <c r="CD10" s="36">
        <f t="shared" si="4"/>
        <v>0</v>
      </c>
      <c r="CE10" s="36">
        <f t="shared" si="5"/>
        <v>0</v>
      </c>
      <c r="CF10" s="36">
        <f t="shared" si="6"/>
        <v>0</v>
      </c>
      <c r="CG10" s="36">
        <f t="shared" si="7"/>
        <v>0</v>
      </c>
      <c r="CH10" s="36">
        <f t="shared" si="8"/>
        <v>0</v>
      </c>
      <c r="CI10" s="36">
        <f t="shared" si="9"/>
        <v>0</v>
      </c>
      <c r="CJ10" s="36">
        <f t="shared" si="10"/>
        <v>0</v>
      </c>
      <c r="CK10" s="36">
        <f t="shared" si="11"/>
        <v>0</v>
      </c>
      <c r="CL10" s="36">
        <f t="shared" si="12"/>
        <v>0</v>
      </c>
      <c r="CM10" s="36">
        <f t="shared" si="13"/>
        <v>0</v>
      </c>
      <c r="CN10" s="36">
        <f t="shared" si="14"/>
        <v>0</v>
      </c>
      <c r="CO10" s="36">
        <f t="shared" si="15"/>
        <v>0</v>
      </c>
      <c r="CP10" s="36">
        <f t="shared" si="16"/>
        <v>0</v>
      </c>
      <c r="CQ10" s="36">
        <f t="shared" si="17"/>
        <v>0</v>
      </c>
      <c r="CR10" s="36">
        <f t="shared" si="18"/>
        <v>0</v>
      </c>
      <c r="CS10" s="36">
        <f t="shared" si="19"/>
        <v>0</v>
      </c>
      <c r="CT10" s="36">
        <f t="shared" si="20"/>
        <v>0</v>
      </c>
      <c r="CU10" s="36">
        <f t="shared" si="21"/>
        <v>0</v>
      </c>
      <c r="CV10" s="36">
        <f t="shared" si="22"/>
        <v>0</v>
      </c>
      <c r="CW10" s="36">
        <f t="shared" si="23"/>
        <v>0</v>
      </c>
      <c r="CX10" s="36">
        <f t="shared" si="24"/>
        <v>0</v>
      </c>
      <c r="CY10" s="36">
        <f t="shared" si="25"/>
        <v>0</v>
      </c>
      <c r="CZ10" s="36">
        <f t="shared" ca="1" si="26"/>
        <v>5</v>
      </c>
      <c r="DA10" s="36">
        <f t="shared" si="27"/>
        <v>0</v>
      </c>
      <c r="DB10" s="36">
        <f t="shared" si="28"/>
        <v>0</v>
      </c>
      <c r="DC10" s="36">
        <f t="shared" si="29"/>
        <v>0</v>
      </c>
      <c r="DD10" s="36">
        <f t="shared" si="30"/>
        <v>0</v>
      </c>
      <c r="DE10" s="36">
        <f t="shared" si="31"/>
        <v>0</v>
      </c>
      <c r="DF10" s="36">
        <f t="shared" si="32"/>
        <v>0</v>
      </c>
      <c r="DG10" s="36">
        <f t="shared" si="33"/>
        <v>0</v>
      </c>
      <c r="DH10" s="36">
        <f t="shared" si="34"/>
        <v>0</v>
      </c>
      <c r="DI10" s="36">
        <f t="shared" si="35"/>
        <v>0</v>
      </c>
      <c r="DJ10" s="36">
        <f t="shared" si="36"/>
        <v>0</v>
      </c>
      <c r="DK10" s="36">
        <f t="shared" si="37"/>
        <v>0</v>
      </c>
      <c r="DL10" s="36">
        <f t="shared" si="38"/>
        <v>0</v>
      </c>
      <c r="DM10" s="36">
        <f t="shared" si="39"/>
        <v>0</v>
      </c>
      <c r="DN10" s="36">
        <f t="shared" si="40"/>
        <v>0</v>
      </c>
      <c r="DO10" s="36">
        <f t="shared" si="41"/>
        <v>0</v>
      </c>
      <c r="DP10" s="36">
        <f t="shared" si="42"/>
        <v>0</v>
      </c>
      <c r="DQ10" s="36">
        <f t="shared" si="43"/>
        <v>0</v>
      </c>
      <c r="DR10" s="36">
        <f t="shared" si="44"/>
        <v>0</v>
      </c>
      <c r="DS10" s="36">
        <f t="shared" si="45"/>
        <v>0</v>
      </c>
      <c r="DT10" s="36">
        <f t="shared" si="46"/>
        <v>0</v>
      </c>
      <c r="DU10" s="36">
        <f t="shared" si="47"/>
        <v>0</v>
      </c>
      <c r="DV10" s="36">
        <f t="shared" si="48"/>
        <v>0</v>
      </c>
      <c r="DW10" s="36">
        <f t="shared" si="49"/>
        <v>0</v>
      </c>
      <c r="DX10" s="36">
        <f t="shared" si="50"/>
        <v>0</v>
      </c>
      <c r="DY10" s="36">
        <f t="shared" si="51"/>
        <v>0</v>
      </c>
      <c r="DZ10" s="36">
        <f t="shared" ca="1" si="52"/>
        <v>0</v>
      </c>
    </row>
    <row r="11" spans="1:130" x14ac:dyDescent="0.25">
      <c r="A11" s="37">
        <v>7</v>
      </c>
      <c r="B11" s="38">
        <v>29</v>
      </c>
      <c r="C11" s="39">
        <v>17</v>
      </c>
      <c r="D11" s="22"/>
      <c r="E11" s="22">
        <f t="shared" ca="1" si="53"/>
        <v>24</v>
      </c>
      <c r="F11" s="22">
        <f t="shared" ca="1" si="0"/>
        <v>0</v>
      </c>
      <c r="G11" s="130">
        <f t="shared" ca="1" si="54"/>
        <v>0</v>
      </c>
      <c r="H11" s="131">
        <f t="shared" ca="1" si="55"/>
        <v>0</v>
      </c>
      <c r="I11" s="22"/>
      <c r="J11" s="22">
        <f t="shared" ca="1" si="56"/>
        <v>170</v>
      </c>
      <c r="K11" s="22">
        <f t="shared" ca="1" si="57"/>
        <v>165</v>
      </c>
      <c r="L11" s="22">
        <f t="shared" ca="1" si="58"/>
        <v>5</v>
      </c>
      <c r="M11" s="22">
        <f t="shared" ca="1" si="59"/>
        <v>0</v>
      </c>
      <c r="N11" s="22">
        <f t="shared" ca="1" si="60"/>
        <v>5</v>
      </c>
      <c r="O11" s="6"/>
      <c r="P11" s="6"/>
      <c r="Q11" s="6"/>
      <c r="R11" s="6"/>
      <c r="S11" s="6"/>
      <c r="T11" s="6"/>
      <c r="U11" s="6"/>
      <c r="V11" s="6"/>
      <c r="W11" s="6"/>
      <c r="X11" s="6"/>
      <c r="Y11" s="119"/>
      <c r="Z11" s="34">
        <v>8</v>
      </c>
      <c r="AA11" s="40"/>
      <c r="AB11" s="42"/>
      <c r="AC11" s="41"/>
      <c r="AD11" s="42"/>
      <c r="AE11" s="42"/>
      <c r="AF11" s="42"/>
      <c r="AG11" s="41"/>
      <c r="AH11" s="42"/>
      <c r="AI11" s="42"/>
      <c r="AJ11" s="42"/>
      <c r="AK11" s="42"/>
      <c r="AL11" s="42"/>
      <c r="AM11" s="41"/>
      <c r="AN11" s="42"/>
      <c r="AO11" s="41"/>
      <c r="AP11" s="42"/>
      <c r="AQ11" s="42"/>
      <c r="AR11" s="41"/>
      <c r="AS11" s="42"/>
      <c r="AT11" s="42"/>
      <c r="AU11" s="42"/>
      <c r="AV11" s="42"/>
      <c r="AW11" s="41"/>
      <c r="AX11" s="42"/>
      <c r="AY11" s="43"/>
      <c r="AZ11" s="35"/>
      <c r="BA11" s="36"/>
      <c r="BB11" s="36"/>
      <c r="BC11" s="36">
        <v>1</v>
      </c>
      <c r="BD11" s="36"/>
      <c r="BE11" s="36"/>
      <c r="BF11" s="36"/>
      <c r="BG11" s="36">
        <v>1</v>
      </c>
      <c r="BH11" s="36"/>
      <c r="BI11" s="36"/>
      <c r="BJ11" s="36"/>
      <c r="BK11" s="36"/>
      <c r="BL11" s="36"/>
      <c r="BM11" s="36">
        <v>1</v>
      </c>
      <c r="BN11" s="36"/>
      <c r="BO11" s="36">
        <v>1</v>
      </c>
      <c r="BP11" s="36"/>
      <c r="BQ11" s="36"/>
      <c r="BR11" s="36">
        <v>1</v>
      </c>
      <c r="BS11" s="36"/>
      <c r="BT11" s="36"/>
      <c r="BU11" s="36"/>
      <c r="BV11" s="36"/>
      <c r="BW11" s="36">
        <v>1</v>
      </c>
      <c r="BX11" s="36"/>
      <c r="BY11" s="36"/>
      <c r="BZ11" s="35"/>
      <c r="CA11" s="36">
        <f t="shared" si="1"/>
        <v>0</v>
      </c>
      <c r="CB11" s="36">
        <f t="shared" si="2"/>
        <v>0</v>
      </c>
      <c r="CC11" s="36">
        <f t="shared" si="3"/>
        <v>0</v>
      </c>
      <c r="CD11" s="36">
        <f t="shared" si="4"/>
        <v>0</v>
      </c>
      <c r="CE11" s="36">
        <f t="shared" si="5"/>
        <v>0</v>
      </c>
      <c r="CF11" s="36">
        <f t="shared" si="6"/>
        <v>0</v>
      </c>
      <c r="CG11" s="36">
        <f t="shared" si="7"/>
        <v>0</v>
      </c>
      <c r="CH11" s="36">
        <f t="shared" si="8"/>
        <v>0</v>
      </c>
      <c r="CI11" s="36">
        <f t="shared" si="9"/>
        <v>0</v>
      </c>
      <c r="CJ11" s="36">
        <f t="shared" si="10"/>
        <v>0</v>
      </c>
      <c r="CK11" s="36">
        <f t="shared" si="11"/>
        <v>0</v>
      </c>
      <c r="CL11" s="36">
        <f t="shared" si="12"/>
        <v>0</v>
      </c>
      <c r="CM11" s="36">
        <f t="shared" si="13"/>
        <v>0</v>
      </c>
      <c r="CN11" s="36">
        <f t="shared" si="14"/>
        <v>0</v>
      </c>
      <c r="CO11" s="36">
        <f t="shared" si="15"/>
        <v>0</v>
      </c>
      <c r="CP11" s="36">
        <f t="shared" si="16"/>
        <v>0</v>
      </c>
      <c r="CQ11" s="36">
        <f t="shared" si="17"/>
        <v>0</v>
      </c>
      <c r="CR11" s="36">
        <f t="shared" si="18"/>
        <v>0</v>
      </c>
      <c r="CS11" s="36">
        <f t="shared" si="19"/>
        <v>0</v>
      </c>
      <c r="CT11" s="36">
        <f t="shared" si="20"/>
        <v>0</v>
      </c>
      <c r="CU11" s="36">
        <f t="shared" si="21"/>
        <v>0</v>
      </c>
      <c r="CV11" s="36">
        <f t="shared" si="22"/>
        <v>0</v>
      </c>
      <c r="CW11" s="36">
        <f t="shared" si="23"/>
        <v>0</v>
      </c>
      <c r="CX11" s="36">
        <f t="shared" si="24"/>
        <v>0</v>
      </c>
      <c r="CY11" s="36">
        <f t="shared" si="25"/>
        <v>0</v>
      </c>
      <c r="CZ11" s="36">
        <f t="shared" ca="1" si="26"/>
        <v>5</v>
      </c>
      <c r="DA11" s="36">
        <f t="shared" si="27"/>
        <v>0</v>
      </c>
      <c r="DB11" s="36">
        <f t="shared" si="28"/>
        <v>0</v>
      </c>
      <c r="DC11" s="36">
        <f t="shared" si="29"/>
        <v>0</v>
      </c>
      <c r="DD11" s="36">
        <f t="shared" si="30"/>
        <v>0</v>
      </c>
      <c r="DE11" s="36">
        <f t="shared" si="31"/>
        <v>0</v>
      </c>
      <c r="DF11" s="36">
        <f t="shared" si="32"/>
        <v>0</v>
      </c>
      <c r="DG11" s="36">
        <f t="shared" si="33"/>
        <v>0</v>
      </c>
      <c r="DH11" s="36">
        <f t="shared" si="34"/>
        <v>0</v>
      </c>
      <c r="DI11" s="36">
        <f t="shared" si="35"/>
        <v>0</v>
      </c>
      <c r="DJ11" s="36">
        <f t="shared" si="36"/>
        <v>0</v>
      </c>
      <c r="DK11" s="36">
        <f t="shared" si="37"/>
        <v>0</v>
      </c>
      <c r="DL11" s="36">
        <f t="shared" si="38"/>
        <v>0</v>
      </c>
      <c r="DM11" s="36">
        <f t="shared" si="39"/>
        <v>0</v>
      </c>
      <c r="DN11" s="36">
        <f t="shared" si="40"/>
        <v>0</v>
      </c>
      <c r="DO11" s="36">
        <f t="shared" si="41"/>
        <v>0</v>
      </c>
      <c r="DP11" s="36">
        <f t="shared" si="42"/>
        <v>0</v>
      </c>
      <c r="DQ11" s="36">
        <f t="shared" si="43"/>
        <v>0</v>
      </c>
      <c r="DR11" s="36">
        <f t="shared" si="44"/>
        <v>0</v>
      </c>
      <c r="DS11" s="36">
        <f t="shared" si="45"/>
        <v>0</v>
      </c>
      <c r="DT11" s="36">
        <f t="shared" si="46"/>
        <v>0</v>
      </c>
      <c r="DU11" s="36">
        <f t="shared" si="47"/>
        <v>0</v>
      </c>
      <c r="DV11" s="36">
        <f t="shared" si="48"/>
        <v>0</v>
      </c>
      <c r="DW11" s="36">
        <f t="shared" si="49"/>
        <v>0</v>
      </c>
      <c r="DX11" s="36">
        <f t="shared" si="50"/>
        <v>0</v>
      </c>
      <c r="DY11" s="36">
        <f t="shared" si="51"/>
        <v>0</v>
      </c>
      <c r="DZ11" s="36">
        <f t="shared" ca="1" si="52"/>
        <v>0</v>
      </c>
    </row>
    <row r="12" spans="1:130" x14ac:dyDescent="0.25">
      <c r="A12" s="37">
        <v>8</v>
      </c>
      <c r="B12" s="38">
        <v>33</v>
      </c>
      <c r="C12" s="39">
        <v>5</v>
      </c>
      <c r="D12" s="22"/>
      <c r="E12" s="22">
        <f t="shared" ca="1" si="53"/>
        <v>24</v>
      </c>
      <c r="F12" s="22">
        <f t="shared" ca="1" si="0"/>
        <v>0</v>
      </c>
      <c r="G12" s="130">
        <f t="shared" ca="1" si="54"/>
        <v>0</v>
      </c>
      <c r="H12" s="131">
        <f t="shared" ca="1" si="55"/>
        <v>0</v>
      </c>
      <c r="I12" s="22"/>
      <c r="J12" s="22">
        <f t="shared" ca="1" si="56"/>
        <v>194</v>
      </c>
      <c r="K12" s="22">
        <f t="shared" ca="1" si="57"/>
        <v>189</v>
      </c>
      <c r="L12" s="22">
        <f t="shared" ca="1" si="58"/>
        <v>5</v>
      </c>
      <c r="M12" s="22">
        <f t="shared" ca="1" si="59"/>
        <v>0</v>
      </c>
      <c r="N12" s="22">
        <f t="shared" ca="1" si="60"/>
        <v>5</v>
      </c>
      <c r="O12" s="6"/>
      <c r="P12" s="6"/>
      <c r="Q12" s="6"/>
      <c r="R12" s="6"/>
      <c r="S12" s="6"/>
      <c r="T12" s="6"/>
      <c r="U12" s="6"/>
      <c r="V12" s="6"/>
      <c r="W12" s="6"/>
      <c r="X12" s="6"/>
      <c r="Y12" s="119"/>
      <c r="Z12" s="34">
        <v>9</v>
      </c>
      <c r="AA12" s="40"/>
      <c r="AB12" s="42"/>
      <c r="AC12" s="41"/>
      <c r="AD12" s="41"/>
      <c r="AE12" s="42"/>
      <c r="AF12" s="42"/>
      <c r="AG12" s="41"/>
      <c r="AH12" s="42"/>
      <c r="AI12" s="42"/>
      <c r="AJ12" s="42"/>
      <c r="AK12" s="42"/>
      <c r="AL12" s="41"/>
      <c r="AM12" s="42"/>
      <c r="AN12" s="42"/>
      <c r="AO12" s="42"/>
      <c r="AP12" s="42"/>
      <c r="AQ12" s="42"/>
      <c r="AR12" s="42"/>
      <c r="AS12" s="42"/>
      <c r="AT12" s="42"/>
      <c r="AU12" s="42"/>
      <c r="AV12" s="42"/>
      <c r="AW12" s="42"/>
      <c r="AX12" s="42"/>
      <c r="AY12" s="43"/>
      <c r="AZ12" s="35"/>
      <c r="BA12" s="36"/>
      <c r="BB12" s="36"/>
      <c r="BC12" s="36">
        <v>1</v>
      </c>
      <c r="BD12" s="36">
        <v>1</v>
      </c>
      <c r="BE12" s="36"/>
      <c r="BF12" s="36"/>
      <c r="BG12" s="36">
        <v>1</v>
      </c>
      <c r="BH12" s="36"/>
      <c r="BI12" s="36"/>
      <c r="BJ12" s="36"/>
      <c r="BK12" s="36"/>
      <c r="BL12" s="36">
        <v>1</v>
      </c>
      <c r="BM12" s="36"/>
      <c r="BN12" s="36"/>
      <c r="BO12" s="36"/>
      <c r="BP12" s="36"/>
      <c r="BQ12" s="36"/>
      <c r="BR12" s="36"/>
      <c r="BS12" s="36"/>
      <c r="BT12" s="36"/>
      <c r="BU12" s="36"/>
      <c r="BV12" s="36"/>
      <c r="BW12" s="36"/>
      <c r="BX12" s="36"/>
      <c r="BY12" s="36"/>
      <c r="BZ12" s="35"/>
      <c r="CA12" s="36">
        <f t="shared" si="1"/>
        <v>0</v>
      </c>
      <c r="CB12" s="36">
        <f t="shared" si="2"/>
        <v>0</v>
      </c>
      <c r="CC12" s="36">
        <f t="shared" si="3"/>
        <v>0</v>
      </c>
      <c r="CD12" s="36">
        <f t="shared" si="4"/>
        <v>0</v>
      </c>
      <c r="CE12" s="36">
        <f t="shared" si="5"/>
        <v>0</v>
      </c>
      <c r="CF12" s="36">
        <f t="shared" si="6"/>
        <v>0</v>
      </c>
      <c r="CG12" s="36">
        <f t="shared" si="7"/>
        <v>0</v>
      </c>
      <c r="CH12" s="36">
        <f t="shared" si="8"/>
        <v>0</v>
      </c>
      <c r="CI12" s="36">
        <f t="shared" si="9"/>
        <v>0</v>
      </c>
      <c r="CJ12" s="36">
        <f t="shared" si="10"/>
        <v>0</v>
      </c>
      <c r="CK12" s="36">
        <f t="shared" si="11"/>
        <v>0</v>
      </c>
      <c r="CL12" s="36">
        <f t="shared" si="12"/>
        <v>0</v>
      </c>
      <c r="CM12" s="36">
        <f t="shared" si="13"/>
        <v>0</v>
      </c>
      <c r="CN12" s="36">
        <f t="shared" si="14"/>
        <v>0</v>
      </c>
      <c r="CO12" s="36">
        <f t="shared" si="15"/>
        <v>0</v>
      </c>
      <c r="CP12" s="36">
        <f t="shared" si="16"/>
        <v>0</v>
      </c>
      <c r="CQ12" s="36">
        <f t="shared" si="17"/>
        <v>0</v>
      </c>
      <c r="CR12" s="36">
        <f t="shared" si="18"/>
        <v>0</v>
      </c>
      <c r="CS12" s="36">
        <f t="shared" si="19"/>
        <v>0</v>
      </c>
      <c r="CT12" s="36">
        <f t="shared" si="20"/>
        <v>0</v>
      </c>
      <c r="CU12" s="36">
        <f t="shared" si="21"/>
        <v>0</v>
      </c>
      <c r="CV12" s="36">
        <f t="shared" si="22"/>
        <v>0</v>
      </c>
      <c r="CW12" s="36">
        <f t="shared" si="23"/>
        <v>0</v>
      </c>
      <c r="CX12" s="36">
        <f t="shared" si="24"/>
        <v>0</v>
      </c>
      <c r="CY12" s="36">
        <f t="shared" si="25"/>
        <v>0</v>
      </c>
      <c r="CZ12" s="36">
        <f t="shared" ca="1" si="26"/>
        <v>5</v>
      </c>
      <c r="DA12" s="36">
        <f t="shared" si="27"/>
        <v>0</v>
      </c>
      <c r="DB12" s="36">
        <f t="shared" si="28"/>
        <v>0</v>
      </c>
      <c r="DC12" s="36">
        <f t="shared" si="29"/>
        <v>0</v>
      </c>
      <c r="DD12" s="36">
        <f t="shared" si="30"/>
        <v>0</v>
      </c>
      <c r="DE12" s="36">
        <f t="shared" si="31"/>
        <v>0</v>
      </c>
      <c r="DF12" s="36">
        <f t="shared" si="32"/>
        <v>0</v>
      </c>
      <c r="DG12" s="36">
        <f t="shared" si="33"/>
        <v>0</v>
      </c>
      <c r="DH12" s="36">
        <f t="shared" si="34"/>
        <v>0</v>
      </c>
      <c r="DI12" s="36">
        <f t="shared" si="35"/>
        <v>0</v>
      </c>
      <c r="DJ12" s="36">
        <f t="shared" si="36"/>
        <v>0</v>
      </c>
      <c r="DK12" s="36">
        <f t="shared" si="37"/>
        <v>0</v>
      </c>
      <c r="DL12" s="36">
        <f t="shared" si="38"/>
        <v>0</v>
      </c>
      <c r="DM12" s="36">
        <f t="shared" si="39"/>
        <v>0</v>
      </c>
      <c r="DN12" s="36">
        <f t="shared" si="40"/>
        <v>0</v>
      </c>
      <c r="DO12" s="36">
        <f t="shared" si="41"/>
        <v>0</v>
      </c>
      <c r="DP12" s="36">
        <f t="shared" si="42"/>
        <v>0</v>
      </c>
      <c r="DQ12" s="36">
        <f t="shared" si="43"/>
        <v>0</v>
      </c>
      <c r="DR12" s="36">
        <f t="shared" si="44"/>
        <v>0</v>
      </c>
      <c r="DS12" s="36">
        <f t="shared" si="45"/>
        <v>0</v>
      </c>
      <c r="DT12" s="36">
        <f t="shared" si="46"/>
        <v>0</v>
      </c>
      <c r="DU12" s="36">
        <f t="shared" si="47"/>
        <v>0</v>
      </c>
      <c r="DV12" s="36">
        <f t="shared" si="48"/>
        <v>0</v>
      </c>
      <c r="DW12" s="36">
        <f t="shared" si="49"/>
        <v>0</v>
      </c>
      <c r="DX12" s="36">
        <f t="shared" si="50"/>
        <v>0</v>
      </c>
      <c r="DY12" s="36">
        <f t="shared" si="51"/>
        <v>0</v>
      </c>
      <c r="DZ12" s="36">
        <f t="shared" ca="1" si="52"/>
        <v>0</v>
      </c>
    </row>
    <row r="13" spans="1:130" x14ac:dyDescent="0.25">
      <c r="A13" s="37">
        <v>9</v>
      </c>
      <c r="B13" s="38">
        <v>37</v>
      </c>
      <c r="C13" s="39">
        <v>25</v>
      </c>
      <c r="D13" s="22"/>
      <c r="E13" s="22">
        <f t="shared" ca="1" si="53"/>
        <v>24</v>
      </c>
      <c r="F13" s="22">
        <f t="shared" ca="1" si="0"/>
        <v>1</v>
      </c>
      <c r="G13" s="130">
        <f t="shared" ca="1" si="54"/>
        <v>0</v>
      </c>
      <c r="H13" s="131">
        <f t="shared" ca="1" si="55"/>
        <v>1</v>
      </c>
      <c r="I13" s="22"/>
      <c r="J13" s="22">
        <f t="shared" ca="1" si="56"/>
        <v>219</v>
      </c>
      <c r="K13" s="22">
        <f t="shared" ca="1" si="57"/>
        <v>213</v>
      </c>
      <c r="L13" s="22">
        <f t="shared" ca="1" si="58"/>
        <v>6</v>
      </c>
      <c r="M13" s="22">
        <f t="shared" ca="1" si="59"/>
        <v>0</v>
      </c>
      <c r="N13" s="22">
        <f t="shared" ca="1" si="60"/>
        <v>6</v>
      </c>
      <c r="O13" s="6"/>
      <c r="P13" s="6"/>
      <c r="Q13" s="6"/>
      <c r="R13" s="6"/>
      <c r="S13" s="6"/>
      <c r="T13" s="6"/>
      <c r="U13" s="6"/>
      <c r="V13" s="6"/>
      <c r="W13" s="6"/>
      <c r="X13" s="6"/>
      <c r="Y13" s="119"/>
      <c r="Z13" s="34">
        <v>10</v>
      </c>
      <c r="AA13" s="40"/>
      <c r="AB13" s="42"/>
      <c r="AC13" s="42"/>
      <c r="AD13" s="41"/>
      <c r="AE13" s="42"/>
      <c r="AF13" s="42"/>
      <c r="AG13" s="42"/>
      <c r="AH13" s="42"/>
      <c r="AI13" s="41"/>
      <c r="AJ13" s="41"/>
      <c r="AK13" s="42"/>
      <c r="AL13" s="42"/>
      <c r="AM13" s="42"/>
      <c r="AN13" s="41"/>
      <c r="AO13" s="42"/>
      <c r="AP13" s="42"/>
      <c r="AQ13" s="42"/>
      <c r="AR13" s="42"/>
      <c r="AS13" s="41"/>
      <c r="AT13" s="42"/>
      <c r="AU13" s="42"/>
      <c r="AV13" s="42"/>
      <c r="AW13" s="42"/>
      <c r="AX13" s="41"/>
      <c r="AY13" s="43"/>
      <c r="AZ13" s="35"/>
      <c r="BA13" s="36"/>
      <c r="BB13" s="36"/>
      <c r="BC13" s="36"/>
      <c r="BD13" s="36">
        <v>1</v>
      </c>
      <c r="BE13" s="36"/>
      <c r="BF13" s="36"/>
      <c r="BG13" s="36"/>
      <c r="BH13" s="36"/>
      <c r="BI13" s="36">
        <v>1</v>
      </c>
      <c r="BJ13" s="36">
        <v>1</v>
      </c>
      <c r="BK13" s="36"/>
      <c r="BL13" s="36"/>
      <c r="BM13" s="36"/>
      <c r="BN13" s="36">
        <v>1</v>
      </c>
      <c r="BO13" s="36"/>
      <c r="BP13" s="36"/>
      <c r="BQ13" s="36"/>
      <c r="BR13" s="36"/>
      <c r="BS13" s="36">
        <v>1</v>
      </c>
      <c r="BT13" s="36"/>
      <c r="BU13" s="36"/>
      <c r="BV13" s="36"/>
      <c r="BW13" s="36"/>
      <c r="BX13" s="36">
        <v>1</v>
      </c>
      <c r="BY13" s="36"/>
      <c r="BZ13" s="35"/>
      <c r="CA13" s="36">
        <f t="shared" si="1"/>
        <v>0</v>
      </c>
      <c r="CB13" s="36">
        <f t="shared" si="2"/>
        <v>0</v>
      </c>
      <c r="CC13" s="36">
        <f t="shared" si="3"/>
        <v>0</v>
      </c>
      <c r="CD13" s="36">
        <f t="shared" si="4"/>
        <v>0</v>
      </c>
      <c r="CE13" s="36">
        <f t="shared" si="5"/>
        <v>0</v>
      </c>
      <c r="CF13" s="36">
        <f t="shared" si="6"/>
        <v>0</v>
      </c>
      <c r="CG13" s="36">
        <f t="shared" si="7"/>
        <v>0</v>
      </c>
      <c r="CH13" s="36">
        <f t="shared" si="8"/>
        <v>0</v>
      </c>
      <c r="CI13" s="36">
        <f t="shared" si="9"/>
        <v>0</v>
      </c>
      <c r="CJ13" s="36">
        <f t="shared" si="10"/>
        <v>0</v>
      </c>
      <c r="CK13" s="36">
        <f t="shared" si="11"/>
        <v>0</v>
      </c>
      <c r="CL13" s="36">
        <f t="shared" si="12"/>
        <v>0</v>
      </c>
      <c r="CM13" s="36">
        <f t="shared" si="13"/>
        <v>0</v>
      </c>
      <c r="CN13" s="36">
        <f t="shared" si="14"/>
        <v>0</v>
      </c>
      <c r="CO13" s="36">
        <f t="shared" si="15"/>
        <v>0</v>
      </c>
      <c r="CP13" s="36">
        <f t="shared" si="16"/>
        <v>0</v>
      </c>
      <c r="CQ13" s="36">
        <f t="shared" si="17"/>
        <v>0</v>
      </c>
      <c r="CR13" s="36">
        <f t="shared" si="18"/>
        <v>0</v>
      </c>
      <c r="CS13" s="36">
        <f t="shared" si="19"/>
        <v>0</v>
      </c>
      <c r="CT13" s="36">
        <f t="shared" si="20"/>
        <v>0</v>
      </c>
      <c r="CU13" s="36">
        <f t="shared" si="21"/>
        <v>0</v>
      </c>
      <c r="CV13" s="36">
        <f t="shared" si="22"/>
        <v>0</v>
      </c>
      <c r="CW13" s="36">
        <f t="shared" si="23"/>
        <v>0</v>
      </c>
      <c r="CX13" s="36">
        <f t="shared" si="24"/>
        <v>0</v>
      </c>
      <c r="CY13" s="36">
        <f t="shared" si="25"/>
        <v>0</v>
      </c>
      <c r="CZ13" s="36">
        <f t="shared" ca="1" si="26"/>
        <v>6</v>
      </c>
      <c r="DA13" s="36">
        <f t="shared" si="27"/>
        <v>0</v>
      </c>
      <c r="DB13" s="36">
        <f t="shared" si="28"/>
        <v>0</v>
      </c>
      <c r="DC13" s="36">
        <f t="shared" si="29"/>
        <v>0</v>
      </c>
      <c r="DD13" s="36">
        <f t="shared" si="30"/>
        <v>0</v>
      </c>
      <c r="DE13" s="36">
        <f t="shared" si="31"/>
        <v>0</v>
      </c>
      <c r="DF13" s="36">
        <f t="shared" si="32"/>
        <v>0</v>
      </c>
      <c r="DG13" s="36">
        <f t="shared" si="33"/>
        <v>0</v>
      </c>
      <c r="DH13" s="36">
        <f t="shared" si="34"/>
        <v>0</v>
      </c>
      <c r="DI13" s="36">
        <f t="shared" si="35"/>
        <v>0</v>
      </c>
      <c r="DJ13" s="36">
        <f t="shared" si="36"/>
        <v>0</v>
      </c>
      <c r="DK13" s="36">
        <f t="shared" si="37"/>
        <v>0</v>
      </c>
      <c r="DL13" s="36">
        <f t="shared" si="38"/>
        <v>0</v>
      </c>
      <c r="DM13" s="36">
        <f t="shared" si="39"/>
        <v>0</v>
      </c>
      <c r="DN13" s="36">
        <f t="shared" si="40"/>
        <v>0</v>
      </c>
      <c r="DO13" s="36">
        <f t="shared" si="41"/>
        <v>0</v>
      </c>
      <c r="DP13" s="36">
        <f t="shared" si="42"/>
        <v>0</v>
      </c>
      <c r="DQ13" s="36">
        <f t="shared" si="43"/>
        <v>0</v>
      </c>
      <c r="DR13" s="36">
        <f t="shared" si="44"/>
        <v>0</v>
      </c>
      <c r="DS13" s="36">
        <f t="shared" si="45"/>
        <v>0</v>
      </c>
      <c r="DT13" s="36">
        <f t="shared" si="46"/>
        <v>0</v>
      </c>
      <c r="DU13" s="36">
        <f t="shared" si="47"/>
        <v>0</v>
      </c>
      <c r="DV13" s="36">
        <f t="shared" si="48"/>
        <v>0</v>
      </c>
      <c r="DW13" s="36">
        <f t="shared" si="49"/>
        <v>0</v>
      </c>
      <c r="DX13" s="36">
        <f t="shared" si="50"/>
        <v>0</v>
      </c>
      <c r="DY13" s="36">
        <f t="shared" si="51"/>
        <v>0</v>
      </c>
      <c r="DZ13" s="36">
        <f t="shared" ca="1" si="52"/>
        <v>0</v>
      </c>
    </row>
    <row r="14" spans="1:130" x14ac:dyDescent="0.25">
      <c r="A14" s="37">
        <v>10</v>
      </c>
      <c r="B14" s="38">
        <v>40</v>
      </c>
      <c r="C14" s="39">
        <v>25</v>
      </c>
      <c r="D14" s="46"/>
      <c r="E14" s="47">
        <f t="shared" ca="1" si="53"/>
        <v>21</v>
      </c>
      <c r="F14" s="47">
        <f t="shared" ca="1" si="0"/>
        <v>1</v>
      </c>
      <c r="G14" s="48">
        <f t="shared" ca="1" si="54"/>
        <v>0</v>
      </c>
      <c r="H14" s="49">
        <f t="shared" ca="1" si="55"/>
        <v>1</v>
      </c>
      <c r="I14" s="47"/>
      <c r="J14" s="49">
        <f t="shared" ca="1" si="56"/>
        <v>241</v>
      </c>
      <c r="K14" s="127">
        <f t="shared" ca="1" si="57"/>
        <v>234</v>
      </c>
      <c r="L14" s="127">
        <f t="shared" ca="1" si="58"/>
        <v>7</v>
      </c>
      <c r="M14" s="127">
        <f t="shared" ca="1" si="59"/>
        <v>0</v>
      </c>
      <c r="N14" s="127">
        <f t="shared" ca="1" si="60"/>
        <v>7</v>
      </c>
      <c r="O14" s="15"/>
      <c r="P14" s="15"/>
      <c r="Q14" s="15"/>
      <c r="R14" s="15"/>
      <c r="S14" s="15"/>
      <c r="T14" s="15"/>
      <c r="U14" s="15"/>
      <c r="V14" s="15"/>
      <c r="W14" s="15"/>
      <c r="X14" s="15"/>
      <c r="Y14" s="119"/>
      <c r="Z14" s="34">
        <v>11</v>
      </c>
      <c r="AA14" s="44"/>
      <c r="AB14" s="42"/>
      <c r="AC14" s="42"/>
      <c r="AD14" s="42"/>
      <c r="AE14" s="42"/>
      <c r="AF14" s="42"/>
      <c r="AG14" s="42"/>
      <c r="AH14" s="41"/>
      <c r="AI14" s="42"/>
      <c r="AJ14" s="42"/>
      <c r="AK14" s="41"/>
      <c r="AL14" s="42"/>
      <c r="AM14" s="42"/>
      <c r="AN14" s="42"/>
      <c r="AO14" s="41"/>
      <c r="AP14" s="42"/>
      <c r="AQ14" s="42"/>
      <c r="AR14" s="42"/>
      <c r="AS14" s="42"/>
      <c r="AT14" s="42"/>
      <c r="AU14" s="42"/>
      <c r="AV14" s="42"/>
      <c r="AW14" s="42"/>
      <c r="AX14" s="42"/>
      <c r="AY14" s="45"/>
      <c r="AZ14" s="35"/>
      <c r="BA14" s="36">
        <v>1</v>
      </c>
      <c r="BB14" s="36"/>
      <c r="BC14" s="36"/>
      <c r="BD14" s="36"/>
      <c r="BE14" s="36"/>
      <c r="BF14" s="36"/>
      <c r="BG14" s="36"/>
      <c r="BH14" s="36">
        <v>1</v>
      </c>
      <c r="BI14" s="36"/>
      <c r="BJ14" s="36"/>
      <c r="BK14" s="36">
        <v>1</v>
      </c>
      <c r="BL14" s="36"/>
      <c r="BM14" s="36"/>
      <c r="BN14" s="36"/>
      <c r="BO14" s="36">
        <v>1</v>
      </c>
      <c r="BP14" s="36"/>
      <c r="BQ14" s="36"/>
      <c r="BR14" s="36"/>
      <c r="BS14" s="36"/>
      <c r="BT14" s="36"/>
      <c r="BU14" s="36"/>
      <c r="BV14" s="36"/>
      <c r="BW14" s="36"/>
      <c r="BX14" s="36"/>
      <c r="BY14" s="36">
        <v>1</v>
      </c>
      <c r="BZ14" s="35"/>
      <c r="CA14" s="36">
        <f t="shared" si="1"/>
        <v>0</v>
      </c>
      <c r="CB14" s="36">
        <f t="shared" si="2"/>
        <v>0</v>
      </c>
      <c r="CC14" s="36">
        <f t="shared" si="3"/>
        <v>0</v>
      </c>
      <c r="CD14" s="36">
        <f t="shared" si="4"/>
        <v>0</v>
      </c>
      <c r="CE14" s="36">
        <f t="shared" si="5"/>
        <v>0</v>
      </c>
      <c r="CF14" s="36">
        <f t="shared" si="6"/>
        <v>0</v>
      </c>
      <c r="CG14" s="36">
        <f t="shared" si="7"/>
        <v>0</v>
      </c>
      <c r="CH14" s="36">
        <f t="shared" si="8"/>
        <v>0</v>
      </c>
      <c r="CI14" s="36">
        <f t="shared" si="9"/>
        <v>0</v>
      </c>
      <c r="CJ14" s="36">
        <f t="shared" si="10"/>
        <v>0</v>
      </c>
      <c r="CK14" s="36">
        <f t="shared" si="11"/>
        <v>0</v>
      </c>
      <c r="CL14" s="36">
        <f t="shared" si="12"/>
        <v>0</v>
      </c>
      <c r="CM14" s="36">
        <f t="shared" si="13"/>
        <v>0</v>
      </c>
      <c r="CN14" s="36">
        <f t="shared" si="14"/>
        <v>0</v>
      </c>
      <c r="CO14" s="36">
        <f t="shared" si="15"/>
        <v>0</v>
      </c>
      <c r="CP14" s="36">
        <f t="shared" si="16"/>
        <v>0</v>
      </c>
      <c r="CQ14" s="36">
        <f t="shared" si="17"/>
        <v>0</v>
      </c>
      <c r="CR14" s="36">
        <f t="shared" si="18"/>
        <v>0</v>
      </c>
      <c r="CS14" s="36">
        <f t="shared" si="19"/>
        <v>0</v>
      </c>
      <c r="CT14" s="36">
        <f t="shared" si="20"/>
        <v>0</v>
      </c>
      <c r="CU14" s="36">
        <f t="shared" si="21"/>
        <v>0</v>
      </c>
      <c r="CV14" s="36">
        <f t="shared" si="22"/>
        <v>0</v>
      </c>
      <c r="CW14" s="36">
        <f t="shared" si="23"/>
        <v>0</v>
      </c>
      <c r="CX14" s="36">
        <f t="shared" si="24"/>
        <v>0</v>
      </c>
      <c r="CY14" s="36">
        <f t="shared" si="25"/>
        <v>0</v>
      </c>
      <c r="CZ14" s="36">
        <f t="shared" ca="1" si="26"/>
        <v>7</v>
      </c>
      <c r="DA14" s="36">
        <f t="shared" si="27"/>
        <v>0</v>
      </c>
      <c r="DB14" s="36">
        <f t="shared" si="28"/>
        <v>0</v>
      </c>
      <c r="DC14" s="36">
        <f t="shared" si="29"/>
        <v>0</v>
      </c>
      <c r="DD14" s="36">
        <f t="shared" si="30"/>
        <v>0</v>
      </c>
      <c r="DE14" s="36">
        <f t="shared" si="31"/>
        <v>0</v>
      </c>
      <c r="DF14" s="36">
        <f t="shared" si="32"/>
        <v>0</v>
      </c>
      <c r="DG14" s="36">
        <f t="shared" si="33"/>
        <v>0</v>
      </c>
      <c r="DH14" s="36">
        <f t="shared" si="34"/>
        <v>0</v>
      </c>
      <c r="DI14" s="36">
        <f t="shared" si="35"/>
        <v>0</v>
      </c>
      <c r="DJ14" s="36">
        <f t="shared" si="36"/>
        <v>0</v>
      </c>
      <c r="DK14" s="36">
        <f t="shared" si="37"/>
        <v>0</v>
      </c>
      <c r="DL14" s="36">
        <f t="shared" si="38"/>
        <v>0</v>
      </c>
      <c r="DM14" s="36">
        <f t="shared" si="39"/>
        <v>0</v>
      </c>
      <c r="DN14" s="36">
        <f t="shared" si="40"/>
        <v>0</v>
      </c>
      <c r="DO14" s="36">
        <f t="shared" si="41"/>
        <v>0</v>
      </c>
      <c r="DP14" s="36">
        <f t="shared" si="42"/>
        <v>0</v>
      </c>
      <c r="DQ14" s="36">
        <f t="shared" si="43"/>
        <v>0</v>
      </c>
      <c r="DR14" s="36">
        <f t="shared" si="44"/>
        <v>0</v>
      </c>
      <c r="DS14" s="36">
        <f t="shared" si="45"/>
        <v>0</v>
      </c>
      <c r="DT14" s="36">
        <f t="shared" si="46"/>
        <v>0</v>
      </c>
      <c r="DU14" s="36">
        <f t="shared" si="47"/>
        <v>0</v>
      </c>
      <c r="DV14" s="36">
        <f t="shared" si="48"/>
        <v>0</v>
      </c>
      <c r="DW14" s="36">
        <f t="shared" si="49"/>
        <v>0</v>
      </c>
      <c r="DX14" s="36">
        <f t="shared" si="50"/>
        <v>0</v>
      </c>
      <c r="DY14" s="36">
        <f t="shared" si="51"/>
        <v>0</v>
      </c>
      <c r="DZ14" s="36">
        <f t="shared" ca="1" si="52"/>
        <v>0</v>
      </c>
    </row>
    <row r="15" spans="1:130" x14ac:dyDescent="0.25">
      <c r="A15" s="17"/>
      <c r="B15" s="22"/>
      <c r="C15" s="22"/>
      <c r="D15" s="22"/>
      <c r="E15" s="50"/>
      <c r="F15" s="50"/>
      <c r="G15" s="50"/>
      <c r="H15" s="50"/>
      <c r="I15" s="22"/>
      <c r="J15" s="50"/>
      <c r="K15" s="50"/>
      <c r="L15" s="50"/>
      <c r="M15" s="50"/>
      <c r="N15" s="22"/>
      <c r="O15" s="6"/>
      <c r="P15" s="6"/>
      <c r="Q15" s="6"/>
      <c r="R15" s="6"/>
      <c r="S15" s="6"/>
      <c r="T15" s="6"/>
      <c r="U15" s="6"/>
      <c r="V15" s="6"/>
      <c r="W15" s="6"/>
      <c r="X15" s="6"/>
      <c r="Y15" s="119"/>
      <c r="Z15" s="34">
        <v>12</v>
      </c>
      <c r="AA15" s="40"/>
      <c r="AB15" s="42"/>
      <c r="AC15" s="41"/>
      <c r="AD15" s="42"/>
      <c r="AE15" s="41"/>
      <c r="AF15" s="41"/>
      <c r="AG15" s="42"/>
      <c r="AH15" s="42"/>
      <c r="AI15" s="42"/>
      <c r="AJ15" s="41"/>
      <c r="AK15" s="42"/>
      <c r="AL15" s="42"/>
      <c r="AM15" s="42"/>
      <c r="AN15" s="41"/>
      <c r="AO15" s="42"/>
      <c r="AP15" s="41"/>
      <c r="AQ15" s="42"/>
      <c r="AR15" s="41"/>
      <c r="AS15" s="41"/>
      <c r="AT15" s="42"/>
      <c r="AU15" s="42"/>
      <c r="AV15" s="42"/>
      <c r="AW15" s="42"/>
      <c r="AX15" s="42"/>
      <c r="AY15" s="43"/>
      <c r="AZ15" s="35"/>
      <c r="BA15" s="36"/>
      <c r="BB15" s="36"/>
      <c r="BC15" s="36">
        <v>1</v>
      </c>
      <c r="BD15" s="36"/>
      <c r="BE15" s="36">
        <v>1</v>
      </c>
      <c r="BF15" s="36">
        <v>1</v>
      </c>
      <c r="BG15" s="36"/>
      <c r="BH15" s="36"/>
      <c r="BI15" s="36"/>
      <c r="BJ15" s="36">
        <v>1</v>
      </c>
      <c r="BK15" s="36"/>
      <c r="BL15" s="36"/>
      <c r="BM15" s="36"/>
      <c r="BN15" s="36">
        <v>1</v>
      </c>
      <c r="BO15" s="36"/>
      <c r="BP15" s="36">
        <v>1</v>
      </c>
      <c r="BQ15" s="36"/>
      <c r="BR15" s="36">
        <v>1</v>
      </c>
      <c r="BS15" s="36">
        <v>1</v>
      </c>
      <c r="BT15" s="36"/>
      <c r="BU15" s="36"/>
      <c r="BV15" s="36"/>
      <c r="BW15" s="36"/>
      <c r="BX15" s="36"/>
      <c r="BY15" s="36"/>
      <c r="BZ15" s="35"/>
      <c r="CA15" s="36">
        <f t="shared" si="1"/>
        <v>0</v>
      </c>
      <c r="CB15" s="36">
        <f t="shared" si="2"/>
        <v>0</v>
      </c>
      <c r="CC15" s="36">
        <f t="shared" si="3"/>
        <v>0</v>
      </c>
      <c r="CD15" s="36">
        <f t="shared" si="4"/>
        <v>0</v>
      </c>
      <c r="CE15" s="36">
        <f t="shared" si="5"/>
        <v>0</v>
      </c>
      <c r="CF15" s="36">
        <f t="shared" si="6"/>
        <v>0</v>
      </c>
      <c r="CG15" s="36">
        <f t="shared" si="7"/>
        <v>0</v>
      </c>
      <c r="CH15" s="36">
        <f t="shared" si="8"/>
        <v>0</v>
      </c>
      <c r="CI15" s="36">
        <f t="shared" si="9"/>
        <v>0</v>
      </c>
      <c r="CJ15" s="36">
        <f t="shared" si="10"/>
        <v>0</v>
      </c>
      <c r="CK15" s="36">
        <f t="shared" si="11"/>
        <v>0</v>
      </c>
      <c r="CL15" s="36">
        <f t="shared" si="12"/>
        <v>0</v>
      </c>
      <c r="CM15" s="36">
        <f t="shared" si="13"/>
        <v>0</v>
      </c>
      <c r="CN15" s="36">
        <f t="shared" si="14"/>
        <v>0</v>
      </c>
      <c r="CO15" s="36">
        <f t="shared" si="15"/>
        <v>0</v>
      </c>
      <c r="CP15" s="36">
        <f t="shared" si="16"/>
        <v>0</v>
      </c>
      <c r="CQ15" s="36">
        <f t="shared" si="17"/>
        <v>0</v>
      </c>
      <c r="CR15" s="36">
        <f t="shared" si="18"/>
        <v>0</v>
      </c>
      <c r="CS15" s="36">
        <f t="shared" si="19"/>
        <v>0</v>
      </c>
      <c r="CT15" s="36">
        <f t="shared" si="20"/>
        <v>0</v>
      </c>
      <c r="CU15" s="36">
        <f t="shared" si="21"/>
        <v>0</v>
      </c>
      <c r="CV15" s="36">
        <f t="shared" si="22"/>
        <v>0</v>
      </c>
      <c r="CW15" s="36">
        <f t="shared" si="23"/>
        <v>0</v>
      </c>
      <c r="CX15" s="36">
        <f t="shared" si="24"/>
        <v>0</v>
      </c>
      <c r="CY15" s="36">
        <f t="shared" si="25"/>
        <v>0</v>
      </c>
      <c r="CZ15" s="36"/>
      <c r="DA15" s="36">
        <f t="shared" si="27"/>
        <v>0</v>
      </c>
      <c r="DB15" s="36">
        <f t="shared" si="28"/>
        <v>0</v>
      </c>
      <c r="DC15" s="36">
        <f t="shared" si="29"/>
        <v>0</v>
      </c>
      <c r="DD15" s="36">
        <f t="shared" si="30"/>
        <v>0</v>
      </c>
      <c r="DE15" s="36">
        <f t="shared" si="31"/>
        <v>0</v>
      </c>
      <c r="DF15" s="36">
        <f t="shared" si="32"/>
        <v>0</v>
      </c>
      <c r="DG15" s="36">
        <f t="shared" si="33"/>
        <v>0</v>
      </c>
      <c r="DH15" s="36">
        <f t="shared" si="34"/>
        <v>0</v>
      </c>
      <c r="DI15" s="36">
        <f t="shared" si="35"/>
        <v>0</v>
      </c>
      <c r="DJ15" s="36">
        <f t="shared" si="36"/>
        <v>0</v>
      </c>
      <c r="DK15" s="36">
        <f t="shared" si="37"/>
        <v>0</v>
      </c>
      <c r="DL15" s="36">
        <f t="shared" si="38"/>
        <v>0</v>
      </c>
      <c r="DM15" s="36">
        <f t="shared" si="39"/>
        <v>0</v>
      </c>
      <c r="DN15" s="36">
        <f t="shared" si="40"/>
        <v>0</v>
      </c>
      <c r="DO15" s="36">
        <f t="shared" si="41"/>
        <v>0</v>
      </c>
      <c r="DP15" s="36">
        <f t="shared" si="42"/>
        <v>0</v>
      </c>
      <c r="DQ15" s="36">
        <f t="shared" si="43"/>
        <v>0</v>
      </c>
      <c r="DR15" s="36">
        <f t="shared" si="44"/>
        <v>0</v>
      </c>
      <c r="DS15" s="36">
        <f t="shared" si="45"/>
        <v>0</v>
      </c>
      <c r="DT15" s="36">
        <f t="shared" si="46"/>
        <v>0</v>
      </c>
      <c r="DU15" s="36">
        <f t="shared" si="47"/>
        <v>0</v>
      </c>
      <c r="DV15" s="36">
        <f t="shared" si="48"/>
        <v>0</v>
      </c>
      <c r="DW15" s="36">
        <f t="shared" si="49"/>
        <v>0</v>
      </c>
      <c r="DX15" s="36">
        <f t="shared" si="50"/>
        <v>0</v>
      </c>
      <c r="DY15" s="36">
        <f t="shared" si="51"/>
        <v>0</v>
      </c>
      <c r="DZ15" s="36"/>
    </row>
    <row r="16" spans="1:130" x14ac:dyDescent="0.25">
      <c r="A16" s="17"/>
      <c r="B16" s="22"/>
      <c r="C16" s="22"/>
      <c r="D16" s="22"/>
      <c r="E16" s="25" t="s">
        <v>142</v>
      </c>
      <c r="F16" s="24" t="s">
        <v>143</v>
      </c>
      <c r="G16" s="50"/>
      <c r="H16" s="50"/>
      <c r="I16" s="22"/>
      <c r="J16" s="50"/>
      <c r="K16" s="50"/>
      <c r="L16" s="50"/>
      <c r="M16" s="50"/>
      <c r="N16" s="22"/>
      <c r="O16" s="6"/>
      <c r="P16" s="6"/>
      <c r="Q16" s="6"/>
      <c r="R16" s="6"/>
      <c r="S16" s="6"/>
      <c r="T16" s="6"/>
      <c r="U16" s="6"/>
      <c r="V16" s="6"/>
      <c r="W16" s="6"/>
      <c r="X16" s="6"/>
      <c r="Y16" s="119"/>
      <c r="Z16" s="34">
        <v>13</v>
      </c>
      <c r="AA16" s="40"/>
      <c r="AB16" s="42"/>
      <c r="AC16" s="41" t="s">
        <v>397</v>
      </c>
      <c r="AD16" s="42"/>
      <c r="AE16" s="42"/>
      <c r="AF16" s="41"/>
      <c r="AG16" s="42"/>
      <c r="AH16" s="42"/>
      <c r="AI16" s="42"/>
      <c r="AJ16" s="42"/>
      <c r="AK16" s="41"/>
      <c r="AL16" s="42"/>
      <c r="AM16" s="42"/>
      <c r="AN16" s="42"/>
      <c r="AO16" s="41"/>
      <c r="AP16" s="42"/>
      <c r="AQ16" s="41"/>
      <c r="AR16" s="42"/>
      <c r="AS16" s="42"/>
      <c r="AT16" s="42"/>
      <c r="AU16" s="42"/>
      <c r="AV16" s="42"/>
      <c r="AW16" s="41"/>
      <c r="AX16" s="42"/>
      <c r="AY16" s="43"/>
      <c r="AZ16" s="35"/>
      <c r="BA16" s="36"/>
      <c r="BB16" s="36"/>
      <c r="BC16" s="36">
        <v>1</v>
      </c>
      <c r="BD16" s="36"/>
      <c r="BE16" s="36"/>
      <c r="BF16" s="36">
        <v>1</v>
      </c>
      <c r="BG16" s="36"/>
      <c r="BH16" s="36"/>
      <c r="BI16" s="36"/>
      <c r="BJ16" s="36"/>
      <c r="BK16" s="36">
        <v>1</v>
      </c>
      <c r="BL16" s="36"/>
      <c r="BM16" s="36"/>
      <c r="BN16" s="36"/>
      <c r="BO16" s="36">
        <v>1</v>
      </c>
      <c r="BP16" s="36"/>
      <c r="BQ16" s="36">
        <v>1</v>
      </c>
      <c r="BR16" s="36"/>
      <c r="BS16" s="36"/>
      <c r="BT16" s="36"/>
      <c r="BU16" s="36"/>
      <c r="BV16" s="36"/>
      <c r="BW16" s="36">
        <v>1</v>
      </c>
      <c r="BX16" s="36"/>
      <c r="BY16" s="36"/>
      <c r="BZ16" s="35"/>
      <c r="CA16" s="36">
        <f t="shared" si="1"/>
        <v>0</v>
      </c>
      <c r="CB16" s="36">
        <f t="shared" si="2"/>
        <v>0</v>
      </c>
      <c r="CC16" s="36">
        <f t="shared" si="3"/>
        <v>1</v>
      </c>
      <c r="CD16" s="36">
        <f t="shared" si="4"/>
        <v>0</v>
      </c>
      <c r="CE16" s="36">
        <f t="shared" si="5"/>
        <v>0</v>
      </c>
      <c r="CF16" s="36">
        <f t="shared" si="6"/>
        <v>0</v>
      </c>
      <c r="CG16" s="36">
        <f t="shared" si="7"/>
        <v>0</v>
      </c>
      <c r="CH16" s="36">
        <f t="shared" si="8"/>
        <v>0</v>
      </c>
      <c r="CI16" s="36">
        <f t="shared" si="9"/>
        <v>0</v>
      </c>
      <c r="CJ16" s="36">
        <f t="shared" si="10"/>
        <v>0</v>
      </c>
      <c r="CK16" s="36">
        <f t="shared" si="11"/>
        <v>0</v>
      </c>
      <c r="CL16" s="36">
        <f t="shared" si="12"/>
        <v>0</v>
      </c>
      <c r="CM16" s="36">
        <f t="shared" si="13"/>
        <v>0</v>
      </c>
      <c r="CN16" s="36">
        <f t="shared" si="14"/>
        <v>0</v>
      </c>
      <c r="CO16" s="36">
        <f t="shared" si="15"/>
        <v>0</v>
      </c>
      <c r="CP16" s="36">
        <f t="shared" si="16"/>
        <v>0</v>
      </c>
      <c r="CQ16" s="36">
        <f t="shared" si="17"/>
        <v>0</v>
      </c>
      <c r="CR16" s="36">
        <f t="shared" si="18"/>
        <v>0</v>
      </c>
      <c r="CS16" s="36">
        <f t="shared" si="19"/>
        <v>0</v>
      </c>
      <c r="CT16" s="36">
        <f t="shared" si="20"/>
        <v>0</v>
      </c>
      <c r="CU16" s="36">
        <f t="shared" si="21"/>
        <v>0</v>
      </c>
      <c r="CV16" s="36">
        <f t="shared" si="22"/>
        <v>0</v>
      </c>
      <c r="CW16" s="36">
        <f t="shared" si="23"/>
        <v>0</v>
      </c>
      <c r="CX16" s="36">
        <f t="shared" si="24"/>
        <v>0</v>
      </c>
      <c r="CY16" s="36">
        <f t="shared" si="25"/>
        <v>0</v>
      </c>
      <c r="CZ16" s="36"/>
      <c r="DA16" s="36">
        <f t="shared" si="27"/>
        <v>0</v>
      </c>
      <c r="DB16" s="36">
        <f t="shared" si="28"/>
        <v>0</v>
      </c>
      <c r="DC16" s="36">
        <f t="shared" si="29"/>
        <v>0</v>
      </c>
      <c r="DD16" s="36">
        <f t="shared" si="30"/>
        <v>0</v>
      </c>
      <c r="DE16" s="36">
        <f t="shared" si="31"/>
        <v>0</v>
      </c>
      <c r="DF16" s="36">
        <f t="shared" si="32"/>
        <v>0</v>
      </c>
      <c r="DG16" s="36">
        <f t="shared" si="33"/>
        <v>0</v>
      </c>
      <c r="DH16" s="36">
        <f t="shared" si="34"/>
        <v>0</v>
      </c>
      <c r="DI16" s="36">
        <f t="shared" si="35"/>
        <v>0</v>
      </c>
      <c r="DJ16" s="36">
        <f t="shared" si="36"/>
        <v>0</v>
      </c>
      <c r="DK16" s="36">
        <f t="shared" si="37"/>
        <v>0</v>
      </c>
      <c r="DL16" s="36">
        <f t="shared" si="38"/>
        <v>0</v>
      </c>
      <c r="DM16" s="36">
        <f t="shared" si="39"/>
        <v>0</v>
      </c>
      <c r="DN16" s="36">
        <f t="shared" si="40"/>
        <v>0</v>
      </c>
      <c r="DO16" s="36">
        <f t="shared" si="41"/>
        <v>0</v>
      </c>
      <c r="DP16" s="36">
        <f t="shared" si="42"/>
        <v>0</v>
      </c>
      <c r="DQ16" s="36">
        <f t="shared" si="43"/>
        <v>0</v>
      </c>
      <c r="DR16" s="36">
        <f t="shared" si="44"/>
        <v>0</v>
      </c>
      <c r="DS16" s="36">
        <f t="shared" si="45"/>
        <v>0</v>
      </c>
      <c r="DT16" s="36">
        <f t="shared" si="46"/>
        <v>0</v>
      </c>
      <c r="DU16" s="36">
        <f t="shared" si="47"/>
        <v>0</v>
      </c>
      <c r="DV16" s="36">
        <f t="shared" si="48"/>
        <v>0</v>
      </c>
      <c r="DW16" s="36">
        <f t="shared" si="49"/>
        <v>0</v>
      </c>
      <c r="DX16" s="36">
        <f t="shared" si="50"/>
        <v>0</v>
      </c>
      <c r="DY16" s="36">
        <f t="shared" si="51"/>
        <v>0</v>
      </c>
      <c r="DZ16" s="36"/>
    </row>
    <row r="17" spans="1:130" x14ac:dyDescent="0.25">
      <c r="A17" s="17"/>
      <c r="B17" s="22"/>
      <c r="C17" s="25" t="s">
        <v>144</v>
      </c>
      <c r="D17" s="22"/>
      <c r="E17" s="51">
        <v>10</v>
      </c>
      <c r="F17" s="52">
        <v>0</v>
      </c>
      <c r="G17" s="50"/>
      <c r="H17" s="50"/>
      <c r="I17" s="22"/>
      <c r="J17" s="50"/>
      <c r="K17" s="50"/>
      <c r="L17" s="50"/>
      <c r="M17" s="50"/>
      <c r="N17" s="22"/>
      <c r="O17" s="6"/>
      <c r="P17" s="6"/>
      <c r="Q17" s="6"/>
      <c r="R17" s="6"/>
      <c r="S17" s="6"/>
      <c r="T17" s="6"/>
      <c r="U17" s="6"/>
      <c r="V17" s="6"/>
      <c r="W17" s="6"/>
      <c r="X17" s="6"/>
      <c r="Y17" s="119"/>
      <c r="Z17" s="34">
        <v>14</v>
      </c>
      <c r="AA17" s="40"/>
      <c r="AB17" s="42"/>
      <c r="AC17" s="42"/>
      <c r="AD17" s="42"/>
      <c r="AE17" s="42"/>
      <c r="AF17" s="42"/>
      <c r="AG17" s="42"/>
      <c r="AH17" s="42"/>
      <c r="AI17" s="41"/>
      <c r="AJ17" s="42"/>
      <c r="AK17" s="42"/>
      <c r="AL17" s="42"/>
      <c r="AM17" s="41"/>
      <c r="AN17" s="42"/>
      <c r="AO17" s="42"/>
      <c r="AP17" s="42"/>
      <c r="AQ17" s="41"/>
      <c r="AR17" s="42"/>
      <c r="AS17" s="42"/>
      <c r="AT17" s="42"/>
      <c r="AU17" s="41"/>
      <c r="AV17" s="42"/>
      <c r="AW17" s="41"/>
      <c r="AX17" s="42"/>
      <c r="AY17" s="43"/>
      <c r="AZ17" s="35"/>
      <c r="BA17" s="36"/>
      <c r="BB17" s="36"/>
      <c r="BC17" s="36"/>
      <c r="BD17" s="36"/>
      <c r="BE17" s="36"/>
      <c r="BF17" s="36"/>
      <c r="BG17" s="36"/>
      <c r="BH17" s="36"/>
      <c r="BI17" s="36">
        <v>1</v>
      </c>
      <c r="BJ17" s="36"/>
      <c r="BK17" s="36"/>
      <c r="BL17" s="36"/>
      <c r="BM17" s="36">
        <v>1</v>
      </c>
      <c r="BN17" s="36"/>
      <c r="BO17" s="36"/>
      <c r="BP17" s="36"/>
      <c r="BQ17" s="36">
        <v>1</v>
      </c>
      <c r="BR17" s="36"/>
      <c r="BS17" s="36"/>
      <c r="BT17" s="36"/>
      <c r="BU17" s="36">
        <v>1</v>
      </c>
      <c r="BV17" s="36"/>
      <c r="BW17" s="36">
        <v>1</v>
      </c>
      <c r="BX17" s="36"/>
      <c r="BY17" s="36"/>
      <c r="BZ17" s="35"/>
      <c r="CA17" s="36">
        <f t="shared" si="1"/>
        <v>0</v>
      </c>
      <c r="CB17" s="36">
        <f t="shared" si="2"/>
        <v>0</v>
      </c>
      <c r="CC17" s="36">
        <f t="shared" si="3"/>
        <v>0</v>
      </c>
      <c r="CD17" s="36">
        <f t="shared" si="4"/>
        <v>0</v>
      </c>
      <c r="CE17" s="36">
        <f t="shared" si="5"/>
        <v>0</v>
      </c>
      <c r="CF17" s="36">
        <f t="shared" si="6"/>
        <v>0</v>
      </c>
      <c r="CG17" s="36">
        <f t="shared" si="7"/>
        <v>0</v>
      </c>
      <c r="CH17" s="36">
        <f t="shared" si="8"/>
        <v>0</v>
      </c>
      <c r="CI17" s="36">
        <f t="shared" si="9"/>
        <v>0</v>
      </c>
      <c r="CJ17" s="36">
        <f t="shared" si="10"/>
        <v>0</v>
      </c>
      <c r="CK17" s="36">
        <f t="shared" si="11"/>
        <v>0</v>
      </c>
      <c r="CL17" s="36">
        <f t="shared" si="12"/>
        <v>0</v>
      </c>
      <c r="CM17" s="36">
        <f t="shared" si="13"/>
        <v>0</v>
      </c>
      <c r="CN17" s="36">
        <f t="shared" si="14"/>
        <v>0</v>
      </c>
      <c r="CO17" s="36">
        <f t="shared" si="15"/>
        <v>0</v>
      </c>
      <c r="CP17" s="36">
        <f t="shared" si="16"/>
        <v>0</v>
      </c>
      <c r="CQ17" s="36">
        <f t="shared" si="17"/>
        <v>0</v>
      </c>
      <c r="CR17" s="36">
        <f t="shared" si="18"/>
        <v>0</v>
      </c>
      <c r="CS17" s="36">
        <f t="shared" si="19"/>
        <v>0</v>
      </c>
      <c r="CT17" s="36">
        <f t="shared" si="20"/>
        <v>0</v>
      </c>
      <c r="CU17" s="36">
        <f t="shared" si="21"/>
        <v>0</v>
      </c>
      <c r="CV17" s="36">
        <f t="shared" si="22"/>
        <v>0</v>
      </c>
      <c r="CW17" s="36">
        <f t="shared" si="23"/>
        <v>0</v>
      </c>
      <c r="CX17" s="36">
        <f t="shared" si="24"/>
        <v>0</v>
      </c>
      <c r="CY17" s="36">
        <f t="shared" si="25"/>
        <v>0</v>
      </c>
      <c r="CZ17" s="36"/>
      <c r="DA17" s="36">
        <f t="shared" si="27"/>
        <v>0</v>
      </c>
      <c r="DB17" s="36">
        <f t="shared" si="28"/>
        <v>0</v>
      </c>
      <c r="DC17" s="36">
        <f t="shared" si="29"/>
        <v>0</v>
      </c>
      <c r="DD17" s="36">
        <f t="shared" si="30"/>
        <v>0</v>
      </c>
      <c r="DE17" s="36">
        <f t="shared" si="31"/>
        <v>0</v>
      </c>
      <c r="DF17" s="36">
        <f t="shared" si="32"/>
        <v>0</v>
      </c>
      <c r="DG17" s="36">
        <f t="shared" si="33"/>
        <v>0</v>
      </c>
      <c r="DH17" s="36">
        <f t="shared" si="34"/>
        <v>0</v>
      </c>
      <c r="DI17" s="36">
        <f t="shared" si="35"/>
        <v>0</v>
      </c>
      <c r="DJ17" s="36">
        <f t="shared" si="36"/>
        <v>0</v>
      </c>
      <c r="DK17" s="36">
        <f t="shared" si="37"/>
        <v>0</v>
      </c>
      <c r="DL17" s="36">
        <f t="shared" si="38"/>
        <v>0</v>
      </c>
      <c r="DM17" s="36">
        <f t="shared" si="39"/>
        <v>0</v>
      </c>
      <c r="DN17" s="36">
        <f t="shared" si="40"/>
        <v>0</v>
      </c>
      <c r="DO17" s="36">
        <f t="shared" si="41"/>
        <v>0</v>
      </c>
      <c r="DP17" s="36">
        <f t="shared" si="42"/>
        <v>0</v>
      </c>
      <c r="DQ17" s="36">
        <f t="shared" si="43"/>
        <v>0</v>
      </c>
      <c r="DR17" s="36">
        <f t="shared" si="44"/>
        <v>0</v>
      </c>
      <c r="DS17" s="36">
        <f t="shared" si="45"/>
        <v>0</v>
      </c>
      <c r="DT17" s="36">
        <f t="shared" si="46"/>
        <v>0</v>
      </c>
      <c r="DU17" s="36">
        <f t="shared" si="47"/>
        <v>0</v>
      </c>
      <c r="DV17" s="36">
        <f t="shared" si="48"/>
        <v>0</v>
      </c>
      <c r="DW17" s="36">
        <f t="shared" si="49"/>
        <v>0</v>
      </c>
      <c r="DX17" s="36">
        <f t="shared" si="50"/>
        <v>0</v>
      </c>
      <c r="DY17" s="36">
        <f t="shared" si="51"/>
        <v>0</v>
      </c>
      <c r="DZ17" s="36"/>
    </row>
    <row r="18" spans="1:130" x14ac:dyDescent="0.25">
      <c r="A18" s="17"/>
      <c r="B18" s="22"/>
      <c r="C18" s="25" t="s">
        <v>50</v>
      </c>
      <c r="D18" s="22"/>
      <c r="E18" s="325" t="str">
        <f>IF(Ergebnisse!C2="","",Ergebnisse!C2)</f>
        <v>A</v>
      </c>
      <c r="F18" s="326"/>
      <c r="G18" s="281" t="s">
        <v>128</v>
      </c>
      <c r="H18" s="50"/>
      <c r="I18" s="22"/>
      <c r="J18" s="50"/>
      <c r="K18" s="50"/>
      <c r="L18" s="50"/>
      <c r="M18" s="50"/>
      <c r="N18" s="22"/>
      <c r="O18" s="6"/>
      <c r="P18" s="6"/>
      <c r="Q18" s="6"/>
      <c r="R18" s="6"/>
      <c r="S18" s="6"/>
      <c r="T18" s="6"/>
      <c r="U18" s="6"/>
      <c r="V18" s="6"/>
      <c r="W18" s="6"/>
      <c r="X18" s="6"/>
      <c r="Y18" s="119"/>
      <c r="Z18" s="34">
        <v>15</v>
      </c>
      <c r="AA18" s="40"/>
      <c r="AB18" s="42"/>
      <c r="AC18" s="42"/>
      <c r="AD18" s="41"/>
      <c r="AE18" s="42"/>
      <c r="AF18" s="42"/>
      <c r="AG18" s="41"/>
      <c r="AH18" s="42"/>
      <c r="AI18" s="42"/>
      <c r="AJ18" s="42"/>
      <c r="AK18" s="42"/>
      <c r="AL18" s="41"/>
      <c r="AM18" s="42"/>
      <c r="AN18" s="42"/>
      <c r="AO18" s="42"/>
      <c r="AP18" s="42"/>
      <c r="AQ18" s="42"/>
      <c r="AR18" s="42"/>
      <c r="AS18" s="42"/>
      <c r="AT18" s="42"/>
      <c r="AU18" s="42"/>
      <c r="AV18" s="41"/>
      <c r="AW18" s="42"/>
      <c r="AX18" s="41"/>
      <c r="AY18" s="45"/>
      <c r="AZ18" s="35"/>
      <c r="BA18" s="36"/>
      <c r="BB18" s="36"/>
      <c r="BC18" s="36"/>
      <c r="BD18" s="36">
        <v>1</v>
      </c>
      <c r="BE18" s="36"/>
      <c r="BF18" s="36"/>
      <c r="BG18" s="36">
        <v>1</v>
      </c>
      <c r="BH18" s="36"/>
      <c r="BI18" s="36"/>
      <c r="BJ18" s="36"/>
      <c r="BK18" s="36"/>
      <c r="BL18" s="36">
        <v>1</v>
      </c>
      <c r="BM18" s="36"/>
      <c r="BN18" s="36"/>
      <c r="BO18" s="36"/>
      <c r="BP18" s="36"/>
      <c r="BQ18" s="36"/>
      <c r="BR18" s="36"/>
      <c r="BS18" s="36"/>
      <c r="BT18" s="36"/>
      <c r="BU18" s="36"/>
      <c r="BV18" s="36">
        <v>1</v>
      </c>
      <c r="BW18" s="36"/>
      <c r="BX18" s="36">
        <v>1</v>
      </c>
      <c r="BY18" s="36">
        <v>1</v>
      </c>
      <c r="BZ18" s="35"/>
      <c r="CA18" s="36">
        <f t="shared" si="1"/>
        <v>0</v>
      </c>
      <c r="CB18" s="36">
        <f t="shared" si="2"/>
        <v>0</v>
      </c>
      <c r="CC18" s="36">
        <f t="shared" si="3"/>
        <v>0</v>
      </c>
      <c r="CD18" s="36">
        <f t="shared" si="4"/>
        <v>0</v>
      </c>
      <c r="CE18" s="36">
        <f t="shared" si="5"/>
        <v>0</v>
      </c>
      <c r="CF18" s="36">
        <f t="shared" si="6"/>
        <v>0</v>
      </c>
      <c r="CG18" s="36">
        <f t="shared" si="7"/>
        <v>0</v>
      </c>
      <c r="CH18" s="36">
        <f t="shared" si="8"/>
        <v>0</v>
      </c>
      <c r="CI18" s="36">
        <f t="shared" si="9"/>
        <v>0</v>
      </c>
      <c r="CJ18" s="36">
        <f t="shared" si="10"/>
        <v>0</v>
      </c>
      <c r="CK18" s="36">
        <f t="shared" si="11"/>
        <v>0</v>
      </c>
      <c r="CL18" s="36">
        <f t="shared" si="12"/>
        <v>0</v>
      </c>
      <c r="CM18" s="36">
        <f t="shared" si="13"/>
        <v>0</v>
      </c>
      <c r="CN18" s="36">
        <f t="shared" si="14"/>
        <v>0</v>
      </c>
      <c r="CO18" s="36">
        <f t="shared" si="15"/>
        <v>0</v>
      </c>
      <c r="CP18" s="36">
        <f t="shared" si="16"/>
        <v>0</v>
      </c>
      <c r="CQ18" s="36">
        <f t="shared" si="17"/>
        <v>0</v>
      </c>
      <c r="CR18" s="36">
        <f t="shared" si="18"/>
        <v>0</v>
      </c>
      <c r="CS18" s="36">
        <f t="shared" si="19"/>
        <v>0</v>
      </c>
      <c r="CT18" s="36">
        <f t="shared" si="20"/>
        <v>0</v>
      </c>
      <c r="CU18" s="36">
        <f t="shared" si="21"/>
        <v>0</v>
      </c>
      <c r="CV18" s="36">
        <f t="shared" si="22"/>
        <v>0</v>
      </c>
      <c r="CW18" s="36">
        <f t="shared" si="23"/>
        <v>0</v>
      </c>
      <c r="CX18" s="36">
        <f t="shared" si="24"/>
        <v>0</v>
      </c>
      <c r="CY18" s="36">
        <f t="shared" si="25"/>
        <v>0</v>
      </c>
      <c r="CZ18" s="36"/>
      <c r="DA18" s="36">
        <f t="shared" si="27"/>
        <v>0</v>
      </c>
      <c r="DB18" s="36">
        <f t="shared" si="28"/>
        <v>0</v>
      </c>
      <c r="DC18" s="36">
        <f t="shared" si="29"/>
        <v>0</v>
      </c>
      <c r="DD18" s="36">
        <f t="shared" si="30"/>
        <v>0</v>
      </c>
      <c r="DE18" s="36">
        <f t="shared" si="31"/>
        <v>0</v>
      </c>
      <c r="DF18" s="36">
        <f t="shared" si="32"/>
        <v>0</v>
      </c>
      <c r="DG18" s="36">
        <f t="shared" si="33"/>
        <v>0</v>
      </c>
      <c r="DH18" s="36">
        <f t="shared" si="34"/>
        <v>0</v>
      </c>
      <c r="DI18" s="36">
        <f t="shared" si="35"/>
        <v>0</v>
      </c>
      <c r="DJ18" s="36">
        <f t="shared" si="36"/>
        <v>0</v>
      </c>
      <c r="DK18" s="36">
        <f t="shared" si="37"/>
        <v>0</v>
      </c>
      <c r="DL18" s="36">
        <f t="shared" si="38"/>
        <v>0</v>
      </c>
      <c r="DM18" s="36">
        <f t="shared" si="39"/>
        <v>0</v>
      </c>
      <c r="DN18" s="36">
        <f t="shared" si="40"/>
        <v>0</v>
      </c>
      <c r="DO18" s="36">
        <f t="shared" si="41"/>
        <v>0</v>
      </c>
      <c r="DP18" s="36">
        <f t="shared" si="42"/>
        <v>0</v>
      </c>
      <c r="DQ18" s="36">
        <f t="shared" si="43"/>
        <v>0</v>
      </c>
      <c r="DR18" s="36">
        <f t="shared" si="44"/>
        <v>0</v>
      </c>
      <c r="DS18" s="36">
        <f t="shared" si="45"/>
        <v>0</v>
      </c>
      <c r="DT18" s="36">
        <f t="shared" si="46"/>
        <v>0</v>
      </c>
      <c r="DU18" s="36">
        <f t="shared" si="47"/>
        <v>0</v>
      </c>
      <c r="DV18" s="36">
        <f t="shared" si="48"/>
        <v>0</v>
      </c>
      <c r="DW18" s="36">
        <f t="shared" si="49"/>
        <v>0</v>
      </c>
      <c r="DX18" s="36">
        <f t="shared" si="50"/>
        <v>0</v>
      </c>
      <c r="DY18" s="36">
        <f t="shared" si="51"/>
        <v>0</v>
      </c>
      <c r="DZ18" s="36"/>
    </row>
    <row r="19" spans="1:130" x14ac:dyDescent="0.25">
      <c r="A19" s="17"/>
      <c r="B19" s="22"/>
      <c r="C19" s="53"/>
      <c r="D19" s="22"/>
      <c r="E19" s="327" t="str">
        <f>IF(Ergebnisse!C8="","",Ergebnisse!C8)</f>
        <v/>
      </c>
      <c r="F19" s="328"/>
      <c r="G19" s="281" t="s">
        <v>272</v>
      </c>
      <c r="H19" s="50"/>
      <c r="I19" s="22"/>
      <c r="J19" s="50"/>
      <c r="K19" s="50"/>
      <c r="L19" s="50"/>
      <c r="M19" s="50"/>
      <c r="N19" s="22"/>
      <c r="O19" s="6"/>
      <c r="P19" s="6"/>
      <c r="Q19" s="6"/>
      <c r="R19" s="6"/>
      <c r="S19" s="6"/>
      <c r="T19" s="6"/>
      <c r="U19" s="6"/>
      <c r="V19" s="6"/>
      <c r="W19" s="6"/>
      <c r="X19" s="6"/>
      <c r="Y19" s="119"/>
      <c r="Z19" s="34">
        <v>16</v>
      </c>
      <c r="AA19" s="40"/>
      <c r="AB19" s="42"/>
      <c r="AC19" s="42"/>
      <c r="AD19" s="41"/>
      <c r="AE19" s="42"/>
      <c r="AF19" s="42"/>
      <c r="AG19" s="42"/>
      <c r="AH19" s="42"/>
      <c r="AI19" s="42"/>
      <c r="AJ19" s="42"/>
      <c r="AK19" s="41"/>
      <c r="AL19" s="42"/>
      <c r="AM19" s="42"/>
      <c r="AN19" s="42"/>
      <c r="AO19" s="42"/>
      <c r="AP19" s="42"/>
      <c r="AQ19" s="42"/>
      <c r="AR19" s="41"/>
      <c r="AS19" s="42"/>
      <c r="AT19" s="42"/>
      <c r="AU19" s="42"/>
      <c r="AV19" s="42"/>
      <c r="AW19" s="42"/>
      <c r="AX19" s="41"/>
      <c r="AY19" s="43"/>
      <c r="AZ19" s="35"/>
      <c r="BA19" s="36"/>
      <c r="BB19" s="36"/>
      <c r="BC19" s="36"/>
      <c r="BD19" s="36">
        <v>1</v>
      </c>
      <c r="BE19" s="36"/>
      <c r="BF19" s="36"/>
      <c r="BG19" s="36"/>
      <c r="BH19" s="36"/>
      <c r="BI19" s="36"/>
      <c r="BJ19" s="36"/>
      <c r="BK19" s="36">
        <v>1</v>
      </c>
      <c r="BL19" s="36"/>
      <c r="BM19" s="36"/>
      <c r="BN19" s="36"/>
      <c r="BO19" s="36"/>
      <c r="BP19" s="36"/>
      <c r="BQ19" s="36"/>
      <c r="BR19" s="36">
        <v>1</v>
      </c>
      <c r="BS19" s="36"/>
      <c r="BT19" s="36"/>
      <c r="BU19" s="36"/>
      <c r="BV19" s="36"/>
      <c r="BW19" s="36"/>
      <c r="BX19" s="36">
        <v>1</v>
      </c>
      <c r="BY19" s="36"/>
      <c r="BZ19" s="35"/>
      <c r="CA19" s="36">
        <f t="shared" si="1"/>
        <v>0</v>
      </c>
      <c r="CB19" s="36">
        <f t="shared" si="2"/>
        <v>0</v>
      </c>
      <c r="CC19" s="36">
        <f t="shared" si="3"/>
        <v>0</v>
      </c>
      <c r="CD19" s="36">
        <f t="shared" si="4"/>
        <v>0</v>
      </c>
      <c r="CE19" s="36">
        <f t="shared" si="5"/>
        <v>0</v>
      </c>
      <c r="CF19" s="36">
        <f t="shared" si="6"/>
        <v>0</v>
      </c>
      <c r="CG19" s="36">
        <f t="shared" si="7"/>
        <v>0</v>
      </c>
      <c r="CH19" s="36">
        <f t="shared" si="8"/>
        <v>0</v>
      </c>
      <c r="CI19" s="36">
        <f t="shared" si="9"/>
        <v>0</v>
      </c>
      <c r="CJ19" s="36">
        <f t="shared" si="10"/>
        <v>0</v>
      </c>
      <c r="CK19" s="36">
        <f t="shared" si="11"/>
        <v>0</v>
      </c>
      <c r="CL19" s="36">
        <f t="shared" si="12"/>
        <v>0</v>
      </c>
      <c r="CM19" s="36">
        <f t="shared" si="13"/>
        <v>0</v>
      </c>
      <c r="CN19" s="36">
        <f t="shared" si="14"/>
        <v>0</v>
      </c>
      <c r="CO19" s="36">
        <f t="shared" si="15"/>
        <v>0</v>
      </c>
      <c r="CP19" s="36">
        <f t="shared" si="16"/>
        <v>0</v>
      </c>
      <c r="CQ19" s="36">
        <f t="shared" si="17"/>
        <v>0</v>
      </c>
      <c r="CR19" s="36">
        <f t="shared" si="18"/>
        <v>0</v>
      </c>
      <c r="CS19" s="36">
        <f t="shared" si="19"/>
        <v>0</v>
      </c>
      <c r="CT19" s="36">
        <f t="shared" si="20"/>
        <v>0</v>
      </c>
      <c r="CU19" s="36">
        <f t="shared" si="21"/>
        <v>0</v>
      </c>
      <c r="CV19" s="36">
        <f t="shared" si="22"/>
        <v>0</v>
      </c>
      <c r="CW19" s="36">
        <f t="shared" si="23"/>
        <v>0</v>
      </c>
      <c r="CX19" s="36">
        <f t="shared" si="24"/>
        <v>0</v>
      </c>
      <c r="CY19" s="36">
        <f t="shared" si="25"/>
        <v>0</v>
      </c>
      <c r="CZ19" s="36"/>
      <c r="DA19" s="36">
        <f t="shared" si="27"/>
        <v>0</v>
      </c>
      <c r="DB19" s="36">
        <f t="shared" si="28"/>
        <v>0</v>
      </c>
      <c r="DC19" s="36">
        <f t="shared" si="29"/>
        <v>0</v>
      </c>
      <c r="DD19" s="36">
        <f t="shared" si="30"/>
        <v>0</v>
      </c>
      <c r="DE19" s="36">
        <f t="shared" si="31"/>
        <v>0</v>
      </c>
      <c r="DF19" s="36">
        <f t="shared" si="32"/>
        <v>0</v>
      </c>
      <c r="DG19" s="36">
        <f t="shared" si="33"/>
        <v>0</v>
      </c>
      <c r="DH19" s="36">
        <f t="shared" si="34"/>
        <v>0</v>
      </c>
      <c r="DI19" s="36">
        <f t="shared" si="35"/>
        <v>0</v>
      </c>
      <c r="DJ19" s="36">
        <f t="shared" si="36"/>
        <v>0</v>
      </c>
      <c r="DK19" s="36">
        <f t="shared" si="37"/>
        <v>0</v>
      </c>
      <c r="DL19" s="36">
        <f t="shared" si="38"/>
        <v>0</v>
      </c>
      <c r="DM19" s="36">
        <f t="shared" si="39"/>
        <v>0</v>
      </c>
      <c r="DN19" s="36">
        <f t="shared" si="40"/>
        <v>0</v>
      </c>
      <c r="DO19" s="36">
        <f t="shared" si="41"/>
        <v>0</v>
      </c>
      <c r="DP19" s="36">
        <f t="shared" si="42"/>
        <v>0</v>
      </c>
      <c r="DQ19" s="36">
        <f t="shared" si="43"/>
        <v>0</v>
      </c>
      <c r="DR19" s="36">
        <f t="shared" si="44"/>
        <v>0</v>
      </c>
      <c r="DS19" s="36">
        <f t="shared" si="45"/>
        <v>0</v>
      </c>
      <c r="DT19" s="36">
        <f t="shared" si="46"/>
        <v>0</v>
      </c>
      <c r="DU19" s="36">
        <f t="shared" si="47"/>
        <v>0</v>
      </c>
      <c r="DV19" s="36">
        <f t="shared" si="48"/>
        <v>0</v>
      </c>
      <c r="DW19" s="36">
        <f t="shared" si="49"/>
        <v>0</v>
      </c>
      <c r="DX19" s="36">
        <f t="shared" si="50"/>
        <v>0</v>
      </c>
      <c r="DY19" s="36">
        <f t="shared" si="51"/>
        <v>0</v>
      </c>
      <c r="DZ19" s="36"/>
    </row>
    <row r="20" spans="1:130" x14ac:dyDescent="0.25">
      <c r="A20" s="17"/>
      <c r="B20" s="22"/>
      <c r="C20" s="22"/>
      <c r="D20" s="22"/>
      <c r="E20" s="22"/>
      <c r="F20" s="50"/>
      <c r="G20" s="50"/>
      <c r="H20" s="50"/>
      <c r="I20" s="22"/>
      <c r="J20" s="50"/>
      <c r="K20" s="50"/>
      <c r="L20" s="50"/>
      <c r="M20" s="50"/>
      <c r="N20" s="22"/>
      <c r="O20" s="6"/>
      <c r="P20" s="6"/>
      <c r="Q20" s="6"/>
      <c r="R20" s="6"/>
      <c r="S20" s="6"/>
      <c r="T20" s="6"/>
      <c r="U20" s="6"/>
      <c r="V20" s="6"/>
      <c r="W20" s="6"/>
      <c r="X20" s="6"/>
      <c r="Y20" s="119"/>
      <c r="Z20" s="34">
        <v>17</v>
      </c>
      <c r="AA20" s="40"/>
      <c r="AB20" s="42"/>
      <c r="AC20" s="42"/>
      <c r="AD20" s="42"/>
      <c r="AE20" s="42"/>
      <c r="AF20" s="41"/>
      <c r="AG20" s="42"/>
      <c r="AH20" s="42"/>
      <c r="AI20" s="42"/>
      <c r="AJ20" s="41" t="s">
        <v>397</v>
      </c>
      <c r="AK20" s="42"/>
      <c r="AL20" s="41"/>
      <c r="AM20" s="42"/>
      <c r="AN20" s="42"/>
      <c r="AO20" s="41"/>
      <c r="AP20" s="42"/>
      <c r="AQ20" s="42"/>
      <c r="AR20" s="42"/>
      <c r="AS20" s="41"/>
      <c r="AT20" s="42"/>
      <c r="AU20" s="42"/>
      <c r="AV20" s="42"/>
      <c r="AW20" s="42"/>
      <c r="AX20" s="42"/>
      <c r="AY20" s="43"/>
      <c r="AZ20" s="35"/>
      <c r="BA20" s="36"/>
      <c r="BB20" s="36"/>
      <c r="BC20" s="36"/>
      <c r="BD20" s="36"/>
      <c r="BE20" s="36"/>
      <c r="BF20" s="36">
        <v>1</v>
      </c>
      <c r="BG20" s="36"/>
      <c r="BH20" s="36"/>
      <c r="BI20" s="36"/>
      <c r="BJ20" s="36">
        <v>1</v>
      </c>
      <c r="BK20" s="36"/>
      <c r="BL20" s="36">
        <v>1</v>
      </c>
      <c r="BM20" s="36"/>
      <c r="BN20" s="36"/>
      <c r="BO20" s="36">
        <v>1</v>
      </c>
      <c r="BP20" s="36"/>
      <c r="BQ20" s="36"/>
      <c r="BR20" s="36"/>
      <c r="BS20" s="36">
        <v>1</v>
      </c>
      <c r="BT20" s="36"/>
      <c r="BU20" s="36"/>
      <c r="BV20" s="36"/>
      <c r="BW20" s="36"/>
      <c r="BX20" s="36"/>
      <c r="BY20" s="36"/>
      <c r="BZ20" s="35"/>
      <c r="CA20" s="36">
        <f t="shared" si="1"/>
        <v>0</v>
      </c>
      <c r="CB20" s="36">
        <f t="shared" si="2"/>
        <v>0</v>
      </c>
      <c r="CC20" s="36">
        <f t="shared" si="3"/>
        <v>0</v>
      </c>
      <c r="CD20" s="36">
        <f t="shared" si="4"/>
        <v>0</v>
      </c>
      <c r="CE20" s="36">
        <f t="shared" si="5"/>
        <v>0</v>
      </c>
      <c r="CF20" s="36">
        <f t="shared" si="6"/>
        <v>0</v>
      </c>
      <c r="CG20" s="36">
        <f t="shared" si="7"/>
        <v>0</v>
      </c>
      <c r="CH20" s="36">
        <f t="shared" si="8"/>
        <v>0</v>
      </c>
      <c r="CI20" s="36">
        <f t="shared" si="9"/>
        <v>0</v>
      </c>
      <c r="CJ20" s="36">
        <f t="shared" si="10"/>
        <v>1</v>
      </c>
      <c r="CK20" s="36">
        <f t="shared" si="11"/>
        <v>0</v>
      </c>
      <c r="CL20" s="36">
        <f t="shared" si="12"/>
        <v>0</v>
      </c>
      <c r="CM20" s="36">
        <f t="shared" si="13"/>
        <v>0</v>
      </c>
      <c r="CN20" s="36">
        <f t="shared" si="14"/>
        <v>0</v>
      </c>
      <c r="CO20" s="36">
        <f t="shared" si="15"/>
        <v>0</v>
      </c>
      <c r="CP20" s="36">
        <f t="shared" si="16"/>
        <v>0</v>
      </c>
      <c r="CQ20" s="36">
        <f t="shared" si="17"/>
        <v>0</v>
      </c>
      <c r="CR20" s="36">
        <f t="shared" si="18"/>
        <v>0</v>
      </c>
      <c r="CS20" s="36">
        <f t="shared" si="19"/>
        <v>0</v>
      </c>
      <c r="CT20" s="36">
        <f t="shared" si="20"/>
        <v>0</v>
      </c>
      <c r="CU20" s="36">
        <f t="shared" si="21"/>
        <v>0</v>
      </c>
      <c r="CV20" s="36">
        <f t="shared" si="22"/>
        <v>0</v>
      </c>
      <c r="CW20" s="36">
        <f t="shared" si="23"/>
        <v>0</v>
      </c>
      <c r="CX20" s="36">
        <f t="shared" si="24"/>
        <v>0</v>
      </c>
      <c r="CY20" s="36">
        <f t="shared" si="25"/>
        <v>0</v>
      </c>
      <c r="CZ20" s="36"/>
      <c r="DA20" s="36">
        <f t="shared" si="27"/>
        <v>0</v>
      </c>
      <c r="DB20" s="36">
        <f t="shared" si="28"/>
        <v>0</v>
      </c>
      <c r="DC20" s="36">
        <f t="shared" si="29"/>
        <v>0</v>
      </c>
      <c r="DD20" s="36">
        <f t="shared" si="30"/>
        <v>0</v>
      </c>
      <c r="DE20" s="36">
        <f t="shared" si="31"/>
        <v>0</v>
      </c>
      <c r="DF20" s="36">
        <f t="shared" si="32"/>
        <v>0</v>
      </c>
      <c r="DG20" s="36">
        <f t="shared" si="33"/>
        <v>0</v>
      </c>
      <c r="DH20" s="36">
        <f t="shared" si="34"/>
        <v>0</v>
      </c>
      <c r="DI20" s="36">
        <f t="shared" si="35"/>
        <v>0</v>
      </c>
      <c r="DJ20" s="36">
        <f t="shared" si="36"/>
        <v>0</v>
      </c>
      <c r="DK20" s="36">
        <f t="shared" si="37"/>
        <v>0</v>
      </c>
      <c r="DL20" s="36">
        <f t="shared" si="38"/>
        <v>0</v>
      </c>
      <c r="DM20" s="36">
        <f t="shared" si="39"/>
        <v>0</v>
      </c>
      <c r="DN20" s="36">
        <f t="shared" si="40"/>
        <v>0</v>
      </c>
      <c r="DO20" s="36">
        <f t="shared" si="41"/>
        <v>0</v>
      </c>
      <c r="DP20" s="36">
        <f t="shared" si="42"/>
        <v>0</v>
      </c>
      <c r="DQ20" s="36">
        <f t="shared" si="43"/>
        <v>0</v>
      </c>
      <c r="DR20" s="36">
        <f t="shared" si="44"/>
        <v>0</v>
      </c>
      <c r="DS20" s="36">
        <f t="shared" si="45"/>
        <v>0</v>
      </c>
      <c r="DT20" s="36">
        <f t="shared" si="46"/>
        <v>0</v>
      </c>
      <c r="DU20" s="36">
        <f t="shared" si="47"/>
        <v>0</v>
      </c>
      <c r="DV20" s="36">
        <f t="shared" si="48"/>
        <v>0</v>
      </c>
      <c r="DW20" s="36">
        <f t="shared" si="49"/>
        <v>0</v>
      </c>
      <c r="DX20" s="36">
        <f t="shared" si="50"/>
        <v>0</v>
      </c>
      <c r="DY20" s="36">
        <f t="shared" si="51"/>
        <v>0</v>
      </c>
      <c r="DZ20" s="36"/>
    </row>
    <row r="21" spans="1:130" x14ac:dyDescent="0.25">
      <c r="A21" s="17"/>
      <c r="B21" s="22"/>
      <c r="C21" s="25" t="s">
        <v>60</v>
      </c>
      <c r="D21" s="22"/>
      <c r="E21" s="54">
        <f>IF(OR(E17="",F17=""),"",E17+F17/60)</f>
        <v>10</v>
      </c>
      <c r="F21" s="50"/>
      <c r="G21" s="50"/>
      <c r="H21" s="50"/>
      <c r="I21" s="22"/>
      <c r="J21" s="50"/>
      <c r="K21" s="50"/>
      <c r="L21" s="50"/>
      <c r="M21" s="50"/>
      <c r="N21" s="22"/>
      <c r="O21" s="6"/>
      <c r="P21" s="6"/>
      <c r="Q21" s="6"/>
      <c r="R21" s="6"/>
      <c r="S21" s="6"/>
      <c r="T21" s="6"/>
      <c r="U21" s="6"/>
      <c r="V21" s="6"/>
      <c r="W21" s="6"/>
      <c r="X21" s="6"/>
      <c r="Y21" s="119"/>
      <c r="Z21" s="34">
        <v>18</v>
      </c>
      <c r="AA21" s="40"/>
      <c r="AB21" s="41"/>
      <c r="AC21" s="42"/>
      <c r="AD21" s="42"/>
      <c r="AE21" s="42"/>
      <c r="AF21" s="42"/>
      <c r="AG21" s="41"/>
      <c r="AH21" s="42"/>
      <c r="AI21" s="42"/>
      <c r="AJ21" s="42"/>
      <c r="AK21" s="41"/>
      <c r="AL21" s="42"/>
      <c r="AM21" s="42"/>
      <c r="AN21" s="41"/>
      <c r="AO21" s="42"/>
      <c r="AP21" s="42"/>
      <c r="AQ21" s="41"/>
      <c r="AR21" s="42"/>
      <c r="AS21" s="42"/>
      <c r="AT21" s="42"/>
      <c r="AU21" s="42"/>
      <c r="AV21" s="41"/>
      <c r="AW21" s="42"/>
      <c r="AX21" s="42"/>
      <c r="AY21" s="43"/>
      <c r="AZ21" s="35"/>
      <c r="BA21" s="36"/>
      <c r="BB21" s="36">
        <v>1</v>
      </c>
      <c r="BC21" s="36"/>
      <c r="BD21" s="36"/>
      <c r="BE21" s="36"/>
      <c r="BF21" s="36"/>
      <c r="BG21" s="36">
        <v>1</v>
      </c>
      <c r="BH21" s="36"/>
      <c r="BI21" s="36"/>
      <c r="BJ21" s="36"/>
      <c r="BK21" s="36">
        <v>1</v>
      </c>
      <c r="BL21" s="36"/>
      <c r="BM21" s="36"/>
      <c r="BN21" s="36">
        <v>1</v>
      </c>
      <c r="BO21" s="36"/>
      <c r="BP21" s="36"/>
      <c r="BQ21" s="36">
        <v>1</v>
      </c>
      <c r="BR21" s="36"/>
      <c r="BS21" s="36"/>
      <c r="BT21" s="36"/>
      <c r="BU21" s="36"/>
      <c r="BV21" s="36">
        <v>1</v>
      </c>
      <c r="BW21" s="36"/>
      <c r="BX21" s="36"/>
      <c r="BY21" s="36"/>
      <c r="BZ21" s="35"/>
      <c r="CA21" s="36">
        <f t="shared" si="1"/>
        <v>0</v>
      </c>
      <c r="CB21" s="36">
        <f t="shared" si="2"/>
        <v>0</v>
      </c>
      <c r="CC21" s="36">
        <f t="shared" si="3"/>
        <v>0</v>
      </c>
      <c r="CD21" s="36">
        <f t="shared" si="4"/>
        <v>0</v>
      </c>
      <c r="CE21" s="36">
        <f t="shared" si="5"/>
        <v>0</v>
      </c>
      <c r="CF21" s="36">
        <f t="shared" si="6"/>
        <v>0</v>
      </c>
      <c r="CG21" s="36">
        <f t="shared" si="7"/>
        <v>0</v>
      </c>
      <c r="CH21" s="36">
        <f t="shared" si="8"/>
        <v>0</v>
      </c>
      <c r="CI21" s="36">
        <f t="shared" si="9"/>
        <v>0</v>
      </c>
      <c r="CJ21" s="36">
        <f t="shared" si="10"/>
        <v>0</v>
      </c>
      <c r="CK21" s="36">
        <f t="shared" si="11"/>
        <v>0</v>
      </c>
      <c r="CL21" s="36">
        <f t="shared" si="12"/>
        <v>0</v>
      </c>
      <c r="CM21" s="36">
        <f t="shared" si="13"/>
        <v>0</v>
      </c>
      <c r="CN21" s="36">
        <f t="shared" si="14"/>
        <v>0</v>
      </c>
      <c r="CO21" s="36">
        <f t="shared" si="15"/>
        <v>0</v>
      </c>
      <c r="CP21" s="36">
        <f t="shared" si="16"/>
        <v>0</v>
      </c>
      <c r="CQ21" s="36">
        <f t="shared" si="17"/>
        <v>0</v>
      </c>
      <c r="CR21" s="36">
        <f t="shared" si="18"/>
        <v>0</v>
      </c>
      <c r="CS21" s="36">
        <f t="shared" si="19"/>
        <v>0</v>
      </c>
      <c r="CT21" s="36">
        <f t="shared" si="20"/>
        <v>0</v>
      </c>
      <c r="CU21" s="36">
        <f t="shared" si="21"/>
        <v>0</v>
      </c>
      <c r="CV21" s="36">
        <f t="shared" si="22"/>
        <v>0</v>
      </c>
      <c r="CW21" s="36">
        <f t="shared" si="23"/>
        <v>0</v>
      </c>
      <c r="CX21" s="36">
        <f t="shared" si="24"/>
        <v>0</v>
      </c>
      <c r="CY21" s="36">
        <f t="shared" si="25"/>
        <v>0</v>
      </c>
      <c r="CZ21" s="36"/>
      <c r="DA21" s="36">
        <f t="shared" si="27"/>
        <v>0</v>
      </c>
      <c r="DB21" s="36">
        <f t="shared" si="28"/>
        <v>0</v>
      </c>
      <c r="DC21" s="36">
        <f t="shared" si="29"/>
        <v>0</v>
      </c>
      <c r="DD21" s="36">
        <f t="shared" si="30"/>
        <v>0</v>
      </c>
      <c r="DE21" s="36">
        <f t="shared" si="31"/>
        <v>0</v>
      </c>
      <c r="DF21" s="36">
        <f t="shared" si="32"/>
        <v>0</v>
      </c>
      <c r="DG21" s="36">
        <f t="shared" si="33"/>
        <v>0</v>
      </c>
      <c r="DH21" s="36">
        <f t="shared" si="34"/>
        <v>0</v>
      </c>
      <c r="DI21" s="36">
        <f t="shared" si="35"/>
        <v>0</v>
      </c>
      <c r="DJ21" s="36">
        <f t="shared" si="36"/>
        <v>0</v>
      </c>
      <c r="DK21" s="36">
        <f t="shared" si="37"/>
        <v>0</v>
      </c>
      <c r="DL21" s="36">
        <f t="shared" si="38"/>
        <v>0</v>
      </c>
      <c r="DM21" s="36">
        <f t="shared" si="39"/>
        <v>0</v>
      </c>
      <c r="DN21" s="36">
        <f t="shared" si="40"/>
        <v>0</v>
      </c>
      <c r="DO21" s="36">
        <f t="shared" si="41"/>
        <v>0</v>
      </c>
      <c r="DP21" s="36">
        <f t="shared" si="42"/>
        <v>0</v>
      </c>
      <c r="DQ21" s="36">
        <f t="shared" si="43"/>
        <v>0</v>
      </c>
      <c r="DR21" s="36">
        <f t="shared" si="44"/>
        <v>0</v>
      </c>
      <c r="DS21" s="36">
        <f t="shared" si="45"/>
        <v>0</v>
      </c>
      <c r="DT21" s="36">
        <f t="shared" si="46"/>
        <v>0</v>
      </c>
      <c r="DU21" s="36">
        <f t="shared" si="47"/>
        <v>0</v>
      </c>
      <c r="DV21" s="36">
        <f t="shared" si="48"/>
        <v>0</v>
      </c>
      <c r="DW21" s="36">
        <f t="shared" si="49"/>
        <v>0</v>
      </c>
      <c r="DX21" s="36">
        <f t="shared" si="50"/>
        <v>0</v>
      </c>
      <c r="DY21" s="36">
        <f t="shared" si="51"/>
        <v>0</v>
      </c>
      <c r="DZ21" s="36"/>
    </row>
    <row r="22" spans="1:130" x14ac:dyDescent="0.25">
      <c r="A22" s="17"/>
      <c r="B22" s="22"/>
      <c r="C22" s="25" t="s">
        <v>72</v>
      </c>
      <c r="D22" s="22"/>
      <c r="E22" s="54">
        <f ca="1">IF(B5="","",100*L14/J14)</f>
        <v>2.904564315352697</v>
      </c>
      <c r="F22" s="50"/>
      <c r="G22" s="50"/>
      <c r="H22" s="50"/>
      <c r="I22" s="22"/>
      <c r="J22" s="50"/>
      <c r="K22" s="50"/>
      <c r="L22" s="50"/>
      <c r="M22" s="50"/>
      <c r="N22" s="22"/>
      <c r="O22" s="6"/>
      <c r="P22" s="6"/>
      <c r="Q22" s="6"/>
      <c r="R22" s="6"/>
      <c r="S22" s="6"/>
      <c r="T22" s="6"/>
      <c r="U22" s="6"/>
      <c r="V22" s="6"/>
      <c r="W22" s="6"/>
      <c r="X22" s="6"/>
      <c r="Y22" s="119"/>
      <c r="Z22" s="34">
        <v>19</v>
      </c>
      <c r="AA22" s="40"/>
      <c r="AB22" s="41"/>
      <c r="AC22" s="42"/>
      <c r="AD22" s="42"/>
      <c r="AE22" s="42"/>
      <c r="AF22" s="42"/>
      <c r="AG22" s="41"/>
      <c r="AH22" s="42"/>
      <c r="AI22" s="42"/>
      <c r="AJ22" s="42"/>
      <c r="AK22" s="42"/>
      <c r="AL22" s="42"/>
      <c r="AM22" s="41"/>
      <c r="AN22" s="42"/>
      <c r="AO22" s="42"/>
      <c r="AP22" s="42"/>
      <c r="AQ22" s="42"/>
      <c r="AR22" s="41"/>
      <c r="AS22" s="42"/>
      <c r="AT22" s="42"/>
      <c r="AU22" s="42"/>
      <c r="AV22" s="41"/>
      <c r="AW22" s="41"/>
      <c r="AX22" s="42"/>
      <c r="AY22" s="43"/>
      <c r="AZ22" s="35"/>
      <c r="BA22" s="36"/>
      <c r="BB22" s="36">
        <v>1</v>
      </c>
      <c r="BC22" s="36"/>
      <c r="BD22" s="36"/>
      <c r="BE22" s="36"/>
      <c r="BF22" s="36"/>
      <c r="BG22" s="36">
        <v>1</v>
      </c>
      <c r="BH22" s="36"/>
      <c r="BI22" s="36"/>
      <c r="BJ22" s="36"/>
      <c r="BK22" s="36"/>
      <c r="BL22" s="36"/>
      <c r="BM22" s="36">
        <v>1</v>
      </c>
      <c r="BN22" s="36"/>
      <c r="BO22" s="36"/>
      <c r="BP22" s="36"/>
      <c r="BQ22" s="36"/>
      <c r="BR22" s="36">
        <v>1</v>
      </c>
      <c r="BS22" s="36"/>
      <c r="BT22" s="36"/>
      <c r="BU22" s="36"/>
      <c r="BV22" s="36">
        <v>1</v>
      </c>
      <c r="BW22" s="36">
        <v>1</v>
      </c>
      <c r="BX22" s="36"/>
      <c r="BY22" s="36"/>
      <c r="BZ22" s="35"/>
      <c r="CA22" s="36">
        <f t="shared" si="1"/>
        <v>0</v>
      </c>
      <c r="CB22" s="36">
        <f t="shared" si="2"/>
        <v>0</v>
      </c>
      <c r="CC22" s="36">
        <f t="shared" si="3"/>
        <v>0</v>
      </c>
      <c r="CD22" s="36">
        <f t="shared" si="4"/>
        <v>0</v>
      </c>
      <c r="CE22" s="36">
        <f t="shared" si="5"/>
        <v>0</v>
      </c>
      <c r="CF22" s="36">
        <f t="shared" si="6"/>
        <v>0</v>
      </c>
      <c r="CG22" s="36">
        <f t="shared" si="7"/>
        <v>0</v>
      </c>
      <c r="CH22" s="36">
        <f t="shared" si="8"/>
        <v>0</v>
      </c>
      <c r="CI22" s="36">
        <f t="shared" si="9"/>
        <v>0</v>
      </c>
      <c r="CJ22" s="36">
        <f t="shared" si="10"/>
        <v>0</v>
      </c>
      <c r="CK22" s="36">
        <f t="shared" si="11"/>
        <v>0</v>
      </c>
      <c r="CL22" s="36">
        <f t="shared" si="12"/>
        <v>0</v>
      </c>
      <c r="CM22" s="36">
        <f t="shared" si="13"/>
        <v>0</v>
      </c>
      <c r="CN22" s="36">
        <f t="shared" si="14"/>
        <v>0</v>
      </c>
      <c r="CO22" s="36">
        <f t="shared" si="15"/>
        <v>0</v>
      </c>
      <c r="CP22" s="36">
        <f t="shared" si="16"/>
        <v>0</v>
      </c>
      <c r="CQ22" s="36">
        <f t="shared" si="17"/>
        <v>0</v>
      </c>
      <c r="CR22" s="36">
        <f t="shared" si="18"/>
        <v>0</v>
      </c>
      <c r="CS22" s="36">
        <f t="shared" si="19"/>
        <v>0</v>
      </c>
      <c r="CT22" s="36">
        <f t="shared" si="20"/>
        <v>0</v>
      </c>
      <c r="CU22" s="36">
        <f t="shared" si="21"/>
        <v>0</v>
      </c>
      <c r="CV22" s="36">
        <f t="shared" si="22"/>
        <v>0</v>
      </c>
      <c r="CW22" s="36">
        <f t="shared" si="23"/>
        <v>0</v>
      </c>
      <c r="CX22" s="36">
        <f t="shared" si="24"/>
        <v>0</v>
      </c>
      <c r="CY22" s="36">
        <f t="shared" si="25"/>
        <v>0</v>
      </c>
      <c r="CZ22" s="36"/>
      <c r="DA22" s="36">
        <f t="shared" si="27"/>
        <v>0</v>
      </c>
      <c r="DB22" s="36">
        <f t="shared" si="28"/>
        <v>0</v>
      </c>
      <c r="DC22" s="36">
        <f t="shared" si="29"/>
        <v>0</v>
      </c>
      <c r="DD22" s="36">
        <f t="shared" si="30"/>
        <v>0</v>
      </c>
      <c r="DE22" s="36">
        <f t="shared" si="31"/>
        <v>0</v>
      </c>
      <c r="DF22" s="36">
        <f t="shared" si="32"/>
        <v>0</v>
      </c>
      <c r="DG22" s="36">
        <f t="shared" si="33"/>
        <v>0</v>
      </c>
      <c r="DH22" s="36">
        <f t="shared" si="34"/>
        <v>0</v>
      </c>
      <c r="DI22" s="36">
        <f t="shared" si="35"/>
        <v>0</v>
      </c>
      <c r="DJ22" s="36">
        <f t="shared" si="36"/>
        <v>0</v>
      </c>
      <c r="DK22" s="36">
        <f t="shared" si="37"/>
        <v>0</v>
      </c>
      <c r="DL22" s="36">
        <f t="shared" si="38"/>
        <v>0</v>
      </c>
      <c r="DM22" s="36">
        <f t="shared" si="39"/>
        <v>0</v>
      </c>
      <c r="DN22" s="36">
        <f t="shared" si="40"/>
        <v>0</v>
      </c>
      <c r="DO22" s="36">
        <f t="shared" si="41"/>
        <v>0</v>
      </c>
      <c r="DP22" s="36">
        <f t="shared" si="42"/>
        <v>0</v>
      </c>
      <c r="DQ22" s="36">
        <f t="shared" si="43"/>
        <v>0</v>
      </c>
      <c r="DR22" s="36">
        <f t="shared" si="44"/>
        <v>0</v>
      </c>
      <c r="DS22" s="36">
        <f t="shared" si="45"/>
        <v>0</v>
      </c>
      <c r="DT22" s="36">
        <f t="shared" si="46"/>
        <v>0</v>
      </c>
      <c r="DU22" s="36">
        <f t="shared" si="47"/>
        <v>0</v>
      </c>
      <c r="DV22" s="36">
        <f t="shared" si="48"/>
        <v>0</v>
      </c>
      <c r="DW22" s="36">
        <f t="shared" si="49"/>
        <v>0</v>
      </c>
      <c r="DX22" s="36">
        <f t="shared" si="50"/>
        <v>0</v>
      </c>
      <c r="DY22" s="36">
        <f t="shared" si="51"/>
        <v>0</v>
      </c>
      <c r="DZ22" s="36"/>
    </row>
    <row r="23" spans="1:130" x14ac:dyDescent="0.25">
      <c r="A23" s="17"/>
      <c r="B23" s="22"/>
      <c r="C23" s="25" t="s">
        <v>63</v>
      </c>
      <c r="D23" s="22"/>
      <c r="E23" s="54">
        <f ca="1">IF(B5="","",K14/E21)</f>
        <v>23.4</v>
      </c>
      <c r="F23" s="50"/>
      <c r="G23" s="50"/>
      <c r="H23" s="50"/>
      <c r="I23" s="22"/>
      <c r="J23" s="50"/>
      <c r="K23" s="50"/>
      <c r="L23" s="50"/>
      <c r="M23" s="50"/>
      <c r="N23" s="22"/>
      <c r="O23" s="6"/>
      <c r="P23" s="6"/>
      <c r="Q23" s="6"/>
      <c r="R23" s="6"/>
      <c r="S23" s="6"/>
      <c r="T23" s="6"/>
      <c r="U23" s="6"/>
      <c r="V23" s="6"/>
      <c r="W23" s="6"/>
      <c r="X23" s="6"/>
      <c r="Y23" s="119"/>
      <c r="Z23" s="34">
        <v>20</v>
      </c>
      <c r="AA23" s="44"/>
      <c r="AB23" s="42"/>
      <c r="AC23" s="42"/>
      <c r="AD23" s="42"/>
      <c r="AE23" s="41"/>
      <c r="AF23" s="42"/>
      <c r="AG23" s="42"/>
      <c r="AH23" s="41"/>
      <c r="AI23" s="42"/>
      <c r="AJ23" s="42"/>
      <c r="AK23" s="42"/>
      <c r="AL23" s="42"/>
      <c r="AM23" s="42"/>
      <c r="AN23" s="42"/>
      <c r="AO23" s="42"/>
      <c r="AP23" s="41"/>
      <c r="AQ23" s="42"/>
      <c r="AR23" s="42"/>
      <c r="AS23" s="42"/>
      <c r="AT23" s="41"/>
      <c r="AU23" s="41"/>
      <c r="AV23" s="42"/>
      <c r="AW23" s="42"/>
      <c r="AX23" s="42"/>
      <c r="AY23" s="45"/>
      <c r="AZ23" s="35"/>
      <c r="BA23" s="36">
        <v>1</v>
      </c>
      <c r="BB23" s="36"/>
      <c r="BC23" s="36"/>
      <c r="BD23" s="36"/>
      <c r="BE23" s="36">
        <v>1</v>
      </c>
      <c r="BF23" s="36"/>
      <c r="BG23" s="36"/>
      <c r="BH23" s="36">
        <v>1</v>
      </c>
      <c r="BI23" s="36"/>
      <c r="BJ23" s="36"/>
      <c r="BK23" s="36"/>
      <c r="BL23" s="36"/>
      <c r="BM23" s="36"/>
      <c r="BN23" s="36"/>
      <c r="BO23" s="36"/>
      <c r="BP23" s="36">
        <v>1</v>
      </c>
      <c r="BQ23" s="36"/>
      <c r="BR23" s="36"/>
      <c r="BS23" s="36"/>
      <c r="BT23" s="36">
        <v>1</v>
      </c>
      <c r="BU23" s="36">
        <v>1</v>
      </c>
      <c r="BV23" s="36"/>
      <c r="BW23" s="36"/>
      <c r="BX23" s="36"/>
      <c r="BY23" s="36">
        <v>1</v>
      </c>
      <c r="BZ23" s="35"/>
      <c r="CA23" s="36">
        <f t="shared" si="1"/>
        <v>0</v>
      </c>
      <c r="CB23" s="36">
        <f t="shared" si="2"/>
        <v>0</v>
      </c>
      <c r="CC23" s="36">
        <f t="shared" si="3"/>
        <v>0</v>
      </c>
      <c r="CD23" s="36">
        <f t="shared" si="4"/>
        <v>0</v>
      </c>
      <c r="CE23" s="36">
        <f t="shared" si="5"/>
        <v>0</v>
      </c>
      <c r="CF23" s="36">
        <f t="shared" si="6"/>
        <v>0</v>
      </c>
      <c r="CG23" s="36">
        <f t="shared" si="7"/>
        <v>0</v>
      </c>
      <c r="CH23" s="36">
        <f t="shared" si="8"/>
        <v>0</v>
      </c>
      <c r="CI23" s="36">
        <f t="shared" si="9"/>
        <v>0</v>
      </c>
      <c r="CJ23" s="36">
        <f t="shared" si="10"/>
        <v>0</v>
      </c>
      <c r="CK23" s="36">
        <f t="shared" si="11"/>
        <v>0</v>
      </c>
      <c r="CL23" s="36">
        <f t="shared" si="12"/>
        <v>0</v>
      </c>
      <c r="CM23" s="36">
        <f t="shared" si="13"/>
        <v>0</v>
      </c>
      <c r="CN23" s="36">
        <f t="shared" si="14"/>
        <v>0</v>
      </c>
      <c r="CO23" s="36">
        <f t="shared" si="15"/>
        <v>0</v>
      </c>
      <c r="CP23" s="36">
        <f t="shared" si="16"/>
        <v>0</v>
      </c>
      <c r="CQ23" s="36">
        <f t="shared" si="17"/>
        <v>0</v>
      </c>
      <c r="CR23" s="36">
        <f t="shared" si="18"/>
        <v>0</v>
      </c>
      <c r="CS23" s="36">
        <f t="shared" si="19"/>
        <v>0</v>
      </c>
      <c r="CT23" s="36">
        <f t="shared" si="20"/>
        <v>0</v>
      </c>
      <c r="CU23" s="36">
        <f t="shared" si="21"/>
        <v>0</v>
      </c>
      <c r="CV23" s="36">
        <f t="shared" si="22"/>
        <v>0</v>
      </c>
      <c r="CW23" s="36">
        <f t="shared" si="23"/>
        <v>0</v>
      </c>
      <c r="CX23" s="36">
        <f t="shared" si="24"/>
        <v>0</v>
      </c>
      <c r="CY23" s="36">
        <f t="shared" si="25"/>
        <v>0</v>
      </c>
      <c r="CZ23" s="36"/>
      <c r="DA23" s="36">
        <f t="shared" si="27"/>
        <v>0</v>
      </c>
      <c r="DB23" s="36">
        <f t="shared" si="28"/>
        <v>0</v>
      </c>
      <c r="DC23" s="36">
        <f t="shared" si="29"/>
        <v>0</v>
      </c>
      <c r="DD23" s="36">
        <f t="shared" si="30"/>
        <v>0</v>
      </c>
      <c r="DE23" s="36">
        <f t="shared" si="31"/>
        <v>0</v>
      </c>
      <c r="DF23" s="36">
        <f t="shared" si="32"/>
        <v>0</v>
      </c>
      <c r="DG23" s="36">
        <f t="shared" si="33"/>
        <v>0</v>
      </c>
      <c r="DH23" s="36">
        <f t="shared" si="34"/>
        <v>0</v>
      </c>
      <c r="DI23" s="36">
        <f t="shared" si="35"/>
        <v>0</v>
      </c>
      <c r="DJ23" s="36">
        <f t="shared" si="36"/>
        <v>0</v>
      </c>
      <c r="DK23" s="36">
        <f t="shared" si="37"/>
        <v>0</v>
      </c>
      <c r="DL23" s="36">
        <f t="shared" si="38"/>
        <v>0</v>
      </c>
      <c r="DM23" s="36">
        <f t="shared" si="39"/>
        <v>0</v>
      </c>
      <c r="DN23" s="36">
        <f t="shared" si="40"/>
        <v>0</v>
      </c>
      <c r="DO23" s="36">
        <f t="shared" si="41"/>
        <v>0</v>
      </c>
      <c r="DP23" s="36">
        <f t="shared" si="42"/>
        <v>0</v>
      </c>
      <c r="DQ23" s="36">
        <f t="shared" si="43"/>
        <v>0</v>
      </c>
      <c r="DR23" s="36">
        <f t="shared" si="44"/>
        <v>0</v>
      </c>
      <c r="DS23" s="36">
        <f t="shared" si="45"/>
        <v>0</v>
      </c>
      <c r="DT23" s="36">
        <f t="shared" si="46"/>
        <v>0</v>
      </c>
      <c r="DU23" s="36">
        <f t="shared" si="47"/>
        <v>0</v>
      </c>
      <c r="DV23" s="36">
        <f t="shared" si="48"/>
        <v>0</v>
      </c>
      <c r="DW23" s="36">
        <f t="shared" si="49"/>
        <v>0</v>
      </c>
      <c r="DX23" s="36">
        <f t="shared" si="50"/>
        <v>0</v>
      </c>
      <c r="DY23" s="36">
        <f t="shared" si="51"/>
        <v>0</v>
      </c>
      <c r="DZ23" s="36"/>
    </row>
    <row r="24" spans="1:130" x14ac:dyDescent="0.25">
      <c r="A24" s="17"/>
      <c r="B24" s="22"/>
      <c r="C24" s="25" t="s">
        <v>70</v>
      </c>
      <c r="D24" s="22"/>
      <c r="E24" s="54">
        <f ca="1">IF(B5="","",L14/E21)</f>
        <v>0.7</v>
      </c>
      <c r="F24" s="50"/>
      <c r="G24" s="50"/>
      <c r="H24" s="50"/>
      <c r="I24" s="22"/>
      <c r="J24" s="50"/>
      <c r="K24" s="50"/>
      <c r="L24" s="50"/>
      <c r="M24" s="50"/>
      <c r="N24" s="22"/>
      <c r="O24" s="6"/>
      <c r="P24" s="6"/>
      <c r="Q24" s="6"/>
      <c r="R24" s="6"/>
      <c r="S24" s="6"/>
      <c r="T24" s="6"/>
      <c r="U24" s="6"/>
      <c r="V24" s="6"/>
      <c r="W24" s="6"/>
      <c r="X24" s="6"/>
      <c r="Y24" s="119"/>
      <c r="Z24" s="34">
        <v>21</v>
      </c>
      <c r="AA24" s="40"/>
      <c r="AB24" s="41"/>
      <c r="AC24" s="42"/>
      <c r="AD24" s="42"/>
      <c r="AE24" s="42"/>
      <c r="AF24" s="42"/>
      <c r="AG24" s="41"/>
      <c r="AH24" s="42"/>
      <c r="AI24" s="42"/>
      <c r="AJ24" s="41"/>
      <c r="AK24" s="42"/>
      <c r="AL24" s="42"/>
      <c r="AM24" s="42"/>
      <c r="AN24" s="41"/>
      <c r="AO24" s="42"/>
      <c r="AP24" s="42"/>
      <c r="AQ24" s="41"/>
      <c r="AR24" s="41"/>
      <c r="AS24" s="42"/>
      <c r="AT24" s="42"/>
      <c r="AU24" s="42"/>
      <c r="AV24" s="41"/>
      <c r="AW24" s="42"/>
      <c r="AX24" s="42"/>
      <c r="AY24" s="43"/>
      <c r="AZ24" s="35"/>
      <c r="BA24" s="36"/>
      <c r="BB24" s="36">
        <v>1</v>
      </c>
      <c r="BC24" s="36"/>
      <c r="BD24" s="36"/>
      <c r="BE24" s="36"/>
      <c r="BF24" s="36"/>
      <c r="BG24" s="36">
        <v>1</v>
      </c>
      <c r="BH24" s="36"/>
      <c r="BI24" s="36"/>
      <c r="BJ24" s="36">
        <v>1</v>
      </c>
      <c r="BK24" s="36"/>
      <c r="BL24" s="36"/>
      <c r="BM24" s="36"/>
      <c r="BN24" s="36">
        <v>1</v>
      </c>
      <c r="BO24" s="36"/>
      <c r="BP24" s="36"/>
      <c r="BQ24" s="36">
        <v>1</v>
      </c>
      <c r="BR24" s="36">
        <v>1</v>
      </c>
      <c r="BS24" s="36"/>
      <c r="BT24" s="36"/>
      <c r="BU24" s="36"/>
      <c r="BV24" s="36">
        <v>1</v>
      </c>
      <c r="BW24" s="36"/>
      <c r="BX24" s="36"/>
      <c r="BY24" s="36"/>
      <c r="BZ24" s="35"/>
      <c r="CA24" s="36">
        <f t="shared" si="1"/>
        <v>0</v>
      </c>
      <c r="CB24" s="36">
        <f t="shared" si="2"/>
        <v>0</v>
      </c>
      <c r="CC24" s="36">
        <f t="shared" si="3"/>
        <v>0</v>
      </c>
      <c r="CD24" s="36">
        <f t="shared" si="4"/>
        <v>0</v>
      </c>
      <c r="CE24" s="36">
        <f t="shared" si="5"/>
        <v>0</v>
      </c>
      <c r="CF24" s="36">
        <f t="shared" si="6"/>
        <v>0</v>
      </c>
      <c r="CG24" s="36">
        <f t="shared" si="7"/>
        <v>0</v>
      </c>
      <c r="CH24" s="36">
        <f t="shared" si="8"/>
        <v>0</v>
      </c>
      <c r="CI24" s="36">
        <f t="shared" si="9"/>
        <v>0</v>
      </c>
      <c r="CJ24" s="36">
        <f t="shared" si="10"/>
        <v>0</v>
      </c>
      <c r="CK24" s="36">
        <f t="shared" si="11"/>
        <v>0</v>
      </c>
      <c r="CL24" s="36">
        <f t="shared" si="12"/>
        <v>0</v>
      </c>
      <c r="CM24" s="36">
        <f t="shared" si="13"/>
        <v>0</v>
      </c>
      <c r="CN24" s="36">
        <f t="shared" si="14"/>
        <v>0</v>
      </c>
      <c r="CO24" s="36">
        <f t="shared" si="15"/>
        <v>0</v>
      </c>
      <c r="CP24" s="36">
        <f t="shared" si="16"/>
        <v>0</v>
      </c>
      <c r="CQ24" s="36">
        <f t="shared" si="17"/>
        <v>0</v>
      </c>
      <c r="CR24" s="36">
        <f t="shared" si="18"/>
        <v>0</v>
      </c>
      <c r="CS24" s="36">
        <f t="shared" si="19"/>
        <v>0</v>
      </c>
      <c r="CT24" s="36">
        <f t="shared" si="20"/>
        <v>0</v>
      </c>
      <c r="CU24" s="36">
        <f t="shared" si="21"/>
        <v>0</v>
      </c>
      <c r="CV24" s="36">
        <f t="shared" si="22"/>
        <v>0</v>
      </c>
      <c r="CW24" s="36">
        <f t="shared" si="23"/>
        <v>0</v>
      </c>
      <c r="CX24" s="36">
        <f t="shared" si="24"/>
        <v>0</v>
      </c>
      <c r="CY24" s="36">
        <f t="shared" si="25"/>
        <v>0</v>
      </c>
      <c r="CZ24" s="36"/>
      <c r="DA24" s="36">
        <f t="shared" si="27"/>
        <v>0</v>
      </c>
      <c r="DB24" s="36">
        <f t="shared" si="28"/>
        <v>0</v>
      </c>
      <c r="DC24" s="36">
        <f t="shared" si="29"/>
        <v>0</v>
      </c>
      <c r="DD24" s="36">
        <f t="shared" si="30"/>
        <v>0</v>
      </c>
      <c r="DE24" s="36">
        <f t="shared" si="31"/>
        <v>0</v>
      </c>
      <c r="DF24" s="36">
        <f t="shared" si="32"/>
        <v>0</v>
      </c>
      <c r="DG24" s="36">
        <f t="shared" si="33"/>
        <v>0</v>
      </c>
      <c r="DH24" s="36">
        <f t="shared" si="34"/>
        <v>0</v>
      </c>
      <c r="DI24" s="36">
        <f t="shared" si="35"/>
        <v>0</v>
      </c>
      <c r="DJ24" s="36">
        <f t="shared" si="36"/>
        <v>0</v>
      </c>
      <c r="DK24" s="36">
        <f t="shared" si="37"/>
        <v>0</v>
      </c>
      <c r="DL24" s="36">
        <f t="shared" si="38"/>
        <v>0</v>
      </c>
      <c r="DM24" s="36">
        <f t="shared" si="39"/>
        <v>0</v>
      </c>
      <c r="DN24" s="36">
        <f t="shared" si="40"/>
        <v>0</v>
      </c>
      <c r="DO24" s="36">
        <f t="shared" si="41"/>
        <v>0</v>
      </c>
      <c r="DP24" s="36">
        <f t="shared" si="42"/>
        <v>0</v>
      </c>
      <c r="DQ24" s="36">
        <f t="shared" si="43"/>
        <v>0</v>
      </c>
      <c r="DR24" s="36">
        <f t="shared" si="44"/>
        <v>0</v>
      </c>
      <c r="DS24" s="36">
        <f t="shared" si="45"/>
        <v>0</v>
      </c>
      <c r="DT24" s="36">
        <f t="shared" si="46"/>
        <v>0</v>
      </c>
      <c r="DU24" s="36">
        <f t="shared" si="47"/>
        <v>0</v>
      </c>
      <c r="DV24" s="36">
        <f t="shared" si="48"/>
        <v>0</v>
      </c>
      <c r="DW24" s="36">
        <f t="shared" si="49"/>
        <v>0</v>
      </c>
      <c r="DX24" s="36">
        <f t="shared" si="50"/>
        <v>0</v>
      </c>
      <c r="DY24" s="36">
        <f t="shared" si="51"/>
        <v>0</v>
      </c>
      <c r="DZ24" s="36"/>
    </row>
    <row r="25" spans="1:130" x14ac:dyDescent="0.25">
      <c r="A25" s="17"/>
      <c r="B25" s="22"/>
      <c r="C25" s="25" t="s">
        <v>68</v>
      </c>
      <c r="D25" s="22"/>
      <c r="E25" s="54">
        <f ca="1">IF(B5="","",M14/E21)</f>
        <v>0</v>
      </c>
      <c r="F25" s="50"/>
      <c r="G25" s="50"/>
      <c r="H25" s="50"/>
      <c r="I25" s="22"/>
      <c r="J25" s="50"/>
      <c r="K25" s="50"/>
      <c r="L25" s="50"/>
      <c r="M25" s="50"/>
      <c r="N25" s="22"/>
      <c r="O25" s="6"/>
      <c r="P25" s="6"/>
      <c r="Q25" s="6"/>
      <c r="R25" s="6"/>
      <c r="S25" s="6"/>
      <c r="T25" s="6"/>
      <c r="U25" s="6"/>
      <c r="V25" s="6"/>
      <c r="W25" s="6"/>
      <c r="X25" s="6"/>
      <c r="Y25" s="119"/>
      <c r="Z25" s="34">
        <v>22</v>
      </c>
      <c r="AA25" s="44"/>
      <c r="AB25" s="42"/>
      <c r="AC25" s="42"/>
      <c r="AD25" s="42"/>
      <c r="AE25" s="41"/>
      <c r="AF25" s="42"/>
      <c r="AG25" s="42"/>
      <c r="AH25" s="42"/>
      <c r="AI25" s="42"/>
      <c r="AJ25" s="42"/>
      <c r="AK25" s="42"/>
      <c r="AL25" s="42"/>
      <c r="AM25" s="42"/>
      <c r="AN25" s="41"/>
      <c r="AO25" s="41"/>
      <c r="AP25" s="42"/>
      <c r="AQ25" s="42"/>
      <c r="AR25" s="41"/>
      <c r="AS25" s="42"/>
      <c r="AT25" s="42"/>
      <c r="AU25" s="41" t="s">
        <v>397</v>
      </c>
      <c r="AV25" s="42"/>
      <c r="AW25" s="42"/>
      <c r="AX25" s="42"/>
      <c r="AY25" s="45"/>
      <c r="AZ25" s="35"/>
      <c r="BA25" s="36">
        <v>1</v>
      </c>
      <c r="BB25" s="36"/>
      <c r="BC25" s="36"/>
      <c r="BD25" s="36"/>
      <c r="BE25" s="36">
        <v>1</v>
      </c>
      <c r="BF25" s="36"/>
      <c r="BG25" s="36"/>
      <c r="BH25" s="36"/>
      <c r="BI25" s="36"/>
      <c r="BJ25" s="36"/>
      <c r="BK25" s="36"/>
      <c r="BL25" s="36"/>
      <c r="BM25" s="36"/>
      <c r="BN25" s="36">
        <v>1</v>
      </c>
      <c r="BO25" s="36">
        <v>1</v>
      </c>
      <c r="BP25" s="36"/>
      <c r="BQ25" s="36"/>
      <c r="BR25" s="36">
        <v>1</v>
      </c>
      <c r="BS25" s="36"/>
      <c r="BT25" s="36"/>
      <c r="BU25" s="36">
        <v>1</v>
      </c>
      <c r="BV25" s="36"/>
      <c r="BW25" s="36"/>
      <c r="BX25" s="36"/>
      <c r="BY25" s="36">
        <v>1</v>
      </c>
      <c r="BZ25" s="35"/>
      <c r="CA25" s="36">
        <f t="shared" si="1"/>
        <v>0</v>
      </c>
      <c r="CB25" s="36">
        <f t="shared" si="2"/>
        <v>0</v>
      </c>
      <c r="CC25" s="36">
        <f t="shared" si="3"/>
        <v>0</v>
      </c>
      <c r="CD25" s="36">
        <f t="shared" si="4"/>
        <v>0</v>
      </c>
      <c r="CE25" s="36">
        <f t="shared" si="5"/>
        <v>0</v>
      </c>
      <c r="CF25" s="36">
        <f t="shared" si="6"/>
        <v>0</v>
      </c>
      <c r="CG25" s="36">
        <f t="shared" si="7"/>
        <v>0</v>
      </c>
      <c r="CH25" s="36">
        <f t="shared" si="8"/>
        <v>0</v>
      </c>
      <c r="CI25" s="36">
        <f t="shared" si="9"/>
        <v>0</v>
      </c>
      <c r="CJ25" s="36">
        <f t="shared" si="10"/>
        <v>0</v>
      </c>
      <c r="CK25" s="36">
        <f t="shared" si="11"/>
        <v>0</v>
      </c>
      <c r="CL25" s="36">
        <f t="shared" si="12"/>
        <v>0</v>
      </c>
      <c r="CM25" s="36">
        <f t="shared" si="13"/>
        <v>0</v>
      </c>
      <c r="CN25" s="36">
        <f t="shared" si="14"/>
        <v>0</v>
      </c>
      <c r="CO25" s="36">
        <f t="shared" si="15"/>
        <v>0</v>
      </c>
      <c r="CP25" s="36">
        <f t="shared" si="16"/>
        <v>0</v>
      </c>
      <c r="CQ25" s="36">
        <f t="shared" si="17"/>
        <v>0</v>
      </c>
      <c r="CR25" s="36">
        <f t="shared" si="18"/>
        <v>0</v>
      </c>
      <c r="CS25" s="36">
        <f t="shared" si="19"/>
        <v>0</v>
      </c>
      <c r="CT25" s="36">
        <f t="shared" si="20"/>
        <v>0</v>
      </c>
      <c r="CU25" s="36">
        <f t="shared" si="21"/>
        <v>1</v>
      </c>
      <c r="CV25" s="36">
        <f t="shared" si="22"/>
        <v>0</v>
      </c>
      <c r="CW25" s="36">
        <f t="shared" si="23"/>
        <v>0</v>
      </c>
      <c r="CX25" s="36">
        <f t="shared" si="24"/>
        <v>0</v>
      </c>
      <c r="CY25" s="36">
        <f t="shared" si="25"/>
        <v>0</v>
      </c>
      <c r="CZ25" s="36"/>
      <c r="DA25" s="36">
        <f t="shared" si="27"/>
        <v>0</v>
      </c>
      <c r="DB25" s="36">
        <f t="shared" si="28"/>
        <v>0</v>
      </c>
      <c r="DC25" s="36">
        <f t="shared" si="29"/>
        <v>0</v>
      </c>
      <c r="DD25" s="36">
        <f t="shared" si="30"/>
        <v>0</v>
      </c>
      <c r="DE25" s="36">
        <f t="shared" si="31"/>
        <v>0</v>
      </c>
      <c r="DF25" s="36">
        <f t="shared" si="32"/>
        <v>0</v>
      </c>
      <c r="DG25" s="36">
        <f t="shared" si="33"/>
        <v>0</v>
      </c>
      <c r="DH25" s="36">
        <f t="shared" si="34"/>
        <v>0</v>
      </c>
      <c r="DI25" s="36">
        <f t="shared" si="35"/>
        <v>0</v>
      </c>
      <c r="DJ25" s="36">
        <f t="shared" si="36"/>
        <v>0</v>
      </c>
      <c r="DK25" s="36">
        <f t="shared" si="37"/>
        <v>0</v>
      </c>
      <c r="DL25" s="36">
        <f t="shared" si="38"/>
        <v>0</v>
      </c>
      <c r="DM25" s="36">
        <f t="shared" si="39"/>
        <v>0</v>
      </c>
      <c r="DN25" s="36">
        <f t="shared" si="40"/>
        <v>0</v>
      </c>
      <c r="DO25" s="36">
        <f t="shared" si="41"/>
        <v>0</v>
      </c>
      <c r="DP25" s="36">
        <f t="shared" si="42"/>
        <v>0</v>
      </c>
      <c r="DQ25" s="36">
        <f t="shared" si="43"/>
        <v>0</v>
      </c>
      <c r="DR25" s="36">
        <f t="shared" si="44"/>
        <v>0</v>
      </c>
      <c r="DS25" s="36">
        <f t="shared" si="45"/>
        <v>0</v>
      </c>
      <c r="DT25" s="36">
        <f t="shared" si="46"/>
        <v>0</v>
      </c>
      <c r="DU25" s="36">
        <f t="shared" si="47"/>
        <v>0</v>
      </c>
      <c r="DV25" s="36">
        <f t="shared" si="48"/>
        <v>0</v>
      </c>
      <c r="DW25" s="36">
        <f t="shared" si="49"/>
        <v>0</v>
      </c>
      <c r="DX25" s="36">
        <f t="shared" si="50"/>
        <v>0</v>
      </c>
      <c r="DY25" s="36">
        <f t="shared" si="51"/>
        <v>0</v>
      </c>
      <c r="DZ25" s="36"/>
    </row>
    <row r="26" spans="1:130" x14ac:dyDescent="0.25">
      <c r="A26" s="17"/>
      <c r="B26" s="22"/>
      <c r="C26" s="25" t="s">
        <v>66</v>
      </c>
      <c r="D26" s="22"/>
      <c r="E26" s="54">
        <f ca="1">IF(B5="","",N14/E21)</f>
        <v>0.7</v>
      </c>
      <c r="F26" s="50"/>
      <c r="G26" s="50"/>
      <c r="H26" s="50"/>
      <c r="I26" s="22"/>
      <c r="J26" s="50"/>
      <c r="K26" s="50"/>
      <c r="L26" s="50"/>
      <c r="M26" s="50"/>
      <c r="N26" s="22"/>
      <c r="O26" s="6"/>
      <c r="P26" s="6"/>
      <c r="Q26" s="6"/>
      <c r="R26" s="6"/>
      <c r="S26" s="6"/>
      <c r="T26" s="6"/>
      <c r="U26" s="6"/>
      <c r="V26" s="6"/>
      <c r="W26" s="6"/>
      <c r="X26" s="6"/>
      <c r="Y26" s="119"/>
      <c r="Z26" s="34">
        <v>23</v>
      </c>
      <c r="AA26" s="40"/>
      <c r="AB26" s="42"/>
      <c r="AC26" s="41"/>
      <c r="AD26" s="42"/>
      <c r="AE26" s="42"/>
      <c r="AF26" s="42"/>
      <c r="AG26" s="42"/>
      <c r="AH26" s="42"/>
      <c r="AI26" s="41"/>
      <c r="AJ26" s="42"/>
      <c r="AK26" s="42"/>
      <c r="AL26" s="41"/>
      <c r="AM26" s="41"/>
      <c r="AN26" s="42"/>
      <c r="AO26" s="41" t="s">
        <v>397</v>
      </c>
      <c r="AP26" s="42"/>
      <c r="AQ26" s="41"/>
      <c r="AR26" s="42"/>
      <c r="AS26" s="42"/>
      <c r="AT26" s="42"/>
      <c r="AU26" s="41"/>
      <c r="AV26" s="42"/>
      <c r="AW26" s="42"/>
      <c r="AX26" s="41"/>
      <c r="AY26" s="43"/>
      <c r="AZ26" s="35"/>
      <c r="BA26" s="36"/>
      <c r="BB26" s="36"/>
      <c r="BC26" s="36">
        <v>1</v>
      </c>
      <c r="BD26" s="36"/>
      <c r="BE26" s="36"/>
      <c r="BF26" s="36"/>
      <c r="BG26" s="36"/>
      <c r="BH26" s="36"/>
      <c r="BI26" s="36">
        <v>1</v>
      </c>
      <c r="BJ26" s="36"/>
      <c r="BK26" s="36"/>
      <c r="BL26" s="36">
        <v>1</v>
      </c>
      <c r="BM26" s="36">
        <v>1</v>
      </c>
      <c r="BN26" s="36"/>
      <c r="BO26" s="36">
        <v>1</v>
      </c>
      <c r="BP26" s="36"/>
      <c r="BQ26" s="36">
        <v>1</v>
      </c>
      <c r="BR26" s="36"/>
      <c r="BS26" s="36"/>
      <c r="BT26" s="36"/>
      <c r="BU26" s="36">
        <v>1</v>
      </c>
      <c r="BV26" s="36"/>
      <c r="BW26" s="36"/>
      <c r="BX26" s="36">
        <v>1</v>
      </c>
      <c r="BY26" s="36"/>
      <c r="BZ26" s="35"/>
      <c r="CA26" s="36">
        <f t="shared" si="1"/>
        <v>0</v>
      </c>
      <c r="CB26" s="36">
        <f t="shared" si="2"/>
        <v>0</v>
      </c>
      <c r="CC26" s="36">
        <f t="shared" si="3"/>
        <v>0</v>
      </c>
      <c r="CD26" s="36">
        <f t="shared" si="4"/>
        <v>0</v>
      </c>
      <c r="CE26" s="36">
        <f t="shared" si="5"/>
        <v>0</v>
      </c>
      <c r="CF26" s="36">
        <f t="shared" si="6"/>
        <v>0</v>
      </c>
      <c r="CG26" s="36">
        <f t="shared" si="7"/>
        <v>0</v>
      </c>
      <c r="CH26" s="36">
        <f t="shared" si="8"/>
        <v>0</v>
      </c>
      <c r="CI26" s="36">
        <f t="shared" si="9"/>
        <v>0</v>
      </c>
      <c r="CJ26" s="36">
        <f t="shared" si="10"/>
        <v>0</v>
      </c>
      <c r="CK26" s="36">
        <f t="shared" si="11"/>
        <v>0</v>
      </c>
      <c r="CL26" s="36">
        <f t="shared" si="12"/>
        <v>0</v>
      </c>
      <c r="CM26" s="36">
        <f t="shared" si="13"/>
        <v>0</v>
      </c>
      <c r="CN26" s="36">
        <f t="shared" si="14"/>
        <v>0</v>
      </c>
      <c r="CO26" s="36">
        <f t="shared" si="15"/>
        <v>1</v>
      </c>
      <c r="CP26" s="36">
        <f t="shared" si="16"/>
        <v>0</v>
      </c>
      <c r="CQ26" s="36">
        <f t="shared" si="17"/>
        <v>0</v>
      </c>
      <c r="CR26" s="36">
        <f t="shared" si="18"/>
        <v>0</v>
      </c>
      <c r="CS26" s="36">
        <f t="shared" si="19"/>
        <v>0</v>
      </c>
      <c r="CT26" s="36">
        <f t="shared" si="20"/>
        <v>0</v>
      </c>
      <c r="CU26" s="36">
        <f t="shared" si="21"/>
        <v>0</v>
      </c>
      <c r="CV26" s="36">
        <f t="shared" si="22"/>
        <v>0</v>
      </c>
      <c r="CW26" s="36">
        <f t="shared" si="23"/>
        <v>0</v>
      </c>
      <c r="CX26" s="36">
        <f t="shared" si="24"/>
        <v>0</v>
      </c>
      <c r="CY26" s="36">
        <f t="shared" si="25"/>
        <v>0</v>
      </c>
      <c r="CZ26" s="36"/>
      <c r="DA26" s="36">
        <f t="shared" si="27"/>
        <v>0</v>
      </c>
      <c r="DB26" s="36">
        <f t="shared" si="28"/>
        <v>0</v>
      </c>
      <c r="DC26" s="36">
        <f t="shared" si="29"/>
        <v>0</v>
      </c>
      <c r="DD26" s="36">
        <f t="shared" si="30"/>
        <v>0</v>
      </c>
      <c r="DE26" s="36">
        <f t="shared" si="31"/>
        <v>0</v>
      </c>
      <c r="DF26" s="36">
        <f t="shared" si="32"/>
        <v>0</v>
      </c>
      <c r="DG26" s="36">
        <f t="shared" si="33"/>
        <v>0</v>
      </c>
      <c r="DH26" s="36">
        <f t="shared" si="34"/>
        <v>0</v>
      </c>
      <c r="DI26" s="36">
        <f t="shared" si="35"/>
        <v>0</v>
      </c>
      <c r="DJ26" s="36">
        <f t="shared" si="36"/>
        <v>0</v>
      </c>
      <c r="DK26" s="36">
        <f t="shared" si="37"/>
        <v>0</v>
      </c>
      <c r="DL26" s="36">
        <f t="shared" si="38"/>
        <v>0</v>
      </c>
      <c r="DM26" s="36">
        <f t="shared" si="39"/>
        <v>0</v>
      </c>
      <c r="DN26" s="36">
        <f t="shared" si="40"/>
        <v>0</v>
      </c>
      <c r="DO26" s="36">
        <f t="shared" si="41"/>
        <v>0</v>
      </c>
      <c r="DP26" s="36">
        <f t="shared" si="42"/>
        <v>0</v>
      </c>
      <c r="DQ26" s="36">
        <f t="shared" si="43"/>
        <v>0</v>
      </c>
      <c r="DR26" s="36">
        <f t="shared" si="44"/>
        <v>0</v>
      </c>
      <c r="DS26" s="36">
        <f t="shared" si="45"/>
        <v>0</v>
      </c>
      <c r="DT26" s="36">
        <f t="shared" si="46"/>
        <v>0</v>
      </c>
      <c r="DU26" s="36">
        <f t="shared" si="47"/>
        <v>0</v>
      </c>
      <c r="DV26" s="36">
        <f t="shared" si="48"/>
        <v>0</v>
      </c>
      <c r="DW26" s="36">
        <f t="shared" si="49"/>
        <v>0</v>
      </c>
      <c r="DX26" s="36">
        <f t="shared" si="50"/>
        <v>0</v>
      </c>
      <c r="DY26" s="36">
        <f t="shared" si="51"/>
        <v>0</v>
      </c>
      <c r="DZ26" s="36"/>
    </row>
    <row r="27" spans="1:130" x14ac:dyDescent="0.25">
      <c r="A27" s="17"/>
      <c r="B27" s="22"/>
      <c r="C27" s="22"/>
      <c r="D27" s="22"/>
      <c r="E27" s="50"/>
      <c r="F27" s="50"/>
      <c r="G27" s="50"/>
      <c r="H27" s="50"/>
      <c r="I27" s="22"/>
      <c r="J27" s="50"/>
      <c r="K27" s="50"/>
      <c r="L27" s="50"/>
      <c r="M27" s="50"/>
      <c r="N27" s="22"/>
      <c r="O27" s="6"/>
      <c r="P27" s="6"/>
      <c r="Q27" s="6"/>
      <c r="R27" s="6"/>
      <c r="S27" s="6"/>
      <c r="T27" s="6"/>
      <c r="U27" s="6"/>
      <c r="V27" s="6"/>
      <c r="W27" s="6"/>
      <c r="X27" s="6"/>
      <c r="Y27" s="119"/>
      <c r="Z27" s="34">
        <v>24</v>
      </c>
      <c r="AA27" s="40"/>
      <c r="AB27" s="41"/>
      <c r="AC27" s="42"/>
      <c r="AD27" s="42"/>
      <c r="AE27" s="42"/>
      <c r="AF27" s="42"/>
      <c r="AG27" s="41"/>
      <c r="AH27" s="42"/>
      <c r="AI27" s="42"/>
      <c r="AJ27" s="42"/>
      <c r="AK27" s="42"/>
      <c r="AL27" s="42"/>
      <c r="AM27" s="42"/>
      <c r="AN27" s="42"/>
      <c r="AO27" s="42"/>
      <c r="AP27" s="41" t="s">
        <v>397</v>
      </c>
      <c r="AQ27" s="42"/>
      <c r="AR27" s="42"/>
      <c r="AS27" s="42"/>
      <c r="AT27" s="41"/>
      <c r="AU27" s="42"/>
      <c r="AV27" s="42"/>
      <c r="AW27" s="42"/>
      <c r="AX27" s="42"/>
      <c r="AY27" s="43"/>
      <c r="AZ27" s="35"/>
      <c r="BA27" s="36"/>
      <c r="BB27" s="36">
        <v>1</v>
      </c>
      <c r="BC27" s="36"/>
      <c r="BD27" s="36"/>
      <c r="BE27" s="36"/>
      <c r="BF27" s="36"/>
      <c r="BG27" s="36">
        <v>1</v>
      </c>
      <c r="BH27" s="36"/>
      <c r="BI27" s="36"/>
      <c r="BJ27" s="36"/>
      <c r="BK27" s="36"/>
      <c r="BL27" s="36"/>
      <c r="BM27" s="36"/>
      <c r="BN27" s="36"/>
      <c r="BO27" s="36"/>
      <c r="BP27" s="36">
        <v>1</v>
      </c>
      <c r="BQ27" s="36"/>
      <c r="BR27" s="36"/>
      <c r="BS27" s="36"/>
      <c r="BT27" s="36">
        <v>1</v>
      </c>
      <c r="BU27" s="36"/>
      <c r="BV27" s="36"/>
      <c r="BW27" s="36"/>
      <c r="BX27" s="36"/>
      <c r="BY27" s="36"/>
      <c r="BZ27" s="35"/>
      <c r="CA27" s="36">
        <f t="shared" si="1"/>
        <v>0</v>
      </c>
      <c r="CB27" s="36">
        <f t="shared" si="2"/>
        <v>0</v>
      </c>
      <c r="CC27" s="36">
        <f t="shared" si="3"/>
        <v>0</v>
      </c>
      <c r="CD27" s="36">
        <f t="shared" si="4"/>
        <v>0</v>
      </c>
      <c r="CE27" s="36">
        <f t="shared" si="5"/>
        <v>0</v>
      </c>
      <c r="CF27" s="36">
        <f t="shared" si="6"/>
        <v>0</v>
      </c>
      <c r="CG27" s="36">
        <f t="shared" si="7"/>
        <v>0</v>
      </c>
      <c r="CH27" s="36">
        <f t="shared" si="8"/>
        <v>0</v>
      </c>
      <c r="CI27" s="36">
        <f t="shared" si="9"/>
        <v>0</v>
      </c>
      <c r="CJ27" s="36">
        <f t="shared" si="10"/>
        <v>0</v>
      </c>
      <c r="CK27" s="36">
        <f t="shared" si="11"/>
        <v>0</v>
      </c>
      <c r="CL27" s="36">
        <f t="shared" si="12"/>
        <v>0</v>
      </c>
      <c r="CM27" s="36">
        <f t="shared" si="13"/>
        <v>0</v>
      </c>
      <c r="CN27" s="36">
        <f t="shared" si="14"/>
        <v>0</v>
      </c>
      <c r="CO27" s="36">
        <f t="shared" si="15"/>
        <v>0</v>
      </c>
      <c r="CP27" s="36">
        <f t="shared" si="16"/>
        <v>1</v>
      </c>
      <c r="CQ27" s="36">
        <f t="shared" si="17"/>
        <v>0</v>
      </c>
      <c r="CR27" s="36">
        <f t="shared" si="18"/>
        <v>0</v>
      </c>
      <c r="CS27" s="36">
        <f t="shared" si="19"/>
        <v>0</v>
      </c>
      <c r="CT27" s="36">
        <f t="shared" si="20"/>
        <v>0</v>
      </c>
      <c r="CU27" s="36">
        <f t="shared" si="21"/>
        <v>0</v>
      </c>
      <c r="CV27" s="36">
        <f t="shared" si="22"/>
        <v>0</v>
      </c>
      <c r="CW27" s="36">
        <f t="shared" si="23"/>
        <v>0</v>
      </c>
      <c r="CX27" s="36">
        <f t="shared" si="24"/>
        <v>0</v>
      </c>
      <c r="CY27" s="36">
        <f t="shared" si="25"/>
        <v>0</v>
      </c>
      <c r="CZ27" s="36"/>
      <c r="DA27" s="36">
        <f t="shared" si="27"/>
        <v>0</v>
      </c>
      <c r="DB27" s="36">
        <f t="shared" si="28"/>
        <v>0</v>
      </c>
      <c r="DC27" s="36">
        <f t="shared" si="29"/>
        <v>0</v>
      </c>
      <c r="DD27" s="36">
        <f t="shared" si="30"/>
        <v>0</v>
      </c>
      <c r="DE27" s="36">
        <f t="shared" si="31"/>
        <v>0</v>
      </c>
      <c r="DF27" s="36">
        <f t="shared" si="32"/>
        <v>0</v>
      </c>
      <c r="DG27" s="36">
        <f t="shared" si="33"/>
        <v>0</v>
      </c>
      <c r="DH27" s="36">
        <f t="shared" si="34"/>
        <v>0</v>
      </c>
      <c r="DI27" s="36">
        <f t="shared" si="35"/>
        <v>0</v>
      </c>
      <c r="DJ27" s="36">
        <f t="shared" si="36"/>
        <v>0</v>
      </c>
      <c r="DK27" s="36">
        <f t="shared" si="37"/>
        <v>0</v>
      </c>
      <c r="DL27" s="36">
        <f t="shared" si="38"/>
        <v>0</v>
      </c>
      <c r="DM27" s="36">
        <f t="shared" si="39"/>
        <v>0</v>
      </c>
      <c r="DN27" s="36">
        <f t="shared" si="40"/>
        <v>0</v>
      </c>
      <c r="DO27" s="36">
        <f t="shared" si="41"/>
        <v>0</v>
      </c>
      <c r="DP27" s="36">
        <f t="shared" si="42"/>
        <v>0</v>
      </c>
      <c r="DQ27" s="36">
        <f t="shared" si="43"/>
        <v>0</v>
      </c>
      <c r="DR27" s="36">
        <f t="shared" si="44"/>
        <v>0</v>
      </c>
      <c r="DS27" s="36">
        <f t="shared" si="45"/>
        <v>0</v>
      </c>
      <c r="DT27" s="36">
        <f t="shared" si="46"/>
        <v>0</v>
      </c>
      <c r="DU27" s="36">
        <f t="shared" si="47"/>
        <v>0</v>
      </c>
      <c r="DV27" s="36">
        <f t="shared" si="48"/>
        <v>0</v>
      </c>
      <c r="DW27" s="36">
        <f t="shared" si="49"/>
        <v>0</v>
      </c>
      <c r="DX27" s="36">
        <f t="shared" si="50"/>
        <v>0</v>
      </c>
      <c r="DY27" s="36">
        <f t="shared" si="51"/>
        <v>0</v>
      </c>
      <c r="DZ27" s="36"/>
    </row>
    <row r="28" spans="1:130" x14ac:dyDescent="0.25">
      <c r="A28" s="17"/>
      <c r="B28" s="22"/>
      <c r="C28" s="25" t="s">
        <v>145</v>
      </c>
      <c r="D28" s="22"/>
      <c r="E28" s="22">
        <f ca="1">IF(E23="","",IF(AND(E17&gt;=1,E17&lt;=10),MIN(INDIRECT("E5:E" &amp; (INT(E17)+4))),""))</f>
        <v>19</v>
      </c>
      <c r="F28" s="50"/>
      <c r="G28" s="50"/>
      <c r="H28" s="50"/>
      <c r="I28" s="22"/>
      <c r="J28" s="50"/>
      <c r="K28" s="50"/>
      <c r="L28" s="50"/>
      <c r="M28" s="50"/>
      <c r="N28" s="22"/>
      <c r="O28" s="6"/>
      <c r="P28" s="6"/>
      <c r="Q28" s="6"/>
      <c r="R28" s="6"/>
      <c r="S28" s="6"/>
      <c r="T28" s="6"/>
      <c r="U28" s="6"/>
      <c r="V28" s="6"/>
      <c r="W28" s="6"/>
      <c r="X28" s="6"/>
      <c r="Y28" s="119"/>
      <c r="Z28" s="34">
        <v>25</v>
      </c>
      <c r="AA28" s="40"/>
      <c r="AB28" s="41"/>
      <c r="AC28" s="42"/>
      <c r="AD28" s="42"/>
      <c r="AE28" s="42"/>
      <c r="AF28" s="42"/>
      <c r="AG28" s="42"/>
      <c r="AH28" s="41"/>
      <c r="AI28" s="42"/>
      <c r="AJ28" s="42"/>
      <c r="AK28" s="42"/>
      <c r="AL28" s="41"/>
      <c r="AM28" s="42"/>
      <c r="AN28" s="42"/>
      <c r="AO28" s="42"/>
      <c r="AP28" s="42"/>
      <c r="AQ28" s="42"/>
      <c r="AR28" s="42"/>
      <c r="AS28" s="41"/>
      <c r="AT28" s="42"/>
      <c r="AU28" s="42"/>
      <c r="AV28" s="41"/>
      <c r="AW28" s="42"/>
      <c r="AX28" s="42"/>
      <c r="AY28" s="43"/>
      <c r="AZ28" s="35"/>
      <c r="BA28" s="36"/>
      <c r="BB28" s="36">
        <v>1</v>
      </c>
      <c r="BC28" s="36"/>
      <c r="BD28" s="36"/>
      <c r="BE28" s="36"/>
      <c r="BF28" s="36"/>
      <c r="BG28" s="36"/>
      <c r="BH28" s="36">
        <v>1</v>
      </c>
      <c r="BI28" s="36"/>
      <c r="BJ28" s="36"/>
      <c r="BK28" s="36"/>
      <c r="BL28" s="36">
        <v>1</v>
      </c>
      <c r="BM28" s="36"/>
      <c r="BN28" s="36"/>
      <c r="BO28" s="36"/>
      <c r="BP28" s="36"/>
      <c r="BQ28" s="36"/>
      <c r="BR28" s="36"/>
      <c r="BS28" s="36">
        <v>1</v>
      </c>
      <c r="BT28" s="36"/>
      <c r="BU28" s="36"/>
      <c r="BV28" s="36">
        <v>1</v>
      </c>
      <c r="BW28" s="36"/>
      <c r="BX28" s="36"/>
      <c r="BY28" s="36"/>
      <c r="BZ28" s="35"/>
      <c r="CA28" s="36">
        <f t="shared" si="1"/>
        <v>0</v>
      </c>
      <c r="CB28" s="36">
        <f t="shared" si="2"/>
        <v>0</v>
      </c>
      <c r="CC28" s="36">
        <f t="shared" si="3"/>
        <v>0</v>
      </c>
      <c r="CD28" s="36">
        <f t="shared" si="4"/>
        <v>0</v>
      </c>
      <c r="CE28" s="36">
        <f t="shared" si="5"/>
        <v>0</v>
      </c>
      <c r="CF28" s="36">
        <f t="shared" si="6"/>
        <v>0</v>
      </c>
      <c r="CG28" s="36">
        <f t="shared" si="7"/>
        <v>0</v>
      </c>
      <c r="CH28" s="36">
        <f t="shared" si="8"/>
        <v>0</v>
      </c>
      <c r="CI28" s="36">
        <f t="shared" si="9"/>
        <v>0</v>
      </c>
      <c r="CJ28" s="36">
        <f t="shared" si="10"/>
        <v>0</v>
      </c>
      <c r="CK28" s="36">
        <f t="shared" si="11"/>
        <v>0</v>
      </c>
      <c r="CL28" s="36">
        <f t="shared" si="12"/>
        <v>0</v>
      </c>
      <c r="CM28" s="36">
        <f t="shared" si="13"/>
        <v>0</v>
      </c>
      <c r="CN28" s="36">
        <f t="shared" si="14"/>
        <v>0</v>
      </c>
      <c r="CO28" s="36">
        <f t="shared" si="15"/>
        <v>0</v>
      </c>
      <c r="CP28" s="36">
        <f t="shared" si="16"/>
        <v>0</v>
      </c>
      <c r="CQ28" s="36">
        <f t="shared" si="17"/>
        <v>0</v>
      </c>
      <c r="CR28" s="36">
        <f t="shared" si="18"/>
        <v>0</v>
      </c>
      <c r="CS28" s="36">
        <f t="shared" si="19"/>
        <v>0</v>
      </c>
      <c r="CT28" s="36">
        <f t="shared" si="20"/>
        <v>0</v>
      </c>
      <c r="CU28" s="36">
        <f t="shared" si="21"/>
        <v>0</v>
      </c>
      <c r="CV28" s="36">
        <f t="shared" si="22"/>
        <v>0</v>
      </c>
      <c r="CW28" s="36">
        <f t="shared" si="23"/>
        <v>0</v>
      </c>
      <c r="CX28" s="36">
        <f t="shared" si="24"/>
        <v>0</v>
      </c>
      <c r="CY28" s="36">
        <f t="shared" si="25"/>
        <v>0</v>
      </c>
      <c r="CZ28" s="36"/>
      <c r="DA28" s="36">
        <f t="shared" si="27"/>
        <v>0</v>
      </c>
      <c r="DB28" s="36">
        <f t="shared" si="28"/>
        <v>0</v>
      </c>
      <c r="DC28" s="36">
        <f t="shared" si="29"/>
        <v>0</v>
      </c>
      <c r="DD28" s="36">
        <f t="shared" si="30"/>
        <v>0</v>
      </c>
      <c r="DE28" s="36">
        <f t="shared" si="31"/>
        <v>0</v>
      </c>
      <c r="DF28" s="36">
        <f t="shared" si="32"/>
        <v>0</v>
      </c>
      <c r="DG28" s="36">
        <f t="shared" si="33"/>
        <v>0</v>
      </c>
      <c r="DH28" s="36">
        <f t="shared" si="34"/>
        <v>0</v>
      </c>
      <c r="DI28" s="36">
        <f t="shared" si="35"/>
        <v>0</v>
      </c>
      <c r="DJ28" s="36">
        <f t="shared" si="36"/>
        <v>0</v>
      </c>
      <c r="DK28" s="36">
        <f t="shared" si="37"/>
        <v>0</v>
      </c>
      <c r="DL28" s="36">
        <f t="shared" si="38"/>
        <v>0</v>
      </c>
      <c r="DM28" s="36">
        <f t="shared" si="39"/>
        <v>0</v>
      </c>
      <c r="DN28" s="36">
        <f t="shared" si="40"/>
        <v>0</v>
      </c>
      <c r="DO28" s="36">
        <f t="shared" si="41"/>
        <v>0</v>
      </c>
      <c r="DP28" s="36">
        <f t="shared" si="42"/>
        <v>0</v>
      </c>
      <c r="DQ28" s="36">
        <f t="shared" si="43"/>
        <v>0</v>
      </c>
      <c r="DR28" s="36">
        <f t="shared" si="44"/>
        <v>0</v>
      </c>
      <c r="DS28" s="36">
        <f t="shared" si="45"/>
        <v>0</v>
      </c>
      <c r="DT28" s="36">
        <f t="shared" si="46"/>
        <v>0</v>
      </c>
      <c r="DU28" s="36">
        <f t="shared" si="47"/>
        <v>0</v>
      </c>
      <c r="DV28" s="36">
        <f t="shared" si="48"/>
        <v>0</v>
      </c>
      <c r="DW28" s="36">
        <f t="shared" si="49"/>
        <v>0</v>
      </c>
      <c r="DX28" s="36">
        <f t="shared" si="50"/>
        <v>0</v>
      </c>
      <c r="DY28" s="36">
        <f t="shared" si="51"/>
        <v>0</v>
      </c>
      <c r="DZ28" s="36"/>
    </row>
    <row r="29" spans="1:130" x14ac:dyDescent="0.25">
      <c r="A29" s="17"/>
      <c r="B29" s="22"/>
      <c r="C29" s="25" t="s">
        <v>146</v>
      </c>
      <c r="D29" s="22"/>
      <c r="E29" s="22">
        <f ca="1">IF(E23="","",IF(AND(E17&gt;=1,E17&lt;=10),MAX(INDIRECT("E5:E" &amp; (INT(E17)+4))),""))</f>
        <v>28</v>
      </c>
      <c r="F29" s="50"/>
      <c r="G29" s="50"/>
      <c r="H29" s="50"/>
      <c r="I29" s="22"/>
      <c r="J29" s="50"/>
      <c r="K29" s="50"/>
      <c r="L29" s="50"/>
      <c r="M29" s="50"/>
      <c r="N29" s="22"/>
      <c r="O29" s="6"/>
      <c r="P29" s="6"/>
      <c r="Q29" s="6"/>
      <c r="R29" s="6"/>
      <c r="S29" s="6"/>
      <c r="T29" s="6"/>
      <c r="U29" s="6"/>
      <c r="V29" s="6"/>
      <c r="W29" s="6"/>
      <c r="X29" s="6"/>
      <c r="Y29" s="119"/>
      <c r="Z29" s="34">
        <v>26</v>
      </c>
      <c r="AA29" s="40"/>
      <c r="AB29" s="42"/>
      <c r="AC29" s="42"/>
      <c r="AD29" s="41"/>
      <c r="AE29" s="42"/>
      <c r="AF29" s="42"/>
      <c r="AG29" s="42"/>
      <c r="AH29" s="41"/>
      <c r="AI29" s="42"/>
      <c r="AJ29" s="42"/>
      <c r="AK29" s="41"/>
      <c r="AL29" s="42"/>
      <c r="AM29" s="42"/>
      <c r="AN29" s="42"/>
      <c r="AO29" s="41"/>
      <c r="AP29" s="41"/>
      <c r="AQ29" s="42"/>
      <c r="AR29" s="42"/>
      <c r="AS29" s="42"/>
      <c r="AT29" s="41"/>
      <c r="AU29" s="42"/>
      <c r="AV29" s="42"/>
      <c r="AW29" s="42"/>
      <c r="AX29" s="41"/>
      <c r="AY29" s="45"/>
      <c r="AZ29" s="35"/>
      <c r="BA29" s="36"/>
      <c r="BB29" s="36"/>
      <c r="BC29" s="36"/>
      <c r="BD29" s="36">
        <v>1</v>
      </c>
      <c r="BE29" s="36"/>
      <c r="BF29" s="36"/>
      <c r="BG29" s="36"/>
      <c r="BH29" s="36">
        <v>1</v>
      </c>
      <c r="BI29" s="36"/>
      <c r="BJ29" s="36"/>
      <c r="BK29" s="36">
        <v>1</v>
      </c>
      <c r="BL29" s="36"/>
      <c r="BM29" s="36"/>
      <c r="BN29" s="36"/>
      <c r="BO29" s="36">
        <v>1</v>
      </c>
      <c r="BP29" s="36">
        <v>1</v>
      </c>
      <c r="BQ29" s="36"/>
      <c r="BR29" s="36"/>
      <c r="BS29" s="36"/>
      <c r="BT29" s="36">
        <v>1</v>
      </c>
      <c r="BU29" s="36"/>
      <c r="BV29" s="36"/>
      <c r="BW29" s="36"/>
      <c r="BX29" s="36">
        <v>1</v>
      </c>
      <c r="BY29" s="36">
        <v>1</v>
      </c>
      <c r="BZ29" s="35"/>
      <c r="CA29" s="36">
        <f t="shared" si="1"/>
        <v>0</v>
      </c>
      <c r="CB29" s="36">
        <f t="shared" si="2"/>
        <v>0</v>
      </c>
      <c r="CC29" s="36">
        <f t="shared" si="3"/>
        <v>0</v>
      </c>
      <c r="CD29" s="36">
        <f t="shared" si="4"/>
        <v>0</v>
      </c>
      <c r="CE29" s="36">
        <f t="shared" si="5"/>
        <v>0</v>
      </c>
      <c r="CF29" s="36">
        <f t="shared" si="6"/>
        <v>0</v>
      </c>
      <c r="CG29" s="36">
        <f t="shared" si="7"/>
        <v>0</v>
      </c>
      <c r="CH29" s="36">
        <f t="shared" si="8"/>
        <v>0</v>
      </c>
      <c r="CI29" s="36">
        <f t="shared" si="9"/>
        <v>0</v>
      </c>
      <c r="CJ29" s="36">
        <f t="shared" si="10"/>
        <v>0</v>
      </c>
      <c r="CK29" s="36">
        <f t="shared" si="11"/>
        <v>0</v>
      </c>
      <c r="CL29" s="36">
        <f t="shared" si="12"/>
        <v>0</v>
      </c>
      <c r="CM29" s="36">
        <f t="shared" si="13"/>
        <v>0</v>
      </c>
      <c r="CN29" s="36">
        <f t="shared" si="14"/>
        <v>0</v>
      </c>
      <c r="CO29" s="36">
        <f t="shared" si="15"/>
        <v>0</v>
      </c>
      <c r="CP29" s="36">
        <f t="shared" si="16"/>
        <v>0</v>
      </c>
      <c r="CQ29" s="36">
        <f t="shared" si="17"/>
        <v>0</v>
      </c>
      <c r="CR29" s="36">
        <f t="shared" si="18"/>
        <v>0</v>
      </c>
      <c r="CS29" s="36">
        <f t="shared" si="19"/>
        <v>0</v>
      </c>
      <c r="CT29" s="36">
        <f t="shared" si="20"/>
        <v>0</v>
      </c>
      <c r="CU29" s="36">
        <f t="shared" si="21"/>
        <v>0</v>
      </c>
      <c r="CV29" s="36">
        <f t="shared" si="22"/>
        <v>0</v>
      </c>
      <c r="CW29" s="36">
        <f t="shared" si="23"/>
        <v>0</v>
      </c>
      <c r="CX29" s="36">
        <f t="shared" si="24"/>
        <v>0</v>
      </c>
      <c r="CY29" s="36">
        <f t="shared" si="25"/>
        <v>0</v>
      </c>
      <c r="CZ29" s="36"/>
      <c r="DA29" s="36">
        <f t="shared" si="27"/>
        <v>0</v>
      </c>
      <c r="DB29" s="36">
        <f t="shared" si="28"/>
        <v>0</v>
      </c>
      <c r="DC29" s="36">
        <f t="shared" si="29"/>
        <v>0</v>
      </c>
      <c r="DD29" s="36">
        <f t="shared" si="30"/>
        <v>0</v>
      </c>
      <c r="DE29" s="36">
        <f t="shared" si="31"/>
        <v>0</v>
      </c>
      <c r="DF29" s="36">
        <f t="shared" si="32"/>
        <v>0</v>
      </c>
      <c r="DG29" s="36">
        <f t="shared" si="33"/>
        <v>0</v>
      </c>
      <c r="DH29" s="36">
        <f t="shared" si="34"/>
        <v>0</v>
      </c>
      <c r="DI29" s="36">
        <f t="shared" si="35"/>
        <v>0</v>
      </c>
      <c r="DJ29" s="36">
        <f t="shared" si="36"/>
        <v>0</v>
      </c>
      <c r="DK29" s="36">
        <f t="shared" si="37"/>
        <v>0</v>
      </c>
      <c r="DL29" s="36">
        <f t="shared" si="38"/>
        <v>0</v>
      </c>
      <c r="DM29" s="36">
        <f t="shared" si="39"/>
        <v>0</v>
      </c>
      <c r="DN29" s="36">
        <f t="shared" si="40"/>
        <v>0</v>
      </c>
      <c r="DO29" s="36">
        <f t="shared" si="41"/>
        <v>0</v>
      </c>
      <c r="DP29" s="36">
        <f t="shared" si="42"/>
        <v>0</v>
      </c>
      <c r="DQ29" s="36">
        <f t="shared" si="43"/>
        <v>0</v>
      </c>
      <c r="DR29" s="36">
        <f t="shared" si="44"/>
        <v>0</v>
      </c>
      <c r="DS29" s="36">
        <f t="shared" si="45"/>
        <v>0</v>
      </c>
      <c r="DT29" s="36">
        <f t="shared" si="46"/>
        <v>0</v>
      </c>
      <c r="DU29" s="36">
        <f t="shared" si="47"/>
        <v>0</v>
      </c>
      <c r="DV29" s="36">
        <f t="shared" si="48"/>
        <v>0</v>
      </c>
      <c r="DW29" s="36">
        <f t="shared" si="49"/>
        <v>0</v>
      </c>
      <c r="DX29" s="36">
        <f t="shared" si="50"/>
        <v>0</v>
      </c>
      <c r="DY29" s="36">
        <f t="shared" si="51"/>
        <v>0</v>
      </c>
      <c r="DZ29" s="36"/>
    </row>
    <row r="30" spans="1:130" x14ac:dyDescent="0.25">
      <c r="A30" s="17"/>
      <c r="B30" s="22"/>
      <c r="C30" s="25" t="s">
        <v>74</v>
      </c>
      <c r="D30" s="22"/>
      <c r="E30" s="55">
        <f ca="1">IF(OR(E29="",E28="")=TRUE,"",E29-E28)</f>
        <v>9</v>
      </c>
      <c r="F30" s="50"/>
      <c r="G30" s="50"/>
      <c r="H30" s="50"/>
      <c r="I30" s="22"/>
      <c r="J30" s="50"/>
      <c r="K30" s="50"/>
      <c r="L30" s="50"/>
      <c r="M30" s="50"/>
      <c r="N30" s="22"/>
      <c r="O30" s="6"/>
      <c r="P30" s="6"/>
      <c r="Q30" s="6"/>
      <c r="R30" s="6"/>
      <c r="S30" s="6"/>
      <c r="T30" s="6"/>
      <c r="U30" s="6"/>
      <c r="V30" s="6"/>
      <c r="W30" s="6"/>
      <c r="X30" s="6"/>
      <c r="Y30" s="119"/>
      <c r="Z30" s="34">
        <v>27</v>
      </c>
      <c r="AA30" s="44"/>
      <c r="AB30" s="42"/>
      <c r="AC30" s="42"/>
      <c r="AD30" s="42"/>
      <c r="AE30" s="41"/>
      <c r="AF30" s="41"/>
      <c r="AG30" s="42"/>
      <c r="AH30" s="42"/>
      <c r="AI30" s="42"/>
      <c r="AJ30" s="41"/>
      <c r="AK30" s="42"/>
      <c r="AL30" s="42"/>
      <c r="AM30" s="42"/>
      <c r="AN30" s="42"/>
      <c r="AO30" s="42"/>
      <c r="AP30" s="41"/>
      <c r="AQ30" s="42"/>
      <c r="AR30" s="42"/>
      <c r="AS30" s="42"/>
      <c r="AT30" s="41"/>
      <c r="AU30" s="42"/>
      <c r="AV30" s="41"/>
      <c r="AW30" s="41"/>
      <c r="AX30" s="42"/>
      <c r="AY30" s="43"/>
      <c r="AZ30" s="35"/>
      <c r="BA30" s="36">
        <v>1</v>
      </c>
      <c r="BB30" s="36"/>
      <c r="BC30" s="36"/>
      <c r="BD30" s="36"/>
      <c r="BE30" s="36">
        <v>1</v>
      </c>
      <c r="BF30" s="36">
        <v>1</v>
      </c>
      <c r="BG30" s="36"/>
      <c r="BH30" s="36"/>
      <c r="BI30" s="36"/>
      <c r="BJ30" s="36">
        <v>1</v>
      </c>
      <c r="BK30" s="36"/>
      <c r="BL30" s="36"/>
      <c r="BM30" s="36"/>
      <c r="BN30" s="36"/>
      <c r="BO30" s="36"/>
      <c r="BP30" s="36">
        <v>1</v>
      </c>
      <c r="BQ30" s="36"/>
      <c r="BR30" s="36"/>
      <c r="BS30" s="36"/>
      <c r="BT30" s="36">
        <v>1</v>
      </c>
      <c r="BU30" s="36"/>
      <c r="BV30" s="36">
        <v>1</v>
      </c>
      <c r="BW30" s="36">
        <v>1</v>
      </c>
      <c r="BX30" s="36"/>
      <c r="BY30" s="36"/>
      <c r="BZ30" s="35"/>
      <c r="CA30" s="36">
        <f t="shared" si="1"/>
        <v>0</v>
      </c>
      <c r="CB30" s="36">
        <f t="shared" si="2"/>
        <v>0</v>
      </c>
      <c r="CC30" s="36">
        <f t="shared" si="3"/>
        <v>0</v>
      </c>
      <c r="CD30" s="36">
        <f t="shared" si="4"/>
        <v>0</v>
      </c>
      <c r="CE30" s="36">
        <f t="shared" si="5"/>
        <v>0</v>
      </c>
      <c r="CF30" s="36">
        <f t="shared" si="6"/>
        <v>0</v>
      </c>
      <c r="CG30" s="36">
        <f t="shared" si="7"/>
        <v>0</v>
      </c>
      <c r="CH30" s="36">
        <f t="shared" si="8"/>
        <v>0</v>
      </c>
      <c r="CI30" s="36">
        <f t="shared" si="9"/>
        <v>0</v>
      </c>
      <c r="CJ30" s="36">
        <f t="shared" si="10"/>
        <v>0</v>
      </c>
      <c r="CK30" s="36">
        <f t="shared" si="11"/>
        <v>0</v>
      </c>
      <c r="CL30" s="36">
        <f t="shared" si="12"/>
        <v>0</v>
      </c>
      <c r="CM30" s="36">
        <f t="shared" si="13"/>
        <v>0</v>
      </c>
      <c r="CN30" s="36">
        <f t="shared" si="14"/>
        <v>0</v>
      </c>
      <c r="CO30" s="36">
        <f t="shared" si="15"/>
        <v>0</v>
      </c>
      <c r="CP30" s="36">
        <f t="shared" si="16"/>
        <v>0</v>
      </c>
      <c r="CQ30" s="36">
        <f t="shared" si="17"/>
        <v>0</v>
      </c>
      <c r="CR30" s="36">
        <f t="shared" si="18"/>
        <v>0</v>
      </c>
      <c r="CS30" s="36">
        <f t="shared" si="19"/>
        <v>0</v>
      </c>
      <c r="CT30" s="36">
        <f t="shared" si="20"/>
        <v>0</v>
      </c>
      <c r="CU30" s="36">
        <f t="shared" si="21"/>
        <v>0</v>
      </c>
      <c r="CV30" s="36">
        <f t="shared" si="22"/>
        <v>0</v>
      </c>
      <c r="CW30" s="36">
        <f t="shared" si="23"/>
        <v>0</v>
      </c>
      <c r="CX30" s="36">
        <f t="shared" si="24"/>
        <v>0</v>
      </c>
      <c r="CY30" s="36">
        <f t="shared" si="25"/>
        <v>0</v>
      </c>
      <c r="CZ30" s="36"/>
      <c r="DA30" s="36">
        <f t="shared" si="27"/>
        <v>0</v>
      </c>
      <c r="DB30" s="36">
        <f t="shared" si="28"/>
        <v>0</v>
      </c>
      <c r="DC30" s="36">
        <f t="shared" si="29"/>
        <v>0</v>
      </c>
      <c r="DD30" s="36">
        <f t="shared" si="30"/>
        <v>0</v>
      </c>
      <c r="DE30" s="36">
        <f t="shared" si="31"/>
        <v>0</v>
      </c>
      <c r="DF30" s="36">
        <f t="shared" si="32"/>
        <v>0</v>
      </c>
      <c r="DG30" s="36">
        <f t="shared" si="33"/>
        <v>0</v>
      </c>
      <c r="DH30" s="36">
        <f t="shared" si="34"/>
        <v>0</v>
      </c>
      <c r="DI30" s="36">
        <f t="shared" si="35"/>
        <v>0</v>
      </c>
      <c r="DJ30" s="36">
        <f t="shared" si="36"/>
        <v>0</v>
      </c>
      <c r="DK30" s="36">
        <f t="shared" si="37"/>
        <v>0</v>
      </c>
      <c r="DL30" s="36">
        <f t="shared" si="38"/>
        <v>0</v>
      </c>
      <c r="DM30" s="36">
        <f t="shared" si="39"/>
        <v>0</v>
      </c>
      <c r="DN30" s="36">
        <f t="shared" si="40"/>
        <v>0</v>
      </c>
      <c r="DO30" s="36">
        <f t="shared" si="41"/>
        <v>0</v>
      </c>
      <c r="DP30" s="36">
        <f t="shared" si="42"/>
        <v>0</v>
      </c>
      <c r="DQ30" s="36">
        <f t="shared" si="43"/>
        <v>0</v>
      </c>
      <c r="DR30" s="36">
        <f t="shared" si="44"/>
        <v>0</v>
      </c>
      <c r="DS30" s="36">
        <f t="shared" si="45"/>
        <v>0</v>
      </c>
      <c r="DT30" s="36">
        <f t="shared" si="46"/>
        <v>0</v>
      </c>
      <c r="DU30" s="36">
        <f t="shared" si="47"/>
        <v>0</v>
      </c>
      <c r="DV30" s="36">
        <f t="shared" si="48"/>
        <v>0</v>
      </c>
      <c r="DW30" s="36">
        <f t="shared" si="49"/>
        <v>0</v>
      </c>
      <c r="DX30" s="36">
        <f t="shared" si="50"/>
        <v>0</v>
      </c>
      <c r="DY30" s="36">
        <f t="shared" si="51"/>
        <v>0</v>
      </c>
      <c r="DZ30" s="36"/>
    </row>
    <row r="31" spans="1:130" x14ac:dyDescent="0.25">
      <c r="A31" s="17"/>
      <c r="B31" s="22"/>
      <c r="C31" s="22"/>
      <c r="D31" s="22"/>
      <c r="E31" s="50"/>
      <c r="F31" s="50"/>
      <c r="G31" s="50"/>
      <c r="H31" s="50"/>
      <c r="I31" s="22"/>
      <c r="J31" s="50"/>
      <c r="K31" s="50"/>
      <c r="L31" s="22"/>
      <c r="M31" s="22"/>
      <c r="N31" s="22"/>
      <c r="O31" s="6"/>
      <c r="P31" s="6"/>
      <c r="Q31" s="6"/>
      <c r="R31" s="6"/>
      <c r="S31" s="6"/>
      <c r="T31" s="6"/>
      <c r="U31" s="6"/>
      <c r="V31" s="6"/>
      <c r="W31" s="6"/>
      <c r="X31" s="6"/>
      <c r="Y31" s="119"/>
      <c r="Z31" s="34">
        <v>28</v>
      </c>
      <c r="AA31" s="40"/>
      <c r="AB31" s="42"/>
      <c r="AC31" s="41"/>
      <c r="AD31" s="42"/>
      <c r="AE31" s="42"/>
      <c r="AF31" s="41"/>
      <c r="AG31" s="41"/>
      <c r="AH31" s="42"/>
      <c r="AI31" s="42"/>
      <c r="AJ31" s="41"/>
      <c r="AK31" s="42"/>
      <c r="AL31" s="42"/>
      <c r="AM31" s="42"/>
      <c r="AN31" s="42"/>
      <c r="AO31" s="42"/>
      <c r="AP31" s="42"/>
      <c r="AQ31" s="42"/>
      <c r="AR31" s="41"/>
      <c r="AS31" s="42"/>
      <c r="AT31" s="42"/>
      <c r="AU31" s="42"/>
      <c r="AV31" s="42"/>
      <c r="AW31" s="41"/>
      <c r="AX31" s="42"/>
      <c r="AY31" s="43"/>
      <c r="AZ31" s="35"/>
      <c r="BA31" s="36"/>
      <c r="BB31" s="36"/>
      <c r="BC31" s="36">
        <v>1</v>
      </c>
      <c r="BD31" s="36"/>
      <c r="BE31" s="36"/>
      <c r="BF31" s="36">
        <v>1</v>
      </c>
      <c r="BG31" s="36">
        <v>1</v>
      </c>
      <c r="BH31" s="36"/>
      <c r="BI31" s="36"/>
      <c r="BJ31" s="36">
        <v>1</v>
      </c>
      <c r="BK31" s="36"/>
      <c r="BL31" s="36"/>
      <c r="BM31" s="36"/>
      <c r="BN31" s="36"/>
      <c r="BO31" s="36"/>
      <c r="BP31" s="36"/>
      <c r="BQ31" s="36"/>
      <c r="BR31" s="36">
        <v>1</v>
      </c>
      <c r="BS31" s="36"/>
      <c r="BT31" s="36"/>
      <c r="BU31" s="36"/>
      <c r="BV31" s="36"/>
      <c r="BW31" s="36">
        <v>1</v>
      </c>
      <c r="BX31" s="36"/>
      <c r="BY31" s="36"/>
      <c r="BZ31" s="35"/>
      <c r="CA31" s="36">
        <f t="shared" si="1"/>
        <v>0</v>
      </c>
      <c r="CB31" s="36">
        <f t="shared" si="2"/>
        <v>0</v>
      </c>
      <c r="CC31" s="36">
        <f t="shared" si="3"/>
        <v>0</v>
      </c>
      <c r="CD31" s="36">
        <f t="shared" si="4"/>
        <v>0</v>
      </c>
      <c r="CE31" s="36">
        <f t="shared" si="5"/>
        <v>0</v>
      </c>
      <c r="CF31" s="36">
        <f t="shared" si="6"/>
        <v>0</v>
      </c>
      <c r="CG31" s="36">
        <f t="shared" si="7"/>
        <v>0</v>
      </c>
      <c r="CH31" s="36">
        <f t="shared" si="8"/>
        <v>0</v>
      </c>
      <c r="CI31" s="36">
        <f t="shared" si="9"/>
        <v>0</v>
      </c>
      <c r="CJ31" s="36">
        <f t="shared" si="10"/>
        <v>0</v>
      </c>
      <c r="CK31" s="36">
        <f t="shared" si="11"/>
        <v>0</v>
      </c>
      <c r="CL31" s="36">
        <f t="shared" si="12"/>
        <v>0</v>
      </c>
      <c r="CM31" s="36">
        <f t="shared" si="13"/>
        <v>0</v>
      </c>
      <c r="CN31" s="36">
        <f t="shared" si="14"/>
        <v>0</v>
      </c>
      <c r="CO31" s="36">
        <f t="shared" si="15"/>
        <v>0</v>
      </c>
      <c r="CP31" s="36">
        <f t="shared" si="16"/>
        <v>0</v>
      </c>
      <c r="CQ31" s="36">
        <f t="shared" si="17"/>
        <v>0</v>
      </c>
      <c r="CR31" s="36">
        <f t="shared" si="18"/>
        <v>0</v>
      </c>
      <c r="CS31" s="36">
        <f t="shared" si="19"/>
        <v>0</v>
      </c>
      <c r="CT31" s="36">
        <f t="shared" si="20"/>
        <v>0</v>
      </c>
      <c r="CU31" s="36">
        <f t="shared" si="21"/>
        <v>0</v>
      </c>
      <c r="CV31" s="36">
        <f t="shared" si="22"/>
        <v>0</v>
      </c>
      <c r="CW31" s="36">
        <f t="shared" si="23"/>
        <v>0</v>
      </c>
      <c r="CX31" s="36">
        <f t="shared" si="24"/>
        <v>0</v>
      </c>
      <c r="CY31" s="36">
        <f t="shared" si="25"/>
        <v>0</v>
      </c>
      <c r="CZ31" s="36"/>
      <c r="DA31" s="36">
        <f t="shared" si="27"/>
        <v>0</v>
      </c>
      <c r="DB31" s="36">
        <f t="shared" si="28"/>
        <v>0</v>
      </c>
      <c r="DC31" s="36">
        <f t="shared" si="29"/>
        <v>0</v>
      </c>
      <c r="DD31" s="36">
        <f t="shared" si="30"/>
        <v>0</v>
      </c>
      <c r="DE31" s="36">
        <f t="shared" si="31"/>
        <v>0</v>
      </c>
      <c r="DF31" s="36">
        <f t="shared" si="32"/>
        <v>0</v>
      </c>
      <c r="DG31" s="36">
        <f t="shared" si="33"/>
        <v>0</v>
      </c>
      <c r="DH31" s="36">
        <f t="shared" si="34"/>
        <v>0</v>
      </c>
      <c r="DI31" s="36">
        <f t="shared" si="35"/>
        <v>0</v>
      </c>
      <c r="DJ31" s="36">
        <f t="shared" si="36"/>
        <v>0</v>
      </c>
      <c r="DK31" s="36">
        <f t="shared" si="37"/>
        <v>0</v>
      </c>
      <c r="DL31" s="36">
        <f t="shared" si="38"/>
        <v>0</v>
      </c>
      <c r="DM31" s="36">
        <f t="shared" si="39"/>
        <v>0</v>
      </c>
      <c r="DN31" s="36">
        <f t="shared" si="40"/>
        <v>0</v>
      </c>
      <c r="DO31" s="36">
        <f t="shared" si="41"/>
        <v>0</v>
      </c>
      <c r="DP31" s="36">
        <f t="shared" si="42"/>
        <v>0</v>
      </c>
      <c r="DQ31" s="36">
        <f t="shared" si="43"/>
        <v>0</v>
      </c>
      <c r="DR31" s="36">
        <f t="shared" si="44"/>
        <v>0</v>
      </c>
      <c r="DS31" s="36">
        <f t="shared" si="45"/>
        <v>0</v>
      </c>
      <c r="DT31" s="36">
        <f t="shared" si="46"/>
        <v>0</v>
      </c>
      <c r="DU31" s="36">
        <f t="shared" si="47"/>
        <v>0</v>
      </c>
      <c r="DV31" s="36">
        <f t="shared" si="48"/>
        <v>0</v>
      </c>
      <c r="DW31" s="36">
        <f t="shared" si="49"/>
        <v>0</v>
      </c>
      <c r="DX31" s="36">
        <f t="shared" si="50"/>
        <v>0</v>
      </c>
      <c r="DY31" s="36">
        <f t="shared" si="51"/>
        <v>0</v>
      </c>
      <c r="DZ31" s="36"/>
    </row>
    <row r="32" spans="1:130" x14ac:dyDescent="0.25">
      <c r="A32" s="17"/>
      <c r="B32" s="324" t="s">
        <v>147</v>
      </c>
      <c r="C32" s="323"/>
      <c r="D32" s="323"/>
      <c r="E32" s="323"/>
      <c r="F32" s="323"/>
      <c r="G32" s="323"/>
      <c r="H32" s="323"/>
      <c r="I32" s="323"/>
      <c r="J32" s="323"/>
      <c r="K32" s="323"/>
      <c r="L32" s="323"/>
      <c r="M32" s="323"/>
      <c r="N32" s="323"/>
      <c r="O32" s="323"/>
      <c r="P32" s="323"/>
      <c r="Q32" s="323"/>
      <c r="R32" s="323"/>
      <c r="S32" s="323"/>
      <c r="T32" s="323"/>
      <c r="U32" s="323"/>
      <c r="V32" s="323"/>
      <c r="W32" s="323"/>
      <c r="X32" s="323"/>
      <c r="Y32" s="119"/>
      <c r="Z32" s="34">
        <v>29</v>
      </c>
      <c r="AA32" s="40"/>
      <c r="AB32" s="42"/>
      <c r="AC32" s="42"/>
      <c r="AD32" s="42"/>
      <c r="AE32" s="42"/>
      <c r="AF32" s="42"/>
      <c r="AG32" s="42"/>
      <c r="AH32" s="41"/>
      <c r="AI32" s="42"/>
      <c r="AJ32" s="42"/>
      <c r="AK32" s="42"/>
      <c r="AL32" s="42"/>
      <c r="AM32" s="42"/>
      <c r="AN32" s="41"/>
      <c r="AO32" s="42"/>
      <c r="AP32" s="42"/>
      <c r="AQ32" s="42"/>
      <c r="AR32" s="42"/>
      <c r="AS32" s="42"/>
      <c r="AT32" s="41"/>
      <c r="AU32" s="42"/>
      <c r="AV32" s="42"/>
      <c r="AW32" s="42"/>
      <c r="AX32" s="42"/>
      <c r="AY32" s="43"/>
      <c r="AZ32" s="35"/>
      <c r="BA32" s="36"/>
      <c r="BB32" s="36"/>
      <c r="BC32" s="36"/>
      <c r="BD32" s="36"/>
      <c r="BE32" s="36"/>
      <c r="BF32" s="36"/>
      <c r="BG32" s="36"/>
      <c r="BH32" s="36">
        <v>1</v>
      </c>
      <c r="BI32" s="36"/>
      <c r="BJ32" s="36"/>
      <c r="BK32" s="36"/>
      <c r="BL32" s="36"/>
      <c r="BM32" s="36"/>
      <c r="BN32" s="36">
        <v>1</v>
      </c>
      <c r="BO32" s="36"/>
      <c r="BP32" s="36"/>
      <c r="BQ32" s="36"/>
      <c r="BR32" s="36"/>
      <c r="BS32" s="36"/>
      <c r="BT32" s="36">
        <v>1</v>
      </c>
      <c r="BU32" s="36"/>
      <c r="BV32" s="36"/>
      <c r="BW32" s="36"/>
      <c r="BX32" s="36"/>
      <c r="BY32" s="36"/>
      <c r="BZ32" s="35"/>
      <c r="CA32" s="36">
        <f t="shared" si="1"/>
        <v>0</v>
      </c>
      <c r="CB32" s="36">
        <f t="shared" si="2"/>
        <v>0</v>
      </c>
      <c r="CC32" s="36">
        <f t="shared" si="3"/>
        <v>0</v>
      </c>
      <c r="CD32" s="36">
        <f t="shared" si="4"/>
        <v>0</v>
      </c>
      <c r="CE32" s="36">
        <f t="shared" si="5"/>
        <v>0</v>
      </c>
      <c r="CF32" s="36">
        <f t="shared" si="6"/>
        <v>0</v>
      </c>
      <c r="CG32" s="36">
        <f t="shared" si="7"/>
        <v>0</v>
      </c>
      <c r="CH32" s="36">
        <f t="shared" si="8"/>
        <v>0</v>
      </c>
      <c r="CI32" s="36">
        <f t="shared" si="9"/>
        <v>0</v>
      </c>
      <c r="CJ32" s="36">
        <f t="shared" si="10"/>
        <v>0</v>
      </c>
      <c r="CK32" s="36">
        <f t="shared" si="11"/>
        <v>0</v>
      </c>
      <c r="CL32" s="36">
        <f t="shared" si="12"/>
        <v>0</v>
      </c>
      <c r="CM32" s="36">
        <f t="shared" si="13"/>
        <v>0</v>
      </c>
      <c r="CN32" s="36">
        <f t="shared" si="14"/>
        <v>0</v>
      </c>
      <c r="CO32" s="36">
        <f t="shared" si="15"/>
        <v>0</v>
      </c>
      <c r="CP32" s="36">
        <f t="shared" si="16"/>
        <v>0</v>
      </c>
      <c r="CQ32" s="36">
        <f t="shared" si="17"/>
        <v>0</v>
      </c>
      <c r="CR32" s="36">
        <f t="shared" si="18"/>
        <v>0</v>
      </c>
      <c r="CS32" s="36">
        <f t="shared" si="19"/>
        <v>0</v>
      </c>
      <c r="CT32" s="36">
        <f t="shared" si="20"/>
        <v>0</v>
      </c>
      <c r="CU32" s="36">
        <f t="shared" si="21"/>
        <v>0</v>
      </c>
      <c r="CV32" s="36">
        <f t="shared" si="22"/>
        <v>0</v>
      </c>
      <c r="CW32" s="36">
        <f t="shared" si="23"/>
        <v>0</v>
      </c>
      <c r="CX32" s="36">
        <f t="shared" si="24"/>
        <v>0</v>
      </c>
      <c r="CY32" s="36">
        <f t="shared" si="25"/>
        <v>0</v>
      </c>
      <c r="CZ32" s="36"/>
      <c r="DA32" s="36">
        <f t="shared" si="27"/>
        <v>0</v>
      </c>
      <c r="DB32" s="36">
        <f t="shared" si="28"/>
        <v>0</v>
      </c>
      <c r="DC32" s="36">
        <f t="shared" si="29"/>
        <v>0</v>
      </c>
      <c r="DD32" s="36">
        <f t="shared" si="30"/>
        <v>0</v>
      </c>
      <c r="DE32" s="36">
        <f t="shared" si="31"/>
        <v>0</v>
      </c>
      <c r="DF32" s="36">
        <f t="shared" si="32"/>
        <v>0</v>
      </c>
      <c r="DG32" s="36">
        <f t="shared" si="33"/>
        <v>0</v>
      </c>
      <c r="DH32" s="36">
        <f t="shared" si="34"/>
        <v>0</v>
      </c>
      <c r="DI32" s="36">
        <f t="shared" si="35"/>
        <v>0</v>
      </c>
      <c r="DJ32" s="36">
        <f t="shared" si="36"/>
        <v>0</v>
      </c>
      <c r="DK32" s="36">
        <f t="shared" si="37"/>
        <v>0</v>
      </c>
      <c r="DL32" s="36">
        <f t="shared" si="38"/>
        <v>0</v>
      </c>
      <c r="DM32" s="36">
        <f t="shared" si="39"/>
        <v>0</v>
      </c>
      <c r="DN32" s="36">
        <f t="shared" si="40"/>
        <v>0</v>
      </c>
      <c r="DO32" s="36">
        <f t="shared" si="41"/>
        <v>0</v>
      </c>
      <c r="DP32" s="36">
        <f t="shared" si="42"/>
        <v>0</v>
      </c>
      <c r="DQ32" s="36">
        <f t="shared" si="43"/>
        <v>0</v>
      </c>
      <c r="DR32" s="36">
        <f t="shared" si="44"/>
        <v>0</v>
      </c>
      <c r="DS32" s="36">
        <f t="shared" si="45"/>
        <v>0</v>
      </c>
      <c r="DT32" s="36">
        <f t="shared" si="46"/>
        <v>0</v>
      </c>
      <c r="DU32" s="36">
        <f t="shared" si="47"/>
        <v>0</v>
      </c>
      <c r="DV32" s="36">
        <f t="shared" si="48"/>
        <v>0</v>
      </c>
      <c r="DW32" s="36">
        <f t="shared" si="49"/>
        <v>0</v>
      </c>
      <c r="DX32" s="36">
        <f t="shared" si="50"/>
        <v>0</v>
      </c>
      <c r="DY32" s="36">
        <f t="shared" si="51"/>
        <v>0</v>
      </c>
      <c r="DZ32" s="36"/>
    </row>
    <row r="33" spans="1:130" x14ac:dyDescent="0.25">
      <c r="A33" s="17"/>
      <c r="B33" s="324" t="s">
        <v>371</v>
      </c>
      <c r="C33" s="323"/>
      <c r="D33" s="323"/>
      <c r="E33" s="323"/>
      <c r="F33" s="323"/>
      <c r="G33" s="323"/>
      <c r="H33" s="323"/>
      <c r="I33" s="323"/>
      <c r="J33" s="323"/>
      <c r="K33" s="323"/>
      <c r="L33" s="323"/>
      <c r="M33" s="323"/>
      <c r="N33" s="323"/>
      <c r="O33" s="323"/>
      <c r="P33" s="323"/>
      <c r="Q33" s="323"/>
      <c r="R33" s="323"/>
      <c r="S33" s="323"/>
      <c r="T33" s="323"/>
      <c r="U33" s="323"/>
      <c r="V33" s="323"/>
      <c r="W33" s="323"/>
      <c r="X33" s="323"/>
      <c r="Y33" s="119"/>
      <c r="Z33" s="34">
        <v>30</v>
      </c>
      <c r="AA33" s="44"/>
      <c r="AB33" s="42"/>
      <c r="AC33" s="42"/>
      <c r="AD33" s="42"/>
      <c r="AE33" s="41"/>
      <c r="AF33" s="42"/>
      <c r="AG33" s="42"/>
      <c r="AH33" s="41"/>
      <c r="AI33" s="42"/>
      <c r="AJ33" s="42"/>
      <c r="AK33" s="41"/>
      <c r="AL33" s="42"/>
      <c r="AM33" s="42"/>
      <c r="AN33" s="42"/>
      <c r="AO33" s="41"/>
      <c r="AP33" s="41"/>
      <c r="AQ33" s="42"/>
      <c r="AR33" s="41"/>
      <c r="AS33" s="42"/>
      <c r="AT33" s="42"/>
      <c r="AU33" s="41"/>
      <c r="AV33" s="42"/>
      <c r="AW33" s="42"/>
      <c r="AX33" s="42"/>
      <c r="AY33" s="45"/>
      <c r="AZ33" s="35"/>
      <c r="BA33" s="36">
        <v>1</v>
      </c>
      <c r="BB33" s="36"/>
      <c r="BC33" s="36"/>
      <c r="BD33" s="36"/>
      <c r="BE33" s="36">
        <v>1</v>
      </c>
      <c r="BF33" s="36"/>
      <c r="BG33" s="36"/>
      <c r="BH33" s="36">
        <v>1</v>
      </c>
      <c r="BI33" s="36"/>
      <c r="BJ33" s="36"/>
      <c r="BK33" s="36">
        <v>1</v>
      </c>
      <c r="BL33" s="36"/>
      <c r="BM33" s="36"/>
      <c r="BN33" s="36"/>
      <c r="BO33" s="36">
        <v>1</v>
      </c>
      <c r="BP33" s="36">
        <v>1</v>
      </c>
      <c r="BQ33" s="36"/>
      <c r="BR33" s="36">
        <v>1</v>
      </c>
      <c r="BS33" s="36"/>
      <c r="BT33" s="36"/>
      <c r="BU33" s="36">
        <v>1</v>
      </c>
      <c r="BV33" s="36"/>
      <c r="BW33" s="36"/>
      <c r="BX33" s="36"/>
      <c r="BY33" s="36">
        <v>1</v>
      </c>
      <c r="BZ33" s="35"/>
      <c r="CA33" s="36">
        <f t="shared" si="1"/>
        <v>0</v>
      </c>
      <c r="CB33" s="36">
        <f t="shared" si="2"/>
        <v>0</v>
      </c>
      <c r="CC33" s="36">
        <f t="shared" si="3"/>
        <v>0</v>
      </c>
      <c r="CD33" s="36">
        <f t="shared" si="4"/>
        <v>0</v>
      </c>
      <c r="CE33" s="36">
        <f t="shared" si="5"/>
        <v>0</v>
      </c>
      <c r="CF33" s="36">
        <f t="shared" si="6"/>
        <v>0</v>
      </c>
      <c r="CG33" s="36">
        <f t="shared" si="7"/>
        <v>0</v>
      </c>
      <c r="CH33" s="36">
        <f t="shared" si="8"/>
        <v>0</v>
      </c>
      <c r="CI33" s="36">
        <f t="shared" si="9"/>
        <v>0</v>
      </c>
      <c r="CJ33" s="36">
        <f t="shared" si="10"/>
        <v>0</v>
      </c>
      <c r="CK33" s="36">
        <f t="shared" si="11"/>
        <v>0</v>
      </c>
      <c r="CL33" s="36">
        <f t="shared" si="12"/>
        <v>0</v>
      </c>
      <c r="CM33" s="36">
        <f t="shared" si="13"/>
        <v>0</v>
      </c>
      <c r="CN33" s="36">
        <f t="shared" si="14"/>
        <v>0</v>
      </c>
      <c r="CO33" s="36">
        <f t="shared" si="15"/>
        <v>0</v>
      </c>
      <c r="CP33" s="36">
        <f t="shared" si="16"/>
        <v>0</v>
      </c>
      <c r="CQ33" s="36">
        <f t="shared" si="17"/>
        <v>0</v>
      </c>
      <c r="CR33" s="36">
        <f t="shared" si="18"/>
        <v>0</v>
      </c>
      <c r="CS33" s="36">
        <f t="shared" si="19"/>
        <v>0</v>
      </c>
      <c r="CT33" s="36">
        <f t="shared" si="20"/>
        <v>0</v>
      </c>
      <c r="CU33" s="36">
        <f t="shared" si="21"/>
        <v>0</v>
      </c>
      <c r="CV33" s="36">
        <f t="shared" si="22"/>
        <v>0</v>
      </c>
      <c r="CW33" s="36">
        <f t="shared" si="23"/>
        <v>0</v>
      </c>
      <c r="CX33" s="36">
        <f t="shared" si="24"/>
        <v>0</v>
      </c>
      <c r="CY33" s="36">
        <f t="shared" si="25"/>
        <v>0</v>
      </c>
      <c r="CZ33" s="36"/>
      <c r="DA33" s="36">
        <f t="shared" si="27"/>
        <v>0</v>
      </c>
      <c r="DB33" s="36">
        <f t="shared" si="28"/>
        <v>0</v>
      </c>
      <c r="DC33" s="36">
        <f t="shared" si="29"/>
        <v>0</v>
      </c>
      <c r="DD33" s="36">
        <f t="shared" si="30"/>
        <v>0</v>
      </c>
      <c r="DE33" s="36">
        <f t="shared" si="31"/>
        <v>0</v>
      </c>
      <c r="DF33" s="36">
        <f t="shared" si="32"/>
        <v>0</v>
      </c>
      <c r="DG33" s="36">
        <f t="shared" si="33"/>
        <v>0</v>
      </c>
      <c r="DH33" s="36">
        <f t="shared" si="34"/>
        <v>0</v>
      </c>
      <c r="DI33" s="36">
        <f t="shared" si="35"/>
        <v>0</v>
      </c>
      <c r="DJ33" s="36">
        <f t="shared" si="36"/>
        <v>0</v>
      </c>
      <c r="DK33" s="36">
        <f t="shared" si="37"/>
        <v>0</v>
      </c>
      <c r="DL33" s="36">
        <f t="shared" si="38"/>
        <v>0</v>
      </c>
      <c r="DM33" s="36">
        <f t="shared" si="39"/>
        <v>0</v>
      </c>
      <c r="DN33" s="36">
        <f t="shared" si="40"/>
        <v>0</v>
      </c>
      <c r="DO33" s="36">
        <f t="shared" si="41"/>
        <v>0</v>
      </c>
      <c r="DP33" s="36">
        <f t="shared" si="42"/>
        <v>0</v>
      </c>
      <c r="DQ33" s="36">
        <f t="shared" si="43"/>
        <v>0</v>
      </c>
      <c r="DR33" s="36">
        <f t="shared" si="44"/>
        <v>0</v>
      </c>
      <c r="DS33" s="36">
        <f t="shared" si="45"/>
        <v>0</v>
      </c>
      <c r="DT33" s="36">
        <f t="shared" si="46"/>
        <v>0</v>
      </c>
      <c r="DU33" s="36">
        <f t="shared" si="47"/>
        <v>0</v>
      </c>
      <c r="DV33" s="36">
        <f t="shared" si="48"/>
        <v>0</v>
      </c>
      <c r="DW33" s="36">
        <f t="shared" si="49"/>
        <v>0</v>
      </c>
      <c r="DX33" s="36">
        <f t="shared" si="50"/>
        <v>0</v>
      </c>
      <c r="DY33" s="36">
        <f t="shared" si="51"/>
        <v>0</v>
      </c>
      <c r="DZ33" s="36"/>
    </row>
    <row r="34" spans="1:130" x14ac:dyDescent="0.25">
      <c r="A34" s="17"/>
      <c r="B34" s="324" t="s">
        <v>148</v>
      </c>
      <c r="C34" s="323"/>
      <c r="D34" s="323"/>
      <c r="E34" s="323"/>
      <c r="F34" s="323"/>
      <c r="G34" s="323"/>
      <c r="H34" s="323"/>
      <c r="I34" s="323"/>
      <c r="J34" s="323"/>
      <c r="K34" s="323"/>
      <c r="L34" s="323"/>
      <c r="M34" s="323"/>
      <c r="N34" s="323"/>
      <c r="O34" s="323"/>
      <c r="P34" s="323"/>
      <c r="Q34" s="323"/>
      <c r="R34" s="323"/>
      <c r="S34" s="323"/>
      <c r="T34" s="323"/>
      <c r="U34" s="323"/>
      <c r="V34" s="323"/>
      <c r="W34" s="323"/>
      <c r="X34" s="323"/>
      <c r="Y34" s="119"/>
      <c r="Z34" s="34">
        <v>31</v>
      </c>
      <c r="AA34" s="40"/>
      <c r="AB34" s="42"/>
      <c r="AC34" s="42"/>
      <c r="AD34" s="41"/>
      <c r="AE34" s="42"/>
      <c r="AF34" s="41"/>
      <c r="AG34" s="42"/>
      <c r="AH34" s="42"/>
      <c r="AI34" s="42"/>
      <c r="AJ34" s="42"/>
      <c r="AK34" s="42"/>
      <c r="AL34" s="42"/>
      <c r="AM34" s="42"/>
      <c r="AN34" s="42"/>
      <c r="AO34" s="42"/>
      <c r="AP34" s="42"/>
      <c r="AQ34" s="41"/>
      <c r="AR34" s="42"/>
      <c r="AS34" s="42"/>
      <c r="AT34" s="42"/>
      <c r="AU34" s="42"/>
      <c r="AV34" s="42"/>
      <c r="AW34" s="42"/>
      <c r="AX34" s="41"/>
      <c r="AY34" s="43"/>
      <c r="AZ34" s="35"/>
      <c r="BA34" s="36"/>
      <c r="BB34" s="36"/>
      <c r="BC34" s="36"/>
      <c r="BD34" s="36">
        <v>1</v>
      </c>
      <c r="BE34" s="36"/>
      <c r="BF34" s="36">
        <v>1</v>
      </c>
      <c r="BG34" s="36"/>
      <c r="BH34" s="36"/>
      <c r="BI34" s="36"/>
      <c r="BJ34" s="36"/>
      <c r="BK34" s="36"/>
      <c r="BL34" s="36"/>
      <c r="BM34" s="36"/>
      <c r="BN34" s="36"/>
      <c r="BO34" s="36"/>
      <c r="BP34" s="36"/>
      <c r="BQ34" s="36">
        <v>1</v>
      </c>
      <c r="BR34" s="36"/>
      <c r="BS34" s="36"/>
      <c r="BT34" s="36"/>
      <c r="BU34" s="36"/>
      <c r="BV34" s="36"/>
      <c r="BW34" s="36"/>
      <c r="BX34" s="36">
        <v>1</v>
      </c>
      <c r="BY34" s="36"/>
      <c r="BZ34" s="35"/>
      <c r="CA34" s="36">
        <f t="shared" si="1"/>
        <v>0</v>
      </c>
      <c r="CB34" s="36">
        <f t="shared" si="2"/>
        <v>0</v>
      </c>
      <c r="CC34" s="36">
        <f t="shared" si="3"/>
        <v>0</v>
      </c>
      <c r="CD34" s="36">
        <f t="shared" si="4"/>
        <v>0</v>
      </c>
      <c r="CE34" s="36">
        <f t="shared" si="5"/>
        <v>0</v>
      </c>
      <c r="CF34" s="36">
        <f t="shared" si="6"/>
        <v>0</v>
      </c>
      <c r="CG34" s="36">
        <f t="shared" si="7"/>
        <v>0</v>
      </c>
      <c r="CH34" s="36">
        <f t="shared" si="8"/>
        <v>0</v>
      </c>
      <c r="CI34" s="36">
        <f t="shared" si="9"/>
        <v>0</v>
      </c>
      <c r="CJ34" s="36">
        <f t="shared" si="10"/>
        <v>0</v>
      </c>
      <c r="CK34" s="36">
        <f t="shared" si="11"/>
        <v>0</v>
      </c>
      <c r="CL34" s="36">
        <f t="shared" si="12"/>
        <v>0</v>
      </c>
      <c r="CM34" s="36">
        <f t="shared" si="13"/>
        <v>0</v>
      </c>
      <c r="CN34" s="36">
        <f t="shared" si="14"/>
        <v>0</v>
      </c>
      <c r="CO34" s="36">
        <f t="shared" si="15"/>
        <v>0</v>
      </c>
      <c r="CP34" s="36">
        <f t="shared" si="16"/>
        <v>0</v>
      </c>
      <c r="CQ34" s="36">
        <f t="shared" si="17"/>
        <v>0</v>
      </c>
      <c r="CR34" s="36">
        <f t="shared" si="18"/>
        <v>0</v>
      </c>
      <c r="CS34" s="36">
        <f t="shared" si="19"/>
        <v>0</v>
      </c>
      <c r="CT34" s="36">
        <f t="shared" si="20"/>
        <v>0</v>
      </c>
      <c r="CU34" s="36">
        <f t="shared" si="21"/>
        <v>0</v>
      </c>
      <c r="CV34" s="36">
        <f t="shared" si="22"/>
        <v>0</v>
      </c>
      <c r="CW34" s="36">
        <f t="shared" si="23"/>
        <v>0</v>
      </c>
      <c r="CX34" s="36">
        <f t="shared" si="24"/>
        <v>0</v>
      </c>
      <c r="CY34" s="36">
        <f t="shared" si="25"/>
        <v>0</v>
      </c>
      <c r="CZ34" s="36"/>
      <c r="DA34" s="36">
        <f t="shared" si="27"/>
        <v>0</v>
      </c>
      <c r="DB34" s="36">
        <f t="shared" si="28"/>
        <v>0</v>
      </c>
      <c r="DC34" s="36">
        <f t="shared" si="29"/>
        <v>0</v>
      </c>
      <c r="DD34" s="36">
        <f t="shared" si="30"/>
        <v>0</v>
      </c>
      <c r="DE34" s="36">
        <f t="shared" si="31"/>
        <v>0</v>
      </c>
      <c r="DF34" s="36">
        <f t="shared" si="32"/>
        <v>0</v>
      </c>
      <c r="DG34" s="36">
        <f t="shared" si="33"/>
        <v>0</v>
      </c>
      <c r="DH34" s="36">
        <f t="shared" si="34"/>
        <v>0</v>
      </c>
      <c r="DI34" s="36">
        <f t="shared" si="35"/>
        <v>0</v>
      </c>
      <c r="DJ34" s="36">
        <f t="shared" si="36"/>
        <v>0</v>
      </c>
      <c r="DK34" s="36">
        <f t="shared" si="37"/>
        <v>0</v>
      </c>
      <c r="DL34" s="36">
        <f t="shared" si="38"/>
        <v>0</v>
      </c>
      <c r="DM34" s="36">
        <f t="shared" si="39"/>
        <v>0</v>
      </c>
      <c r="DN34" s="36">
        <f t="shared" si="40"/>
        <v>0</v>
      </c>
      <c r="DO34" s="36">
        <f t="shared" si="41"/>
        <v>0</v>
      </c>
      <c r="DP34" s="36">
        <f t="shared" si="42"/>
        <v>0</v>
      </c>
      <c r="DQ34" s="36">
        <f t="shared" si="43"/>
        <v>0</v>
      </c>
      <c r="DR34" s="36">
        <f t="shared" si="44"/>
        <v>0</v>
      </c>
      <c r="DS34" s="36">
        <f t="shared" si="45"/>
        <v>0</v>
      </c>
      <c r="DT34" s="36">
        <f t="shared" si="46"/>
        <v>0</v>
      </c>
      <c r="DU34" s="36">
        <f t="shared" si="47"/>
        <v>0</v>
      </c>
      <c r="DV34" s="36">
        <f t="shared" si="48"/>
        <v>0</v>
      </c>
      <c r="DW34" s="36">
        <f t="shared" si="49"/>
        <v>0</v>
      </c>
      <c r="DX34" s="36">
        <f t="shared" si="50"/>
        <v>0</v>
      </c>
      <c r="DY34" s="36">
        <f t="shared" si="51"/>
        <v>0</v>
      </c>
      <c r="DZ34" s="36"/>
    </row>
    <row r="35" spans="1:130" x14ac:dyDescent="0.25">
      <c r="A35" s="17"/>
      <c r="B35" s="324" t="s">
        <v>149</v>
      </c>
      <c r="C35" s="323"/>
      <c r="D35" s="323"/>
      <c r="E35" s="323"/>
      <c r="F35" s="323"/>
      <c r="G35" s="323"/>
      <c r="H35" s="323"/>
      <c r="I35" s="323"/>
      <c r="J35" s="323"/>
      <c r="K35" s="323"/>
      <c r="L35" s="323"/>
      <c r="M35" s="323"/>
      <c r="N35" s="323"/>
      <c r="O35" s="323"/>
      <c r="P35" s="323"/>
      <c r="Q35" s="323"/>
      <c r="R35" s="323"/>
      <c r="S35" s="323"/>
      <c r="T35" s="323"/>
      <c r="U35" s="323"/>
      <c r="V35" s="323"/>
      <c r="W35" s="323"/>
      <c r="X35" s="323"/>
      <c r="Y35" s="119"/>
      <c r="Z35" s="34">
        <v>32</v>
      </c>
      <c r="AA35" s="44"/>
      <c r="AB35" s="42"/>
      <c r="AC35" s="42"/>
      <c r="AD35" s="42"/>
      <c r="AE35" s="42"/>
      <c r="AF35" s="42"/>
      <c r="AG35" s="42"/>
      <c r="AH35" s="42"/>
      <c r="AI35" s="41"/>
      <c r="AJ35" s="42"/>
      <c r="AK35" s="42"/>
      <c r="AL35" s="41"/>
      <c r="AM35" s="42"/>
      <c r="AN35" s="42"/>
      <c r="AO35" s="41"/>
      <c r="AP35" s="42"/>
      <c r="AQ35" s="42"/>
      <c r="AR35" s="42"/>
      <c r="AS35" s="41"/>
      <c r="AT35" s="42"/>
      <c r="AU35" s="41"/>
      <c r="AV35" s="41"/>
      <c r="AW35" s="41"/>
      <c r="AX35" s="42"/>
      <c r="AY35" s="43"/>
      <c r="AZ35" s="35"/>
      <c r="BA35" s="36">
        <v>1</v>
      </c>
      <c r="BB35" s="36"/>
      <c r="BC35" s="36"/>
      <c r="BD35" s="36"/>
      <c r="BE35" s="36"/>
      <c r="BF35" s="36"/>
      <c r="BG35" s="36"/>
      <c r="BH35" s="36"/>
      <c r="BI35" s="36">
        <v>1</v>
      </c>
      <c r="BJ35" s="36"/>
      <c r="BK35" s="36"/>
      <c r="BL35" s="36">
        <v>1</v>
      </c>
      <c r="BM35" s="36"/>
      <c r="BN35" s="36"/>
      <c r="BO35" s="36">
        <v>1</v>
      </c>
      <c r="BP35" s="36"/>
      <c r="BQ35" s="36"/>
      <c r="BR35" s="36"/>
      <c r="BS35" s="36">
        <v>1</v>
      </c>
      <c r="BT35" s="36"/>
      <c r="BU35" s="36">
        <v>1</v>
      </c>
      <c r="BV35" s="36">
        <v>1</v>
      </c>
      <c r="BW35" s="36">
        <v>1</v>
      </c>
      <c r="BX35" s="36"/>
      <c r="BY35" s="36"/>
      <c r="BZ35" s="35"/>
      <c r="CA35" s="36">
        <f t="shared" si="1"/>
        <v>0</v>
      </c>
      <c r="CB35" s="36">
        <f t="shared" si="2"/>
        <v>0</v>
      </c>
      <c r="CC35" s="36">
        <f t="shared" si="3"/>
        <v>0</v>
      </c>
      <c r="CD35" s="36">
        <f t="shared" si="4"/>
        <v>0</v>
      </c>
      <c r="CE35" s="36">
        <f t="shared" si="5"/>
        <v>0</v>
      </c>
      <c r="CF35" s="36">
        <f t="shared" si="6"/>
        <v>0</v>
      </c>
      <c r="CG35" s="36">
        <f t="shared" si="7"/>
        <v>0</v>
      </c>
      <c r="CH35" s="36">
        <f t="shared" si="8"/>
        <v>0</v>
      </c>
      <c r="CI35" s="36">
        <f t="shared" si="9"/>
        <v>0</v>
      </c>
      <c r="CJ35" s="36">
        <f t="shared" si="10"/>
        <v>0</v>
      </c>
      <c r="CK35" s="36">
        <f t="shared" si="11"/>
        <v>0</v>
      </c>
      <c r="CL35" s="36">
        <f t="shared" si="12"/>
        <v>0</v>
      </c>
      <c r="CM35" s="36">
        <f t="shared" si="13"/>
        <v>0</v>
      </c>
      <c r="CN35" s="36">
        <f t="shared" si="14"/>
        <v>0</v>
      </c>
      <c r="CO35" s="36">
        <f t="shared" si="15"/>
        <v>0</v>
      </c>
      <c r="CP35" s="36">
        <f t="shared" si="16"/>
        <v>0</v>
      </c>
      <c r="CQ35" s="36">
        <f t="shared" si="17"/>
        <v>0</v>
      </c>
      <c r="CR35" s="36">
        <f t="shared" si="18"/>
        <v>0</v>
      </c>
      <c r="CS35" s="36">
        <f t="shared" si="19"/>
        <v>0</v>
      </c>
      <c r="CT35" s="36">
        <f t="shared" si="20"/>
        <v>0</v>
      </c>
      <c r="CU35" s="36">
        <f t="shared" si="21"/>
        <v>0</v>
      </c>
      <c r="CV35" s="36">
        <f t="shared" si="22"/>
        <v>0</v>
      </c>
      <c r="CW35" s="36">
        <f t="shared" si="23"/>
        <v>0</v>
      </c>
      <c r="CX35" s="36">
        <f t="shared" si="24"/>
        <v>0</v>
      </c>
      <c r="CY35" s="36">
        <f t="shared" si="25"/>
        <v>0</v>
      </c>
      <c r="CZ35" s="36"/>
      <c r="DA35" s="36">
        <f t="shared" si="27"/>
        <v>0</v>
      </c>
      <c r="DB35" s="36">
        <f t="shared" si="28"/>
        <v>0</v>
      </c>
      <c r="DC35" s="36">
        <f t="shared" si="29"/>
        <v>0</v>
      </c>
      <c r="DD35" s="36">
        <f t="shared" si="30"/>
        <v>0</v>
      </c>
      <c r="DE35" s="36">
        <f t="shared" si="31"/>
        <v>0</v>
      </c>
      <c r="DF35" s="36">
        <f t="shared" si="32"/>
        <v>0</v>
      </c>
      <c r="DG35" s="36">
        <f t="shared" si="33"/>
        <v>0</v>
      </c>
      <c r="DH35" s="36">
        <f t="shared" si="34"/>
        <v>0</v>
      </c>
      <c r="DI35" s="36">
        <f t="shared" si="35"/>
        <v>0</v>
      </c>
      <c r="DJ35" s="36">
        <f t="shared" si="36"/>
        <v>0</v>
      </c>
      <c r="DK35" s="36">
        <f t="shared" si="37"/>
        <v>0</v>
      </c>
      <c r="DL35" s="36">
        <f t="shared" si="38"/>
        <v>0</v>
      </c>
      <c r="DM35" s="36">
        <f t="shared" si="39"/>
        <v>0</v>
      </c>
      <c r="DN35" s="36">
        <f t="shared" si="40"/>
        <v>0</v>
      </c>
      <c r="DO35" s="36">
        <f t="shared" si="41"/>
        <v>0</v>
      </c>
      <c r="DP35" s="36">
        <f t="shared" si="42"/>
        <v>0</v>
      </c>
      <c r="DQ35" s="36">
        <f t="shared" si="43"/>
        <v>0</v>
      </c>
      <c r="DR35" s="36">
        <f t="shared" si="44"/>
        <v>0</v>
      </c>
      <c r="DS35" s="36">
        <f t="shared" si="45"/>
        <v>0</v>
      </c>
      <c r="DT35" s="36">
        <f t="shared" si="46"/>
        <v>0</v>
      </c>
      <c r="DU35" s="36">
        <f t="shared" si="47"/>
        <v>0</v>
      </c>
      <c r="DV35" s="36">
        <f t="shared" si="48"/>
        <v>0</v>
      </c>
      <c r="DW35" s="36">
        <f t="shared" si="49"/>
        <v>0</v>
      </c>
      <c r="DX35" s="36">
        <f t="shared" si="50"/>
        <v>0</v>
      </c>
      <c r="DY35" s="36">
        <f t="shared" si="51"/>
        <v>0</v>
      </c>
      <c r="DZ35" s="36"/>
    </row>
    <row r="36" spans="1:130" x14ac:dyDescent="0.25">
      <c r="A36" s="17"/>
      <c r="B36" s="22"/>
      <c r="C36" s="22"/>
      <c r="D36" s="22"/>
      <c r="E36" s="50"/>
      <c r="F36" s="50"/>
      <c r="G36" s="50"/>
      <c r="H36" s="50"/>
      <c r="I36" s="22"/>
      <c r="J36" s="50"/>
      <c r="K36" s="50"/>
      <c r="L36" s="50"/>
      <c r="M36" s="50"/>
      <c r="N36" s="22"/>
      <c r="O36" s="6"/>
      <c r="P36" s="6"/>
      <c r="Q36" s="6"/>
      <c r="R36" s="6"/>
      <c r="S36" s="6"/>
      <c r="T36" s="6"/>
      <c r="U36" s="6"/>
      <c r="V36" s="6"/>
      <c r="W36" s="6"/>
      <c r="X36" s="6"/>
      <c r="Y36" s="119"/>
      <c r="Z36" s="34">
        <v>33</v>
      </c>
      <c r="AA36" s="40"/>
      <c r="AB36" s="42"/>
      <c r="AC36" s="42"/>
      <c r="AD36" s="41"/>
      <c r="AE36" s="41"/>
      <c r="AF36" s="42"/>
      <c r="AG36" s="42"/>
      <c r="AH36" s="41"/>
      <c r="AI36" s="42"/>
      <c r="AJ36" s="42"/>
      <c r="AK36" s="41"/>
      <c r="AL36" s="42"/>
      <c r="AM36" s="41"/>
      <c r="AN36" s="42"/>
      <c r="AO36" s="42"/>
      <c r="AP36" s="42"/>
      <c r="AQ36" s="42"/>
      <c r="AR36" s="41"/>
      <c r="AS36" s="42"/>
      <c r="AT36" s="42"/>
      <c r="AU36" s="41"/>
      <c r="AV36" s="42"/>
      <c r="AW36" s="42"/>
      <c r="AX36" s="41"/>
      <c r="AY36" s="43"/>
      <c r="AZ36" s="35"/>
      <c r="BA36" s="36"/>
      <c r="BB36" s="36"/>
      <c r="BC36" s="36"/>
      <c r="BD36" s="36">
        <v>1</v>
      </c>
      <c r="BE36" s="36">
        <v>1</v>
      </c>
      <c r="BF36" s="36"/>
      <c r="BG36" s="36"/>
      <c r="BH36" s="36">
        <v>1</v>
      </c>
      <c r="BI36" s="36"/>
      <c r="BJ36" s="36"/>
      <c r="BK36" s="36">
        <v>1</v>
      </c>
      <c r="BL36" s="36"/>
      <c r="BM36" s="36">
        <v>1</v>
      </c>
      <c r="BN36" s="36"/>
      <c r="BO36" s="36"/>
      <c r="BP36" s="36"/>
      <c r="BQ36" s="36"/>
      <c r="BR36" s="36">
        <v>1</v>
      </c>
      <c r="BS36" s="36"/>
      <c r="BT36" s="36"/>
      <c r="BU36" s="36">
        <v>1</v>
      </c>
      <c r="BV36" s="36"/>
      <c r="BW36" s="36"/>
      <c r="BX36" s="36">
        <v>1</v>
      </c>
      <c r="BY36" s="36"/>
      <c r="BZ36" s="35"/>
      <c r="CA36" s="36">
        <f t="shared" si="1"/>
        <v>0</v>
      </c>
      <c r="CB36" s="36">
        <f t="shared" si="2"/>
        <v>0</v>
      </c>
      <c r="CC36" s="36">
        <f t="shared" si="3"/>
        <v>0</v>
      </c>
      <c r="CD36" s="36">
        <f t="shared" si="4"/>
        <v>0</v>
      </c>
      <c r="CE36" s="36">
        <f t="shared" si="5"/>
        <v>0</v>
      </c>
      <c r="CF36" s="36">
        <f t="shared" si="6"/>
        <v>0</v>
      </c>
      <c r="CG36" s="36">
        <f t="shared" si="7"/>
        <v>0</v>
      </c>
      <c r="CH36" s="36">
        <f t="shared" si="8"/>
        <v>0</v>
      </c>
      <c r="CI36" s="36">
        <f t="shared" si="9"/>
        <v>0</v>
      </c>
      <c r="CJ36" s="36">
        <f t="shared" si="10"/>
        <v>0</v>
      </c>
      <c r="CK36" s="36">
        <f t="shared" si="11"/>
        <v>0</v>
      </c>
      <c r="CL36" s="36">
        <f t="shared" si="12"/>
        <v>0</v>
      </c>
      <c r="CM36" s="36">
        <f t="shared" si="13"/>
        <v>0</v>
      </c>
      <c r="CN36" s="36">
        <f t="shared" si="14"/>
        <v>0</v>
      </c>
      <c r="CO36" s="36">
        <f t="shared" si="15"/>
        <v>0</v>
      </c>
      <c r="CP36" s="36">
        <f t="shared" si="16"/>
        <v>0</v>
      </c>
      <c r="CQ36" s="36">
        <f t="shared" si="17"/>
        <v>0</v>
      </c>
      <c r="CR36" s="36">
        <f t="shared" si="18"/>
        <v>0</v>
      </c>
      <c r="CS36" s="36">
        <f t="shared" si="19"/>
        <v>0</v>
      </c>
      <c r="CT36" s="36">
        <f t="shared" si="20"/>
        <v>0</v>
      </c>
      <c r="CU36" s="36">
        <f t="shared" si="21"/>
        <v>0</v>
      </c>
      <c r="CV36" s="36">
        <f t="shared" si="22"/>
        <v>0</v>
      </c>
      <c r="CW36" s="36">
        <f t="shared" si="23"/>
        <v>0</v>
      </c>
      <c r="CX36" s="36">
        <f t="shared" si="24"/>
        <v>0</v>
      </c>
      <c r="CY36" s="36">
        <f t="shared" si="25"/>
        <v>0</v>
      </c>
      <c r="CZ36" s="36"/>
      <c r="DA36" s="36">
        <f t="shared" si="27"/>
        <v>0</v>
      </c>
      <c r="DB36" s="36">
        <f t="shared" si="28"/>
        <v>0</v>
      </c>
      <c r="DC36" s="36">
        <f t="shared" si="29"/>
        <v>0</v>
      </c>
      <c r="DD36" s="36">
        <f t="shared" si="30"/>
        <v>0</v>
      </c>
      <c r="DE36" s="36">
        <f t="shared" si="31"/>
        <v>0</v>
      </c>
      <c r="DF36" s="36">
        <f t="shared" si="32"/>
        <v>0</v>
      </c>
      <c r="DG36" s="36">
        <f t="shared" si="33"/>
        <v>0</v>
      </c>
      <c r="DH36" s="36">
        <f t="shared" si="34"/>
        <v>0</v>
      </c>
      <c r="DI36" s="36">
        <f t="shared" si="35"/>
        <v>0</v>
      </c>
      <c r="DJ36" s="36">
        <f t="shared" si="36"/>
        <v>0</v>
      </c>
      <c r="DK36" s="36">
        <f t="shared" si="37"/>
        <v>0</v>
      </c>
      <c r="DL36" s="36">
        <f t="shared" si="38"/>
        <v>0</v>
      </c>
      <c r="DM36" s="36">
        <f t="shared" si="39"/>
        <v>0</v>
      </c>
      <c r="DN36" s="36">
        <f t="shared" si="40"/>
        <v>0</v>
      </c>
      <c r="DO36" s="36">
        <f t="shared" si="41"/>
        <v>0</v>
      </c>
      <c r="DP36" s="36">
        <f t="shared" si="42"/>
        <v>0</v>
      </c>
      <c r="DQ36" s="36">
        <f t="shared" si="43"/>
        <v>0</v>
      </c>
      <c r="DR36" s="36">
        <f t="shared" si="44"/>
        <v>0</v>
      </c>
      <c r="DS36" s="36">
        <f t="shared" si="45"/>
        <v>0</v>
      </c>
      <c r="DT36" s="36">
        <f t="shared" si="46"/>
        <v>0</v>
      </c>
      <c r="DU36" s="36">
        <f t="shared" si="47"/>
        <v>0</v>
      </c>
      <c r="DV36" s="36">
        <f t="shared" si="48"/>
        <v>0</v>
      </c>
      <c r="DW36" s="36">
        <f t="shared" si="49"/>
        <v>0</v>
      </c>
      <c r="DX36" s="36">
        <f t="shared" si="50"/>
        <v>0</v>
      </c>
      <c r="DY36" s="36">
        <f t="shared" si="51"/>
        <v>0</v>
      </c>
      <c r="DZ36" s="36"/>
    </row>
    <row r="37" spans="1:130" x14ac:dyDescent="0.25">
      <c r="A37" s="17"/>
      <c r="B37" s="324" t="s">
        <v>370</v>
      </c>
      <c r="C37" s="323"/>
      <c r="D37" s="323"/>
      <c r="E37" s="323"/>
      <c r="F37" s="323"/>
      <c r="G37" s="323"/>
      <c r="H37" s="323"/>
      <c r="I37" s="323"/>
      <c r="J37" s="323"/>
      <c r="K37" s="323"/>
      <c r="L37" s="323"/>
      <c r="M37" s="323"/>
      <c r="N37" s="323"/>
      <c r="O37" s="323"/>
      <c r="P37" s="323"/>
      <c r="Q37" s="323"/>
      <c r="R37" s="323"/>
      <c r="S37" s="323"/>
      <c r="T37" s="323"/>
      <c r="U37" s="323"/>
      <c r="V37" s="323"/>
      <c r="W37" s="323"/>
      <c r="X37" s="323"/>
      <c r="Y37" s="119"/>
      <c r="Z37" s="34">
        <v>34</v>
      </c>
      <c r="AA37" s="40"/>
      <c r="AB37" s="42"/>
      <c r="AC37" s="41"/>
      <c r="AD37" s="42"/>
      <c r="AE37" s="42"/>
      <c r="AF37" s="42"/>
      <c r="AG37" s="42"/>
      <c r="AH37" s="41"/>
      <c r="AI37" s="41"/>
      <c r="AJ37" s="42"/>
      <c r="AK37" s="42"/>
      <c r="AL37" s="42"/>
      <c r="AM37" s="41"/>
      <c r="AN37" s="42"/>
      <c r="AO37" s="42"/>
      <c r="AP37" s="42"/>
      <c r="AQ37" s="41"/>
      <c r="AR37" s="42"/>
      <c r="AS37" s="41"/>
      <c r="AT37" s="42"/>
      <c r="AU37" s="42"/>
      <c r="AV37" s="42"/>
      <c r="AW37" s="41"/>
      <c r="AX37" s="42"/>
      <c r="AY37" s="43"/>
      <c r="AZ37" s="35"/>
      <c r="BA37" s="36"/>
      <c r="BB37" s="36"/>
      <c r="BC37" s="36">
        <v>1</v>
      </c>
      <c r="BD37" s="36"/>
      <c r="BE37" s="36"/>
      <c r="BF37" s="36"/>
      <c r="BG37" s="36"/>
      <c r="BH37" s="36">
        <v>1</v>
      </c>
      <c r="BI37" s="36">
        <v>1</v>
      </c>
      <c r="BJ37" s="36"/>
      <c r="BK37" s="36"/>
      <c r="BL37" s="36"/>
      <c r="BM37" s="36">
        <v>1</v>
      </c>
      <c r="BN37" s="36"/>
      <c r="BO37" s="36"/>
      <c r="BP37" s="36"/>
      <c r="BQ37" s="36">
        <v>1</v>
      </c>
      <c r="BR37" s="36"/>
      <c r="BS37" s="36">
        <v>1</v>
      </c>
      <c r="BT37" s="36"/>
      <c r="BU37" s="36"/>
      <c r="BV37" s="36"/>
      <c r="BW37" s="36">
        <v>1</v>
      </c>
      <c r="BX37" s="36"/>
      <c r="BY37" s="36"/>
      <c r="BZ37" s="35"/>
      <c r="CA37" s="36">
        <f t="shared" si="1"/>
        <v>0</v>
      </c>
      <c r="CB37" s="36">
        <f t="shared" si="2"/>
        <v>0</v>
      </c>
      <c r="CC37" s="36">
        <f t="shared" si="3"/>
        <v>0</v>
      </c>
      <c r="CD37" s="36">
        <f t="shared" si="4"/>
        <v>0</v>
      </c>
      <c r="CE37" s="36">
        <f t="shared" si="5"/>
        <v>0</v>
      </c>
      <c r="CF37" s="36">
        <f t="shared" si="6"/>
        <v>0</v>
      </c>
      <c r="CG37" s="36">
        <f t="shared" si="7"/>
        <v>0</v>
      </c>
      <c r="CH37" s="36">
        <f t="shared" si="8"/>
        <v>0</v>
      </c>
      <c r="CI37" s="36">
        <f t="shared" si="9"/>
        <v>0</v>
      </c>
      <c r="CJ37" s="36">
        <f t="shared" si="10"/>
        <v>0</v>
      </c>
      <c r="CK37" s="36">
        <f t="shared" si="11"/>
        <v>0</v>
      </c>
      <c r="CL37" s="36">
        <f t="shared" si="12"/>
        <v>0</v>
      </c>
      <c r="CM37" s="36">
        <f t="shared" si="13"/>
        <v>0</v>
      </c>
      <c r="CN37" s="36">
        <f t="shared" si="14"/>
        <v>0</v>
      </c>
      <c r="CO37" s="36">
        <f t="shared" si="15"/>
        <v>0</v>
      </c>
      <c r="CP37" s="36">
        <f t="shared" si="16"/>
        <v>0</v>
      </c>
      <c r="CQ37" s="36">
        <f t="shared" si="17"/>
        <v>0</v>
      </c>
      <c r="CR37" s="36">
        <f t="shared" si="18"/>
        <v>0</v>
      </c>
      <c r="CS37" s="36">
        <f t="shared" si="19"/>
        <v>0</v>
      </c>
      <c r="CT37" s="36">
        <f t="shared" si="20"/>
        <v>0</v>
      </c>
      <c r="CU37" s="36">
        <f t="shared" si="21"/>
        <v>0</v>
      </c>
      <c r="CV37" s="36">
        <f t="shared" si="22"/>
        <v>0</v>
      </c>
      <c r="CW37" s="36">
        <f t="shared" si="23"/>
        <v>0</v>
      </c>
      <c r="CX37" s="36">
        <f t="shared" si="24"/>
        <v>0</v>
      </c>
      <c r="CY37" s="36">
        <f t="shared" si="25"/>
        <v>0</v>
      </c>
      <c r="CZ37" s="36"/>
      <c r="DA37" s="36">
        <f t="shared" si="27"/>
        <v>0</v>
      </c>
      <c r="DB37" s="36">
        <f t="shared" si="28"/>
        <v>0</v>
      </c>
      <c r="DC37" s="36">
        <f t="shared" si="29"/>
        <v>0</v>
      </c>
      <c r="DD37" s="36">
        <f t="shared" si="30"/>
        <v>0</v>
      </c>
      <c r="DE37" s="36">
        <f t="shared" si="31"/>
        <v>0</v>
      </c>
      <c r="DF37" s="36">
        <f t="shared" si="32"/>
        <v>0</v>
      </c>
      <c r="DG37" s="36">
        <f t="shared" si="33"/>
        <v>0</v>
      </c>
      <c r="DH37" s="36">
        <f t="shared" si="34"/>
        <v>0</v>
      </c>
      <c r="DI37" s="36">
        <f t="shared" si="35"/>
        <v>0</v>
      </c>
      <c r="DJ37" s="36">
        <f t="shared" si="36"/>
        <v>0</v>
      </c>
      <c r="DK37" s="36">
        <f t="shared" si="37"/>
        <v>0</v>
      </c>
      <c r="DL37" s="36">
        <f t="shared" si="38"/>
        <v>0</v>
      </c>
      <c r="DM37" s="36">
        <f t="shared" si="39"/>
        <v>0</v>
      </c>
      <c r="DN37" s="36">
        <f t="shared" si="40"/>
        <v>0</v>
      </c>
      <c r="DO37" s="36">
        <f t="shared" si="41"/>
        <v>0</v>
      </c>
      <c r="DP37" s="36">
        <f t="shared" si="42"/>
        <v>0</v>
      </c>
      <c r="DQ37" s="36">
        <f t="shared" si="43"/>
        <v>0</v>
      </c>
      <c r="DR37" s="36">
        <f t="shared" si="44"/>
        <v>0</v>
      </c>
      <c r="DS37" s="36">
        <f t="shared" si="45"/>
        <v>0</v>
      </c>
      <c r="DT37" s="36">
        <f t="shared" si="46"/>
        <v>0</v>
      </c>
      <c r="DU37" s="36">
        <f t="shared" si="47"/>
        <v>0</v>
      </c>
      <c r="DV37" s="36">
        <f t="shared" si="48"/>
        <v>0</v>
      </c>
      <c r="DW37" s="36">
        <f t="shared" si="49"/>
        <v>0</v>
      </c>
      <c r="DX37" s="36">
        <f t="shared" si="50"/>
        <v>0</v>
      </c>
      <c r="DY37" s="36">
        <f t="shared" si="51"/>
        <v>0</v>
      </c>
      <c r="DZ37" s="36"/>
    </row>
    <row r="38" spans="1:130" x14ac:dyDescent="0.25">
      <c r="A38" s="17"/>
      <c r="B38" s="324" t="s">
        <v>150</v>
      </c>
      <c r="C38" s="323"/>
      <c r="D38" s="323"/>
      <c r="E38" s="323"/>
      <c r="F38" s="323"/>
      <c r="G38" s="323"/>
      <c r="H38" s="323"/>
      <c r="I38" s="323"/>
      <c r="J38" s="323"/>
      <c r="K38" s="323"/>
      <c r="L38" s="323"/>
      <c r="M38" s="323"/>
      <c r="N38" s="323"/>
      <c r="O38" s="323"/>
      <c r="P38" s="323"/>
      <c r="Q38" s="323"/>
      <c r="R38" s="323"/>
      <c r="S38" s="323"/>
      <c r="T38" s="323"/>
      <c r="U38" s="323"/>
      <c r="V38" s="323"/>
      <c r="W38" s="323"/>
      <c r="X38" s="323"/>
      <c r="Y38" s="119"/>
      <c r="Z38" s="34">
        <v>35</v>
      </c>
      <c r="AA38" s="40"/>
      <c r="AB38" s="42"/>
      <c r="AC38" s="42"/>
      <c r="AD38" s="42"/>
      <c r="AE38" s="42"/>
      <c r="AF38" s="42"/>
      <c r="AG38" s="41"/>
      <c r="AH38" s="42"/>
      <c r="AI38" s="42"/>
      <c r="AJ38" s="42"/>
      <c r="AK38" s="41" t="s">
        <v>397</v>
      </c>
      <c r="AL38" s="42"/>
      <c r="AM38" s="42"/>
      <c r="AN38" s="42"/>
      <c r="AO38" s="41"/>
      <c r="AP38" s="42"/>
      <c r="AQ38" s="42"/>
      <c r="AR38" s="42"/>
      <c r="AS38" s="42"/>
      <c r="AT38" s="42"/>
      <c r="AU38" s="42"/>
      <c r="AV38" s="41"/>
      <c r="AW38" s="42"/>
      <c r="AX38" s="42"/>
      <c r="AY38" s="43"/>
      <c r="AZ38" s="35"/>
      <c r="BA38" s="36"/>
      <c r="BB38" s="36"/>
      <c r="BC38" s="36"/>
      <c r="BD38" s="36"/>
      <c r="BE38" s="36"/>
      <c r="BF38" s="36"/>
      <c r="BG38" s="36">
        <v>1</v>
      </c>
      <c r="BH38" s="36"/>
      <c r="BI38" s="36"/>
      <c r="BJ38" s="36"/>
      <c r="BK38" s="36">
        <v>1</v>
      </c>
      <c r="BL38" s="36"/>
      <c r="BM38" s="36"/>
      <c r="BN38" s="36"/>
      <c r="BO38" s="36">
        <v>1</v>
      </c>
      <c r="BP38" s="36"/>
      <c r="BQ38" s="36"/>
      <c r="BR38" s="36"/>
      <c r="BS38" s="36"/>
      <c r="BT38" s="36"/>
      <c r="BU38" s="36"/>
      <c r="BV38" s="36">
        <v>1</v>
      </c>
      <c r="BW38" s="36"/>
      <c r="BX38" s="36"/>
      <c r="BY38" s="36"/>
      <c r="BZ38" s="35"/>
      <c r="CA38" s="36">
        <f t="shared" si="1"/>
        <v>0</v>
      </c>
      <c r="CB38" s="36">
        <f t="shared" si="2"/>
        <v>0</v>
      </c>
      <c r="CC38" s="36">
        <f t="shared" si="3"/>
        <v>0</v>
      </c>
      <c r="CD38" s="36">
        <f t="shared" si="4"/>
        <v>0</v>
      </c>
      <c r="CE38" s="36">
        <f t="shared" si="5"/>
        <v>0</v>
      </c>
      <c r="CF38" s="36">
        <f t="shared" si="6"/>
        <v>0</v>
      </c>
      <c r="CG38" s="36">
        <f t="shared" si="7"/>
        <v>0</v>
      </c>
      <c r="CH38" s="36">
        <f t="shared" si="8"/>
        <v>0</v>
      </c>
      <c r="CI38" s="36">
        <f t="shared" si="9"/>
        <v>0</v>
      </c>
      <c r="CJ38" s="36">
        <f t="shared" si="10"/>
        <v>0</v>
      </c>
      <c r="CK38" s="36">
        <f t="shared" si="11"/>
        <v>1</v>
      </c>
      <c r="CL38" s="36">
        <f t="shared" si="12"/>
        <v>0</v>
      </c>
      <c r="CM38" s="36">
        <f t="shared" si="13"/>
        <v>0</v>
      </c>
      <c r="CN38" s="36">
        <f t="shared" si="14"/>
        <v>0</v>
      </c>
      <c r="CO38" s="36">
        <f t="shared" si="15"/>
        <v>0</v>
      </c>
      <c r="CP38" s="36">
        <f t="shared" si="16"/>
        <v>0</v>
      </c>
      <c r="CQ38" s="36">
        <f t="shared" si="17"/>
        <v>0</v>
      </c>
      <c r="CR38" s="36">
        <f t="shared" si="18"/>
        <v>0</v>
      </c>
      <c r="CS38" s="36">
        <f t="shared" si="19"/>
        <v>0</v>
      </c>
      <c r="CT38" s="36">
        <f t="shared" si="20"/>
        <v>0</v>
      </c>
      <c r="CU38" s="36">
        <f t="shared" si="21"/>
        <v>0</v>
      </c>
      <c r="CV38" s="36">
        <f t="shared" si="22"/>
        <v>0</v>
      </c>
      <c r="CW38" s="36">
        <f t="shared" si="23"/>
        <v>0</v>
      </c>
      <c r="CX38" s="36">
        <f t="shared" si="24"/>
        <v>0</v>
      </c>
      <c r="CY38" s="36">
        <f t="shared" si="25"/>
        <v>0</v>
      </c>
      <c r="CZ38" s="36"/>
      <c r="DA38" s="36">
        <f t="shared" si="27"/>
        <v>0</v>
      </c>
      <c r="DB38" s="36">
        <f t="shared" si="28"/>
        <v>0</v>
      </c>
      <c r="DC38" s="36">
        <f t="shared" si="29"/>
        <v>0</v>
      </c>
      <c r="DD38" s="36">
        <f t="shared" si="30"/>
        <v>0</v>
      </c>
      <c r="DE38" s="36">
        <f t="shared" si="31"/>
        <v>0</v>
      </c>
      <c r="DF38" s="36">
        <f t="shared" si="32"/>
        <v>0</v>
      </c>
      <c r="DG38" s="36">
        <f t="shared" si="33"/>
        <v>0</v>
      </c>
      <c r="DH38" s="36">
        <f t="shared" si="34"/>
        <v>0</v>
      </c>
      <c r="DI38" s="36">
        <f t="shared" si="35"/>
        <v>0</v>
      </c>
      <c r="DJ38" s="36">
        <f t="shared" si="36"/>
        <v>0</v>
      </c>
      <c r="DK38" s="36">
        <f t="shared" si="37"/>
        <v>0</v>
      </c>
      <c r="DL38" s="36">
        <f t="shared" si="38"/>
        <v>0</v>
      </c>
      <c r="DM38" s="36">
        <f t="shared" si="39"/>
        <v>0</v>
      </c>
      <c r="DN38" s="36">
        <f t="shared" si="40"/>
        <v>0</v>
      </c>
      <c r="DO38" s="36">
        <f t="shared" si="41"/>
        <v>0</v>
      </c>
      <c r="DP38" s="36">
        <f t="shared" si="42"/>
        <v>0</v>
      </c>
      <c r="DQ38" s="36">
        <f t="shared" si="43"/>
        <v>0</v>
      </c>
      <c r="DR38" s="36">
        <f t="shared" si="44"/>
        <v>0</v>
      </c>
      <c r="DS38" s="36">
        <f t="shared" si="45"/>
        <v>0</v>
      </c>
      <c r="DT38" s="36">
        <f t="shared" si="46"/>
        <v>0</v>
      </c>
      <c r="DU38" s="36">
        <f t="shared" si="47"/>
        <v>0</v>
      </c>
      <c r="DV38" s="36">
        <f t="shared" si="48"/>
        <v>0</v>
      </c>
      <c r="DW38" s="36">
        <f t="shared" si="49"/>
        <v>0</v>
      </c>
      <c r="DX38" s="36">
        <f t="shared" si="50"/>
        <v>0</v>
      </c>
      <c r="DY38" s="36">
        <f t="shared" si="51"/>
        <v>0</v>
      </c>
      <c r="DZ38" s="36"/>
    </row>
    <row r="39" spans="1:130" x14ac:dyDescent="0.25">
      <c r="A39" s="17"/>
      <c r="B39" s="22"/>
      <c r="C39" s="22"/>
      <c r="D39" s="22"/>
      <c r="E39" s="50"/>
      <c r="F39" s="50"/>
      <c r="G39" s="50"/>
      <c r="H39" s="50"/>
      <c r="I39" s="22"/>
      <c r="J39" s="50"/>
      <c r="K39" s="50"/>
      <c r="L39" s="25"/>
      <c r="M39" s="50"/>
      <c r="N39" s="22"/>
      <c r="O39" s="6"/>
      <c r="P39" s="6"/>
      <c r="Q39" s="6"/>
      <c r="R39" s="6"/>
      <c r="S39" s="6"/>
      <c r="T39" s="6"/>
      <c r="U39" s="6"/>
      <c r="V39" s="6"/>
      <c r="W39" s="6"/>
      <c r="X39" s="6"/>
      <c r="Y39" s="119"/>
      <c r="Z39" s="34">
        <v>36</v>
      </c>
      <c r="AA39" s="40"/>
      <c r="AB39" s="41"/>
      <c r="AC39" s="42"/>
      <c r="AD39" s="42"/>
      <c r="AE39" s="42"/>
      <c r="AF39" s="42"/>
      <c r="AG39" s="42"/>
      <c r="AH39" s="42"/>
      <c r="AI39" s="42"/>
      <c r="AJ39" s="42"/>
      <c r="AK39" s="42"/>
      <c r="AL39" s="41"/>
      <c r="AM39" s="41"/>
      <c r="AN39" s="42"/>
      <c r="AO39" s="42"/>
      <c r="AP39" s="42"/>
      <c r="AQ39" s="42"/>
      <c r="AR39" s="42"/>
      <c r="AS39" s="41"/>
      <c r="AT39" s="42"/>
      <c r="AU39" s="42"/>
      <c r="AV39" s="41"/>
      <c r="AW39" s="42"/>
      <c r="AX39" s="42"/>
      <c r="AY39" s="43"/>
      <c r="AZ39" s="35"/>
      <c r="BA39" s="36"/>
      <c r="BB39" s="36">
        <v>1</v>
      </c>
      <c r="BC39" s="36"/>
      <c r="BD39" s="36"/>
      <c r="BE39" s="36"/>
      <c r="BF39" s="36"/>
      <c r="BG39" s="36"/>
      <c r="BH39" s="36"/>
      <c r="BI39" s="36"/>
      <c r="BJ39" s="36"/>
      <c r="BK39" s="36"/>
      <c r="BL39" s="36">
        <v>1</v>
      </c>
      <c r="BM39" s="36">
        <v>1</v>
      </c>
      <c r="BN39" s="36"/>
      <c r="BO39" s="36"/>
      <c r="BP39" s="36"/>
      <c r="BQ39" s="36"/>
      <c r="BR39" s="36"/>
      <c r="BS39" s="36">
        <v>1</v>
      </c>
      <c r="BT39" s="36"/>
      <c r="BU39" s="36"/>
      <c r="BV39" s="36">
        <v>1</v>
      </c>
      <c r="BW39" s="36"/>
      <c r="BX39" s="36"/>
      <c r="BY39" s="36"/>
      <c r="BZ39" s="35"/>
      <c r="CA39" s="36">
        <f t="shared" si="1"/>
        <v>0</v>
      </c>
      <c r="CB39" s="36">
        <f t="shared" si="2"/>
        <v>0</v>
      </c>
      <c r="CC39" s="36">
        <f t="shared" si="3"/>
        <v>0</v>
      </c>
      <c r="CD39" s="36">
        <f t="shared" si="4"/>
        <v>0</v>
      </c>
      <c r="CE39" s="36">
        <f t="shared" si="5"/>
        <v>0</v>
      </c>
      <c r="CF39" s="36">
        <f t="shared" si="6"/>
        <v>0</v>
      </c>
      <c r="CG39" s="36">
        <f t="shared" si="7"/>
        <v>0</v>
      </c>
      <c r="CH39" s="36">
        <f t="shared" si="8"/>
        <v>0</v>
      </c>
      <c r="CI39" s="36">
        <f t="shared" si="9"/>
        <v>0</v>
      </c>
      <c r="CJ39" s="36">
        <f t="shared" si="10"/>
        <v>0</v>
      </c>
      <c r="CK39" s="36">
        <f t="shared" si="11"/>
        <v>0</v>
      </c>
      <c r="CL39" s="36">
        <f t="shared" si="12"/>
        <v>0</v>
      </c>
      <c r="CM39" s="36">
        <f t="shared" si="13"/>
        <v>0</v>
      </c>
      <c r="CN39" s="36">
        <f t="shared" si="14"/>
        <v>0</v>
      </c>
      <c r="CO39" s="36">
        <f t="shared" si="15"/>
        <v>0</v>
      </c>
      <c r="CP39" s="36">
        <f t="shared" si="16"/>
        <v>0</v>
      </c>
      <c r="CQ39" s="36">
        <f t="shared" si="17"/>
        <v>0</v>
      </c>
      <c r="CR39" s="36">
        <f t="shared" si="18"/>
        <v>0</v>
      </c>
      <c r="CS39" s="36">
        <f t="shared" si="19"/>
        <v>0</v>
      </c>
      <c r="CT39" s="36">
        <f t="shared" si="20"/>
        <v>0</v>
      </c>
      <c r="CU39" s="36">
        <f t="shared" si="21"/>
        <v>0</v>
      </c>
      <c r="CV39" s="36">
        <f t="shared" si="22"/>
        <v>0</v>
      </c>
      <c r="CW39" s="36">
        <f t="shared" si="23"/>
        <v>0</v>
      </c>
      <c r="CX39" s="36">
        <f t="shared" si="24"/>
        <v>0</v>
      </c>
      <c r="CY39" s="36">
        <f t="shared" si="25"/>
        <v>0</v>
      </c>
      <c r="CZ39" s="36"/>
      <c r="DA39" s="36">
        <f t="shared" si="27"/>
        <v>0</v>
      </c>
      <c r="DB39" s="36">
        <f t="shared" si="28"/>
        <v>0</v>
      </c>
      <c r="DC39" s="36">
        <f t="shared" si="29"/>
        <v>0</v>
      </c>
      <c r="DD39" s="36">
        <f t="shared" si="30"/>
        <v>0</v>
      </c>
      <c r="DE39" s="36">
        <f t="shared" si="31"/>
        <v>0</v>
      </c>
      <c r="DF39" s="36">
        <f t="shared" si="32"/>
        <v>0</v>
      </c>
      <c r="DG39" s="36">
        <f t="shared" si="33"/>
        <v>0</v>
      </c>
      <c r="DH39" s="36">
        <f t="shared" si="34"/>
        <v>0</v>
      </c>
      <c r="DI39" s="36">
        <f t="shared" si="35"/>
        <v>0</v>
      </c>
      <c r="DJ39" s="36">
        <f t="shared" si="36"/>
        <v>0</v>
      </c>
      <c r="DK39" s="36">
        <f t="shared" si="37"/>
        <v>0</v>
      </c>
      <c r="DL39" s="36">
        <f t="shared" si="38"/>
        <v>0</v>
      </c>
      <c r="DM39" s="36">
        <f t="shared" si="39"/>
        <v>0</v>
      </c>
      <c r="DN39" s="36">
        <f t="shared" si="40"/>
        <v>0</v>
      </c>
      <c r="DO39" s="36">
        <f t="shared" si="41"/>
        <v>0</v>
      </c>
      <c r="DP39" s="36">
        <f t="shared" si="42"/>
        <v>0</v>
      </c>
      <c r="DQ39" s="36">
        <f t="shared" si="43"/>
        <v>0</v>
      </c>
      <c r="DR39" s="36">
        <f t="shared" si="44"/>
        <v>0</v>
      </c>
      <c r="DS39" s="36">
        <f t="shared" si="45"/>
        <v>0</v>
      </c>
      <c r="DT39" s="36">
        <f t="shared" si="46"/>
        <v>0</v>
      </c>
      <c r="DU39" s="36">
        <f t="shared" si="47"/>
        <v>0</v>
      </c>
      <c r="DV39" s="36">
        <f t="shared" si="48"/>
        <v>0</v>
      </c>
      <c r="DW39" s="36">
        <f t="shared" si="49"/>
        <v>0</v>
      </c>
      <c r="DX39" s="36">
        <f t="shared" si="50"/>
        <v>0</v>
      </c>
      <c r="DY39" s="36">
        <f t="shared" si="51"/>
        <v>0</v>
      </c>
      <c r="DZ39" s="36"/>
    </row>
    <row r="40" spans="1:130" x14ac:dyDescent="0.25">
      <c r="A40" s="17"/>
      <c r="B40" s="22"/>
      <c r="C40" s="22"/>
      <c r="D40" s="22"/>
      <c r="E40" s="50"/>
      <c r="F40" s="50"/>
      <c r="G40" s="50"/>
      <c r="H40" s="50"/>
      <c r="I40" s="22"/>
      <c r="J40" s="50"/>
      <c r="K40" s="50"/>
      <c r="L40" s="50"/>
      <c r="M40" s="50"/>
      <c r="N40" s="22"/>
      <c r="O40" s="6"/>
      <c r="P40" s="6"/>
      <c r="Q40" s="6"/>
      <c r="R40" s="6"/>
      <c r="S40" s="6"/>
      <c r="T40" s="6"/>
      <c r="U40" s="6"/>
      <c r="V40" s="6"/>
      <c r="W40" s="6"/>
      <c r="X40" s="6"/>
      <c r="Y40" s="119"/>
      <c r="Z40" s="34">
        <v>37</v>
      </c>
      <c r="AA40" s="40"/>
      <c r="AB40" s="42"/>
      <c r="AC40" s="41"/>
      <c r="AD40" s="42"/>
      <c r="AE40" s="42"/>
      <c r="AF40" s="42"/>
      <c r="AG40" s="42"/>
      <c r="AH40" s="42"/>
      <c r="AI40" s="41"/>
      <c r="AJ40" s="42"/>
      <c r="AK40" s="42"/>
      <c r="AL40" s="42"/>
      <c r="AM40" s="41"/>
      <c r="AN40" s="42"/>
      <c r="AO40" s="42"/>
      <c r="AP40" s="42"/>
      <c r="AQ40" s="42"/>
      <c r="AR40" s="42"/>
      <c r="AS40" s="42"/>
      <c r="AT40" s="42"/>
      <c r="AU40" s="42"/>
      <c r="AV40" s="42"/>
      <c r="AW40" s="42"/>
      <c r="AX40" s="42"/>
      <c r="AY40" s="43"/>
      <c r="AZ40" s="35"/>
      <c r="BA40" s="36"/>
      <c r="BB40" s="36"/>
      <c r="BC40" s="36">
        <v>1</v>
      </c>
      <c r="BD40" s="36"/>
      <c r="BE40" s="36"/>
      <c r="BF40" s="36"/>
      <c r="BG40" s="36"/>
      <c r="BH40" s="36"/>
      <c r="BI40" s="36">
        <v>1</v>
      </c>
      <c r="BJ40" s="36"/>
      <c r="BK40" s="36"/>
      <c r="BL40" s="36"/>
      <c r="BM40" s="36">
        <v>1</v>
      </c>
      <c r="BN40" s="36"/>
      <c r="BO40" s="36"/>
      <c r="BP40" s="36"/>
      <c r="BQ40" s="36"/>
      <c r="BR40" s="36"/>
      <c r="BS40" s="36"/>
      <c r="BT40" s="36"/>
      <c r="BU40" s="36"/>
      <c r="BV40" s="36"/>
      <c r="BW40" s="36"/>
      <c r="BX40" s="36"/>
      <c r="BY40" s="36"/>
      <c r="BZ40" s="35"/>
      <c r="CA40" s="36">
        <f t="shared" si="1"/>
        <v>0</v>
      </c>
      <c r="CB40" s="36">
        <f t="shared" si="2"/>
        <v>0</v>
      </c>
      <c r="CC40" s="36">
        <f t="shared" si="3"/>
        <v>0</v>
      </c>
      <c r="CD40" s="36">
        <f t="shared" si="4"/>
        <v>0</v>
      </c>
      <c r="CE40" s="36">
        <f t="shared" si="5"/>
        <v>0</v>
      </c>
      <c r="CF40" s="36">
        <f t="shared" si="6"/>
        <v>0</v>
      </c>
      <c r="CG40" s="36">
        <f t="shared" si="7"/>
        <v>0</v>
      </c>
      <c r="CH40" s="36">
        <f t="shared" si="8"/>
        <v>0</v>
      </c>
      <c r="CI40" s="36">
        <f t="shared" si="9"/>
        <v>0</v>
      </c>
      <c r="CJ40" s="36">
        <f t="shared" si="10"/>
        <v>0</v>
      </c>
      <c r="CK40" s="36">
        <f t="shared" si="11"/>
        <v>0</v>
      </c>
      <c r="CL40" s="36">
        <f t="shared" si="12"/>
        <v>0</v>
      </c>
      <c r="CM40" s="36">
        <f t="shared" si="13"/>
        <v>0</v>
      </c>
      <c r="CN40" s="36">
        <f t="shared" si="14"/>
        <v>0</v>
      </c>
      <c r="CO40" s="36">
        <f t="shared" si="15"/>
        <v>0</v>
      </c>
      <c r="CP40" s="36">
        <f t="shared" si="16"/>
        <v>0</v>
      </c>
      <c r="CQ40" s="36">
        <f t="shared" si="17"/>
        <v>0</v>
      </c>
      <c r="CR40" s="36">
        <f t="shared" si="18"/>
        <v>0</v>
      </c>
      <c r="CS40" s="36">
        <f t="shared" si="19"/>
        <v>0</v>
      </c>
      <c r="CT40" s="36">
        <f t="shared" si="20"/>
        <v>0</v>
      </c>
      <c r="CU40" s="36">
        <f t="shared" si="21"/>
        <v>0</v>
      </c>
      <c r="CV40" s="36">
        <f t="shared" si="22"/>
        <v>0</v>
      </c>
      <c r="CW40" s="36">
        <f t="shared" si="23"/>
        <v>0</v>
      </c>
      <c r="CX40" s="36">
        <f t="shared" si="24"/>
        <v>0</v>
      </c>
      <c r="CY40" s="36">
        <f t="shared" si="25"/>
        <v>0</v>
      </c>
      <c r="CZ40" s="36"/>
      <c r="DA40" s="36">
        <f t="shared" si="27"/>
        <v>0</v>
      </c>
      <c r="DB40" s="36">
        <f t="shared" si="28"/>
        <v>0</v>
      </c>
      <c r="DC40" s="36">
        <f t="shared" si="29"/>
        <v>0</v>
      </c>
      <c r="DD40" s="36">
        <f t="shared" si="30"/>
        <v>0</v>
      </c>
      <c r="DE40" s="36">
        <f t="shared" si="31"/>
        <v>0</v>
      </c>
      <c r="DF40" s="36">
        <f t="shared" si="32"/>
        <v>0</v>
      </c>
      <c r="DG40" s="36">
        <f t="shared" si="33"/>
        <v>0</v>
      </c>
      <c r="DH40" s="36">
        <f t="shared" si="34"/>
        <v>0</v>
      </c>
      <c r="DI40" s="36">
        <f t="shared" si="35"/>
        <v>0</v>
      </c>
      <c r="DJ40" s="36">
        <f t="shared" si="36"/>
        <v>0</v>
      </c>
      <c r="DK40" s="36">
        <f t="shared" si="37"/>
        <v>0</v>
      </c>
      <c r="DL40" s="36">
        <f t="shared" si="38"/>
        <v>0</v>
      </c>
      <c r="DM40" s="36">
        <f t="shared" si="39"/>
        <v>0</v>
      </c>
      <c r="DN40" s="36">
        <f t="shared" si="40"/>
        <v>0</v>
      </c>
      <c r="DO40" s="36">
        <f t="shared" si="41"/>
        <v>0</v>
      </c>
      <c r="DP40" s="36">
        <f t="shared" si="42"/>
        <v>0</v>
      </c>
      <c r="DQ40" s="36">
        <f t="shared" si="43"/>
        <v>0</v>
      </c>
      <c r="DR40" s="36">
        <f t="shared" si="44"/>
        <v>0</v>
      </c>
      <c r="DS40" s="36">
        <f t="shared" si="45"/>
        <v>0</v>
      </c>
      <c r="DT40" s="36">
        <f t="shared" si="46"/>
        <v>0</v>
      </c>
      <c r="DU40" s="36">
        <f t="shared" si="47"/>
        <v>0</v>
      </c>
      <c r="DV40" s="36">
        <f t="shared" si="48"/>
        <v>0</v>
      </c>
      <c r="DW40" s="36">
        <f t="shared" si="49"/>
        <v>0</v>
      </c>
      <c r="DX40" s="36">
        <f t="shared" si="50"/>
        <v>0</v>
      </c>
      <c r="DY40" s="36">
        <f t="shared" si="51"/>
        <v>0</v>
      </c>
      <c r="DZ40" s="36"/>
    </row>
    <row r="41" spans="1:130" ht="13.15" customHeight="1" x14ac:dyDescent="0.25">
      <c r="A41" s="17"/>
      <c r="B41" s="322" t="s">
        <v>151</v>
      </c>
      <c r="C41" s="323"/>
      <c r="D41" s="323"/>
      <c r="E41" s="323"/>
      <c r="F41" s="323"/>
      <c r="G41" s="323"/>
      <c r="H41" s="323"/>
      <c r="I41" s="323"/>
      <c r="J41" s="323"/>
      <c r="K41" s="323"/>
      <c r="L41" s="323"/>
      <c r="M41" s="323"/>
      <c r="N41" s="323"/>
      <c r="O41" s="323"/>
      <c r="P41" s="323"/>
      <c r="Q41" s="323"/>
      <c r="R41" s="323"/>
      <c r="S41" s="323"/>
      <c r="T41" s="323"/>
      <c r="U41" s="323"/>
      <c r="V41" s="323"/>
      <c r="W41" s="323"/>
      <c r="X41" s="323"/>
      <c r="Y41" s="119"/>
      <c r="Z41" s="34">
        <v>38</v>
      </c>
      <c r="AA41" s="40"/>
      <c r="AB41" s="42"/>
      <c r="AC41" s="42"/>
      <c r="AD41" s="41"/>
      <c r="AE41" s="42"/>
      <c r="AF41" s="41"/>
      <c r="AG41" s="42"/>
      <c r="AH41" s="41"/>
      <c r="AI41" s="42"/>
      <c r="AJ41" s="42"/>
      <c r="AK41" s="42"/>
      <c r="AL41" s="41"/>
      <c r="AM41" s="42"/>
      <c r="AN41" s="42"/>
      <c r="AO41" s="42"/>
      <c r="AP41" s="42"/>
      <c r="AQ41" s="41"/>
      <c r="AR41" s="42"/>
      <c r="AS41" s="42"/>
      <c r="AT41" s="41"/>
      <c r="AU41" s="42"/>
      <c r="AV41" s="42"/>
      <c r="AW41" s="42"/>
      <c r="AX41" s="41"/>
      <c r="AY41" s="43"/>
      <c r="AZ41" s="35"/>
      <c r="BA41" s="36"/>
      <c r="BB41" s="36"/>
      <c r="BC41" s="36"/>
      <c r="BD41" s="36">
        <v>1</v>
      </c>
      <c r="BE41" s="36"/>
      <c r="BF41" s="36">
        <v>1</v>
      </c>
      <c r="BG41" s="36"/>
      <c r="BH41" s="36">
        <v>1</v>
      </c>
      <c r="BI41" s="36"/>
      <c r="BJ41" s="36"/>
      <c r="BK41" s="36"/>
      <c r="BL41" s="36">
        <v>1</v>
      </c>
      <c r="BM41" s="36"/>
      <c r="BN41" s="36"/>
      <c r="BO41" s="36"/>
      <c r="BP41" s="36"/>
      <c r="BQ41" s="36">
        <v>1</v>
      </c>
      <c r="BR41" s="36"/>
      <c r="BS41" s="36"/>
      <c r="BT41" s="36">
        <v>1</v>
      </c>
      <c r="BU41" s="36"/>
      <c r="BV41" s="36"/>
      <c r="BW41" s="36"/>
      <c r="BX41" s="36">
        <v>1</v>
      </c>
      <c r="BY41" s="36"/>
      <c r="BZ41" s="35"/>
      <c r="CA41" s="36">
        <f t="shared" si="1"/>
        <v>0</v>
      </c>
      <c r="CB41" s="36">
        <f t="shared" si="2"/>
        <v>0</v>
      </c>
      <c r="CC41" s="36">
        <f t="shared" si="3"/>
        <v>0</v>
      </c>
      <c r="CD41" s="36">
        <f t="shared" si="4"/>
        <v>0</v>
      </c>
      <c r="CE41" s="36">
        <f t="shared" si="5"/>
        <v>0</v>
      </c>
      <c r="CF41" s="36">
        <f t="shared" si="6"/>
        <v>0</v>
      </c>
      <c r="CG41" s="36">
        <f t="shared" si="7"/>
        <v>0</v>
      </c>
      <c r="CH41" s="36">
        <f t="shared" si="8"/>
        <v>0</v>
      </c>
      <c r="CI41" s="36">
        <f t="shared" si="9"/>
        <v>0</v>
      </c>
      <c r="CJ41" s="36">
        <f t="shared" si="10"/>
        <v>0</v>
      </c>
      <c r="CK41" s="36">
        <f t="shared" si="11"/>
        <v>0</v>
      </c>
      <c r="CL41" s="36">
        <f t="shared" si="12"/>
        <v>0</v>
      </c>
      <c r="CM41" s="36">
        <f t="shared" si="13"/>
        <v>0</v>
      </c>
      <c r="CN41" s="36">
        <f t="shared" si="14"/>
        <v>0</v>
      </c>
      <c r="CO41" s="36">
        <f t="shared" si="15"/>
        <v>0</v>
      </c>
      <c r="CP41" s="36">
        <f t="shared" si="16"/>
        <v>0</v>
      </c>
      <c r="CQ41" s="36">
        <f t="shared" si="17"/>
        <v>0</v>
      </c>
      <c r="CR41" s="36">
        <f t="shared" si="18"/>
        <v>0</v>
      </c>
      <c r="CS41" s="36">
        <f t="shared" si="19"/>
        <v>0</v>
      </c>
      <c r="CT41" s="36">
        <f t="shared" si="20"/>
        <v>0</v>
      </c>
      <c r="CU41" s="36">
        <f t="shared" si="21"/>
        <v>0</v>
      </c>
      <c r="CV41" s="36">
        <f t="shared" si="22"/>
        <v>0</v>
      </c>
      <c r="CW41" s="36">
        <f t="shared" si="23"/>
        <v>0</v>
      </c>
      <c r="CX41" s="36">
        <f t="shared" si="24"/>
        <v>0</v>
      </c>
      <c r="CY41" s="36">
        <f t="shared" si="25"/>
        <v>0</v>
      </c>
      <c r="CZ41" s="36"/>
      <c r="DA41" s="36">
        <f t="shared" si="27"/>
        <v>0</v>
      </c>
      <c r="DB41" s="36">
        <f t="shared" si="28"/>
        <v>0</v>
      </c>
      <c r="DC41" s="36">
        <f t="shared" si="29"/>
        <v>0</v>
      </c>
      <c r="DD41" s="36">
        <f t="shared" si="30"/>
        <v>0</v>
      </c>
      <c r="DE41" s="36">
        <f t="shared" si="31"/>
        <v>0</v>
      </c>
      <c r="DF41" s="36">
        <f t="shared" si="32"/>
        <v>0</v>
      </c>
      <c r="DG41" s="36">
        <f t="shared" si="33"/>
        <v>0</v>
      </c>
      <c r="DH41" s="36">
        <f t="shared" si="34"/>
        <v>0</v>
      </c>
      <c r="DI41" s="36">
        <f t="shared" si="35"/>
        <v>0</v>
      </c>
      <c r="DJ41" s="36">
        <f t="shared" si="36"/>
        <v>0</v>
      </c>
      <c r="DK41" s="36">
        <f t="shared" si="37"/>
        <v>0</v>
      </c>
      <c r="DL41" s="36">
        <f t="shared" si="38"/>
        <v>0</v>
      </c>
      <c r="DM41" s="36">
        <f t="shared" si="39"/>
        <v>0</v>
      </c>
      <c r="DN41" s="36">
        <f t="shared" si="40"/>
        <v>0</v>
      </c>
      <c r="DO41" s="36">
        <f t="shared" si="41"/>
        <v>0</v>
      </c>
      <c r="DP41" s="36">
        <f t="shared" si="42"/>
        <v>0</v>
      </c>
      <c r="DQ41" s="36">
        <f t="shared" si="43"/>
        <v>0</v>
      </c>
      <c r="DR41" s="36">
        <f t="shared" si="44"/>
        <v>0</v>
      </c>
      <c r="DS41" s="36">
        <f t="shared" si="45"/>
        <v>0</v>
      </c>
      <c r="DT41" s="36">
        <f t="shared" si="46"/>
        <v>0</v>
      </c>
      <c r="DU41" s="36">
        <f t="shared" si="47"/>
        <v>0</v>
      </c>
      <c r="DV41" s="36">
        <f t="shared" si="48"/>
        <v>0</v>
      </c>
      <c r="DW41" s="36">
        <f t="shared" si="49"/>
        <v>0</v>
      </c>
      <c r="DX41" s="36">
        <f t="shared" si="50"/>
        <v>0</v>
      </c>
      <c r="DY41" s="36">
        <f t="shared" si="51"/>
        <v>0</v>
      </c>
      <c r="DZ41" s="36"/>
    </row>
    <row r="42" spans="1:130" ht="13.15" customHeight="1" x14ac:dyDescent="0.25">
      <c r="A42" s="17"/>
      <c r="B42" s="322" t="s">
        <v>315</v>
      </c>
      <c r="C42" s="323"/>
      <c r="D42" s="323"/>
      <c r="E42" s="323"/>
      <c r="F42" s="323"/>
      <c r="G42" s="323"/>
      <c r="H42" s="323"/>
      <c r="I42" s="323"/>
      <c r="J42" s="323"/>
      <c r="K42" s="323"/>
      <c r="L42" s="323"/>
      <c r="M42" s="323"/>
      <c r="N42" s="323"/>
      <c r="O42" s="323"/>
      <c r="P42" s="323"/>
      <c r="Q42" s="323"/>
      <c r="R42" s="323"/>
      <c r="S42" s="323"/>
      <c r="T42" s="323"/>
      <c r="U42" s="323"/>
      <c r="V42" s="323"/>
      <c r="W42" s="323"/>
      <c r="X42" s="323"/>
      <c r="Y42" s="119"/>
      <c r="Z42" s="34">
        <v>39</v>
      </c>
      <c r="AA42" s="44"/>
      <c r="AB42" s="42"/>
      <c r="AC42" s="42"/>
      <c r="AD42" s="42"/>
      <c r="AE42" s="41" t="s">
        <v>397</v>
      </c>
      <c r="AF42" s="42"/>
      <c r="AG42" s="42"/>
      <c r="AH42" s="41"/>
      <c r="AI42" s="42"/>
      <c r="AJ42" s="42"/>
      <c r="AK42" s="42"/>
      <c r="AL42" s="42"/>
      <c r="AM42" s="42"/>
      <c r="AN42" s="41"/>
      <c r="AO42" s="42"/>
      <c r="AP42" s="42"/>
      <c r="AQ42" s="42"/>
      <c r="AR42" s="42"/>
      <c r="AS42" s="41"/>
      <c r="AT42" s="42"/>
      <c r="AU42" s="42"/>
      <c r="AV42" s="42"/>
      <c r="AW42" s="41"/>
      <c r="AX42" s="42"/>
      <c r="AY42" s="45"/>
      <c r="AZ42" s="35"/>
      <c r="BA42" s="36">
        <v>1</v>
      </c>
      <c r="BB42" s="36"/>
      <c r="BC42" s="36"/>
      <c r="BD42" s="36"/>
      <c r="BE42" s="36">
        <v>1</v>
      </c>
      <c r="BF42" s="36"/>
      <c r="BG42" s="36"/>
      <c r="BH42" s="36">
        <v>1</v>
      </c>
      <c r="BI42" s="36"/>
      <c r="BJ42" s="36"/>
      <c r="BK42" s="36"/>
      <c r="BL42" s="36"/>
      <c r="BM42" s="36"/>
      <c r="BN42" s="36">
        <v>1</v>
      </c>
      <c r="BO42" s="36"/>
      <c r="BP42" s="36"/>
      <c r="BQ42" s="36"/>
      <c r="BR42" s="36"/>
      <c r="BS42" s="36">
        <v>1</v>
      </c>
      <c r="BT42" s="36"/>
      <c r="BU42" s="36"/>
      <c r="BV42" s="36"/>
      <c r="BW42" s="36">
        <v>1</v>
      </c>
      <c r="BX42" s="36"/>
      <c r="BY42" s="36">
        <v>1</v>
      </c>
      <c r="BZ42" s="35"/>
      <c r="CA42" s="36">
        <f t="shared" si="1"/>
        <v>0</v>
      </c>
      <c r="CB42" s="36">
        <f t="shared" si="2"/>
        <v>0</v>
      </c>
      <c r="CC42" s="36">
        <f t="shared" si="3"/>
        <v>0</v>
      </c>
      <c r="CD42" s="36">
        <f t="shared" si="4"/>
        <v>0</v>
      </c>
      <c r="CE42" s="36">
        <f t="shared" si="5"/>
        <v>1</v>
      </c>
      <c r="CF42" s="36">
        <f t="shared" si="6"/>
        <v>0</v>
      </c>
      <c r="CG42" s="36">
        <f t="shared" si="7"/>
        <v>0</v>
      </c>
      <c r="CH42" s="36">
        <f t="shared" si="8"/>
        <v>0</v>
      </c>
      <c r="CI42" s="36">
        <f t="shared" si="9"/>
        <v>0</v>
      </c>
      <c r="CJ42" s="36">
        <f t="shared" si="10"/>
        <v>0</v>
      </c>
      <c r="CK42" s="36">
        <f t="shared" si="11"/>
        <v>0</v>
      </c>
      <c r="CL42" s="36">
        <f t="shared" si="12"/>
        <v>0</v>
      </c>
      <c r="CM42" s="36">
        <f t="shared" si="13"/>
        <v>0</v>
      </c>
      <c r="CN42" s="36">
        <f t="shared" si="14"/>
        <v>0</v>
      </c>
      <c r="CO42" s="36">
        <f t="shared" si="15"/>
        <v>0</v>
      </c>
      <c r="CP42" s="36">
        <f t="shared" si="16"/>
        <v>0</v>
      </c>
      <c r="CQ42" s="36">
        <f t="shared" si="17"/>
        <v>0</v>
      </c>
      <c r="CR42" s="36">
        <f t="shared" si="18"/>
        <v>0</v>
      </c>
      <c r="CS42" s="36">
        <f t="shared" si="19"/>
        <v>0</v>
      </c>
      <c r="CT42" s="36">
        <f t="shared" si="20"/>
        <v>0</v>
      </c>
      <c r="CU42" s="36">
        <f t="shared" si="21"/>
        <v>0</v>
      </c>
      <c r="CV42" s="36">
        <f t="shared" si="22"/>
        <v>0</v>
      </c>
      <c r="CW42" s="36">
        <f t="shared" si="23"/>
        <v>0</v>
      </c>
      <c r="CX42" s="36">
        <f t="shared" si="24"/>
        <v>0</v>
      </c>
      <c r="CY42" s="36">
        <f t="shared" si="25"/>
        <v>0</v>
      </c>
      <c r="CZ42" s="36"/>
      <c r="DA42" s="36">
        <f t="shared" si="27"/>
        <v>0</v>
      </c>
      <c r="DB42" s="36">
        <f t="shared" si="28"/>
        <v>0</v>
      </c>
      <c r="DC42" s="36">
        <f t="shared" si="29"/>
        <v>0</v>
      </c>
      <c r="DD42" s="36">
        <f t="shared" si="30"/>
        <v>0</v>
      </c>
      <c r="DE42" s="36">
        <f t="shared" si="31"/>
        <v>0</v>
      </c>
      <c r="DF42" s="36">
        <f t="shared" si="32"/>
        <v>0</v>
      </c>
      <c r="DG42" s="36">
        <f t="shared" si="33"/>
        <v>0</v>
      </c>
      <c r="DH42" s="36">
        <f t="shared" si="34"/>
        <v>0</v>
      </c>
      <c r="DI42" s="36">
        <f t="shared" si="35"/>
        <v>0</v>
      </c>
      <c r="DJ42" s="36">
        <f t="shared" si="36"/>
        <v>0</v>
      </c>
      <c r="DK42" s="36">
        <f t="shared" si="37"/>
        <v>0</v>
      </c>
      <c r="DL42" s="36">
        <f t="shared" si="38"/>
        <v>0</v>
      </c>
      <c r="DM42" s="36">
        <f t="shared" si="39"/>
        <v>0</v>
      </c>
      <c r="DN42" s="36">
        <f t="shared" si="40"/>
        <v>0</v>
      </c>
      <c r="DO42" s="36">
        <f t="shared" si="41"/>
        <v>0</v>
      </c>
      <c r="DP42" s="36">
        <f t="shared" si="42"/>
        <v>0</v>
      </c>
      <c r="DQ42" s="36">
        <f t="shared" si="43"/>
        <v>0</v>
      </c>
      <c r="DR42" s="36">
        <f t="shared" si="44"/>
        <v>0</v>
      </c>
      <c r="DS42" s="36">
        <f t="shared" si="45"/>
        <v>0</v>
      </c>
      <c r="DT42" s="36">
        <f t="shared" si="46"/>
        <v>0</v>
      </c>
      <c r="DU42" s="36">
        <f t="shared" si="47"/>
        <v>0</v>
      </c>
      <c r="DV42" s="36">
        <f t="shared" si="48"/>
        <v>0</v>
      </c>
      <c r="DW42" s="36">
        <f t="shared" si="49"/>
        <v>0</v>
      </c>
      <c r="DX42" s="36">
        <f t="shared" si="50"/>
        <v>0</v>
      </c>
      <c r="DY42" s="36">
        <f t="shared" si="51"/>
        <v>0</v>
      </c>
      <c r="DZ42" s="36"/>
    </row>
    <row r="43" spans="1:130" ht="13.15" customHeight="1" x14ac:dyDescent="0.25">
      <c r="A43" s="56"/>
      <c r="B43" s="47"/>
      <c r="C43" s="47"/>
      <c r="D43" s="47"/>
      <c r="E43" s="57"/>
      <c r="F43" s="57"/>
      <c r="G43" s="57"/>
      <c r="H43" s="57"/>
      <c r="I43" s="47"/>
      <c r="J43" s="57"/>
      <c r="K43" s="57"/>
      <c r="L43" s="57"/>
      <c r="M43" s="57"/>
      <c r="N43" s="47"/>
      <c r="O43" s="15"/>
      <c r="P43" s="15"/>
      <c r="Q43" s="15"/>
      <c r="R43" s="15"/>
      <c r="S43" s="15"/>
      <c r="T43" s="15"/>
      <c r="U43" s="15"/>
      <c r="V43" s="15"/>
      <c r="W43" s="15"/>
      <c r="X43" s="15"/>
      <c r="Y43" s="119"/>
      <c r="Z43" s="120">
        <v>40</v>
      </c>
      <c r="AA43" s="58"/>
      <c r="AB43" s="59"/>
      <c r="AC43" s="60"/>
      <c r="AD43" s="59"/>
      <c r="AE43" s="59"/>
      <c r="AF43" s="59"/>
      <c r="AG43" s="59"/>
      <c r="AH43" s="59"/>
      <c r="AI43" s="60"/>
      <c r="AJ43" s="60"/>
      <c r="AK43" s="60"/>
      <c r="AL43" s="59"/>
      <c r="AM43" s="59"/>
      <c r="AN43" s="60"/>
      <c r="AO43" s="59"/>
      <c r="AP43" s="60"/>
      <c r="AQ43" s="59"/>
      <c r="AR43" s="59"/>
      <c r="AS43" s="59"/>
      <c r="AT43" s="60"/>
      <c r="AU43" s="59"/>
      <c r="AV43" s="59"/>
      <c r="AW43" s="60"/>
      <c r="AX43" s="59"/>
      <c r="AY43" s="61"/>
      <c r="AZ43" s="35"/>
      <c r="BA43" s="36"/>
      <c r="BB43" s="36"/>
      <c r="BC43" s="36">
        <v>1</v>
      </c>
      <c r="BD43" s="36"/>
      <c r="BE43" s="36"/>
      <c r="BF43" s="36"/>
      <c r="BG43" s="36"/>
      <c r="BH43" s="36"/>
      <c r="BI43" s="36">
        <v>1</v>
      </c>
      <c r="BJ43" s="36">
        <v>1</v>
      </c>
      <c r="BK43" s="36">
        <v>1</v>
      </c>
      <c r="BL43" s="36"/>
      <c r="BM43" s="36"/>
      <c r="BN43" s="36">
        <v>1</v>
      </c>
      <c r="BO43" s="36"/>
      <c r="BP43" s="36">
        <v>1</v>
      </c>
      <c r="BQ43" s="36"/>
      <c r="BR43" s="36"/>
      <c r="BS43" s="36"/>
      <c r="BT43" s="36">
        <v>1</v>
      </c>
      <c r="BU43" s="36"/>
      <c r="BV43" s="36"/>
      <c r="BW43" s="36">
        <v>1</v>
      </c>
      <c r="BX43" s="36"/>
      <c r="BY43" s="36"/>
      <c r="BZ43" s="35"/>
      <c r="CA43" s="36">
        <f t="shared" si="1"/>
        <v>0</v>
      </c>
      <c r="CB43" s="36">
        <f t="shared" si="2"/>
        <v>0</v>
      </c>
      <c r="CC43" s="36">
        <f t="shared" si="3"/>
        <v>0</v>
      </c>
      <c r="CD43" s="36">
        <f t="shared" si="4"/>
        <v>0</v>
      </c>
      <c r="CE43" s="36">
        <f t="shared" si="5"/>
        <v>0</v>
      </c>
      <c r="CF43" s="36">
        <f t="shared" si="6"/>
        <v>0</v>
      </c>
      <c r="CG43" s="36">
        <f t="shared" si="7"/>
        <v>0</v>
      </c>
      <c r="CH43" s="36">
        <f t="shared" si="8"/>
        <v>0</v>
      </c>
      <c r="CI43" s="36">
        <f t="shared" si="9"/>
        <v>0</v>
      </c>
      <c r="CJ43" s="36">
        <f t="shared" si="10"/>
        <v>0</v>
      </c>
      <c r="CK43" s="36">
        <f t="shared" si="11"/>
        <v>0</v>
      </c>
      <c r="CL43" s="36">
        <f t="shared" si="12"/>
        <v>0</v>
      </c>
      <c r="CM43" s="36">
        <f t="shared" si="13"/>
        <v>0</v>
      </c>
      <c r="CN43" s="36">
        <f t="shared" si="14"/>
        <v>0</v>
      </c>
      <c r="CO43" s="36">
        <f t="shared" si="15"/>
        <v>0</v>
      </c>
      <c r="CP43" s="36">
        <f t="shared" si="16"/>
        <v>0</v>
      </c>
      <c r="CQ43" s="36">
        <f t="shared" si="17"/>
        <v>0</v>
      </c>
      <c r="CR43" s="36">
        <f t="shared" si="18"/>
        <v>0</v>
      </c>
      <c r="CS43" s="36">
        <f t="shared" si="19"/>
        <v>0</v>
      </c>
      <c r="CT43" s="36">
        <f t="shared" si="20"/>
        <v>0</v>
      </c>
      <c r="CU43" s="36">
        <f t="shared" si="21"/>
        <v>0</v>
      </c>
      <c r="CV43" s="36">
        <f t="shared" si="22"/>
        <v>0</v>
      </c>
      <c r="CW43" s="36">
        <f t="shared" si="23"/>
        <v>0</v>
      </c>
      <c r="CX43" s="36">
        <f t="shared" si="24"/>
        <v>0</v>
      </c>
      <c r="CY43" s="36">
        <f t="shared" si="25"/>
        <v>0</v>
      </c>
      <c r="CZ43" s="36"/>
      <c r="DA43" s="36">
        <f t="shared" si="27"/>
        <v>0</v>
      </c>
      <c r="DB43" s="36">
        <f t="shared" si="28"/>
        <v>0</v>
      </c>
      <c r="DC43" s="36">
        <f t="shared" si="29"/>
        <v>0</v>
      </c>
      <c r="DD43" s="36">
        <f t="shared" si="30"/>
        <v>0</v>
      </c>
      <c r="DE43" s="36">
        <f t="shared" si="31"/>
        <v>0</v>
      </c>
      <c r="DF43" s="36">
        <f t="shared" si="32"/>
        <v>0</v>
      </c>
      <c r="DG43" s="36">
        <f t="shared" si="33"/>
        <v>0</v>
      </c>
      <c r="DH43" s="36">
        <f t="shared" si="34"/>
        <v>0</v>
      </c>
      <c r="DI43" s="36">
        <f t="shared" si="35"/>
        <v>0</v>
      </c>
      <c r="DJ43" s="36">
        <f t="shared" si="36"/>
        <v>0</v>
      </c>
      <c r="DK43" s="36">
        <f t="shared" si="37"/>
        <v>0</v>
      </c>
      <c r="DL43" s="36">
        <f t="shared" si="38"/>
        <v>0</v>
      </c>
      <c r="DM43" s="36">
        <f t="shared" si="39"/>
        <v>0</v>
      </c>
      <c r="DN43" s="36">
        <f t="shared" si="40"/>
        <v>0</v>
      </c>
      <c r="DO43" s="36">
        <f t="shared" si="41"/>
        <v>0</v>
      </c>
      <c r="DP43" s="36">
        <f t="shared" si="42"/>
        <v>0</v>
      </c>
      <c r="DQ43" s="36">
        <f t="shared" si="43"/>
        <v>0</v>
      </c>
      <c r="DR43" s="36">
        <f t="shared" si="44"/>
        <v>0</v>
      </c>
      <c r="DS43" s="36">
        <f t="shared" si="45"/>
        <v>0</v>
      </c>
      <c r="DT43" s="36">
        <f t="shared" si="46"/>
        <v>0</v>
      </c>
      <c r="DU43" s="36">
        <f t="shared" si="47"/>
        <v>0</v>
      </c>
      <c r="DV43" s="36">
        <f t="shared" si="48"/>
        <v>0</v>
      </c>
      <c r="DW43" s="36">
        <f t="shared" si="49"/>
        <v>0</v>
      </c>
      <c r="DX43" s="36">
        <f t="shared" si="50"/>
        <v>0</v>
      </c>
      <c r="DY43" s="36">
        <f t="shared" si="51"/>
        <v>0</v>
      </c>
      <c r="DZ43" s="36"/>
    </row>
  </sheetData>
  <sheetProtection password="D3CC" sheet="1" objects="1" scenarios="1" selectLockedCells="1"/>
  <mergeCells count="13">
    <mergeCell ref="B32:X32"/>
    <mergeCell ref="E18:F18"/>
    <mergeCell ref="E19:F19"/>
    <mergeCell ref="L2:N2"/>
    <mergeCell ref="B3:C3"/>
    <mergeCell ref="B2:F2"/>
    <mergeCell ref="B42:X42"/>
    <mergeCell ref="B33:X33"/>
    <mergeCell ref="B34:X34"/>
    <mergeCell ref="B35:X35"/>
    <mergeCell ref="B37:X37"/>
    <mergeCell ref="B38:X38"/>
    <mergeCell ref="B41:X41"/>
  </mergeCells>
  <phoneticPr fontId="8" type="noConversion"/>
  <conditionalFormatting sqref="E18:F18">
    <cfRule type="cellIs" dxfId="7" priority="3" stopIfTrue="1" operator="equal">
      <formula>"A"</formula>
    </cfRule>
    <cfRule type="cellIs" dxfId="6" priority="4" stopIfTrue="1" operator="equal">
      <formula>"B"</formula>
    </cfRule>
  </conditionalFormatting>
  <conditionalFormatting sqref="F17">
    <cfRule type="cellIs" dxfId="5" priority="5" stopIfTrue="1" operator="between">
      <formula>0</formula>
      <formula>59</formula>
    </cfRule>
  </conditionalFormatting>
  <conditionalFormatting sqref="E17">
    <cfRule type="cellIs" dxfId="4" priority="1" stopIfTrue="1" operator="greaterThan">
      <formula>10</formula>
    </cfRule>
    <cfRule type="cellIs" dxfId="3" priority="2" stopIfTrue="1" operator="greaterThan">
      <formula>10</formula>
    </cfRule>
    <cfRule type="cellIs" dxfId="2" priority="6" stopIfTrue="1" operator="between">
      <formula>3</formula>
      <formula>10</formula>
    </cfRule>
  </conditionalFormatting>
  <conditionalFormatting sqref="B5:B14">
    <cfRule type="cellIs" dxfId="1" priority="7" stopIfTrue="1" operator="between">
      <formula>0</formula>
      <formula>40</formula>
    </cfRule>
  </conditionalFormatting>
  <conditionalFormatting sqref="C5:C14">
    <cfRule type="cellIs" dxfId="0" priority="8" stopIfTrue="1" operator="between">
      <formula>0</formula>
      <formula>25</formula>
    </cfRule>
  </conditionalFormatting>
  <dataValidations count="14">
    <dataValidation type="list" allowBlank="1" showInputMessage="1" showErrorMessage="1" errorTitle="Ungültiger Wert" error="Bitte geben Sie A für Erstuntersuchung oder B für Verlaufsuntersuchung an." sqref="E18:F18" xr:uid="{00000000-0002-0000-0800-000000000000}">
      <formula1>$G$18:$G$19</formula1>
    </dataValidation>
    <dataValidation type="date" operator="greaterThan" allowBlank="1" showInputMessage="1" showErrorMessage="1" sqref="E19:F19" xr:uid="{00000000-0002-0000-0800-000001000000}">
      <formula1>36526</formula1>
    </dataValidation>
    <dataValidation type="whole" allowBlank="1" showInputMessage="1" showErrorMessage="1" errorTitle="Ungültiger Wert" error="Bitte geben Sie eine Zahl zwischen 0 und 59 ein." sqref="F17" xr:uid="{00000000-0002-0000-0800-000002000000}">
      <formula1>0</formula1>
      <formula2>59</formula2>
    </dataValidation>
    <dataValidation type="whole" allowBlank="1" showInputMessage="1" showErrorMessage="1" errorTitle="Ungültiger Wert" error="Bitte geben Sie eine ganze Zahl zwischen 3 und 10 ein." sqref="E17" xr:uid="{00000000-0002-0000-0800-000003000000}">
      <formula1>3</formula1>
      <formula2>10</formula2>
    </dataValidation>
    <dataValidation type="whole" allowBlank="1" showInputMessage="1" showErrorMessage="1" errorTitle="Ungültiger Wert" error="Bitte geben Sie eine Zahl zwischen 1 und 25 ein." sqref="C5:C14" xr:uid="{00000000-0002-0000-0800-000004000000}">
      <formula1>1</formula1>
      <formula2>25</formula2>
    </dataValidation>
    <dataValidation type="whole" allowBlank="1" showInputMessage="1" showErrorMessage="1" errorTitle="Ungültiger Wert" error="Bitte geben Sie eine Zahl zwischen 2 und 40 ein." sqref="B5:B14" xr:uid="{00000000-0002-0000-0800-000005000000}">
      <formula1>2</formula1>
      <formula2>40</formula2>
    </dataValidation>
    <dataValidation type="list" allowBlank="1" showInputMessage="1" showErrorMessage="1" sqref="AB5" xr:uid="{00000000-0002-0000-0800-000006000000}">
      <formula1>$AB$2</formula1>
    </dataValidation>
    <dataValidation type="list" operator="equal" allowBlank="1" showInputMessage="1" showErrorMessage="1" errorTitle="Ungültiger Wert" error="Geben Sie bitte den Buchstaben a ein, falls dieses Zeichen ausgelassen wurde." sqref="AC5 AF5 AJ5 AM5 AT5 AX6:AX7 AQ6 AN6 AK6 AG6 AD6:AD7 AA7:AB7 AE7:AF7 AJ7 AS7:AS8 AU7 AY7 AV8 AP8 AL8 AI8:AI10 AB8 AA9 AE9 AM9 AQ9 AT9:AU9 AY9 AT10 AP10 AL10 AB10 AC11:AC12 AG11:AG12 AM11 AO11 AR11 AW11 AL12 AD12:AD13 AI13:AJ13 AN13 AS13 AX13 AY14 AO14 AK14 AH14 AA14 AC15:AC16 AE15:AF15 AJ15 AN15 AP15 AR15:AS15 AW16:AW17 AQ16:AQ17 AO16 AK16 AF16 AI17 AM17 AU17 AX18:AY18 AV18 AL18 AG18 AD18:AD19 AK19 AR19 AX19 AF20 AJ20 AL20 AO20 AS20 AB21:AB22 AG21:AG22 AK21 AN21 AQ21 AV21:AV22 AW22 AR22 AM22 AA23 AE23 AH23 AP23 AT23:AU23 AY23 AB24 AG24 AJ24 AN24:AN25 AQ24:AR24 AV24 AY25 AU25:AU26 AR25 AO25:AO26 AE25 AA25 AC26 AI26 AL26:AM26 AQ26 AX26 AT27 AP27 AG27 AB27:AB28 AH28:AH29 AL28 AS28 AV28 AX29:AY29 AT29:AT30 AO29:AP29 AK29 AD29 AA30 AE30:AF30 AJ30:AJ31 AP30 AV30:AW30 AW31 AR31 AF31:AG31 AC31 AH32:AH33 AN32 AT32 AY33 AU33 AR33 AO33:AP33 AK33 AE33 AA33 AD34 AF34 AQ34 AX34 AU35:AW35 AS35 AO35 AL35 AI35 AA35 AD36:AE36 AH36:AH37 AK36 AM36:AM37 AR36 AU36 AX36 AW37 AS37 AQ37 AI37 AC37 AG38 AK38 AO38 AV38:AV39 AS39 AL39:AM39 AB39 AC40 AI40 AM40 AX41 AT41 AQ41 AL41 AH41:AH42 AF41 AD41 AA42 AE42 AN42:AN43 AS42 AW42:AW43 AY42 AT43 AP43 AI43:AK43 AC43" xr:uid="{00000000-0002-0000-0800-000007000000}">
      <formula1>$AB$2</formula1>
    </dataValidation>
    <dataValidation type="list" allowBlank="1" showInputMessage="1" showErrorMessage="1" errorTitle="Ungültiger Wert" error="Geben Sie bitte den Buchstaben f ein, falls hier fälschlicherweise ein Zeichen angestrichen wurde." sqref="AA5" xr:uid="{00000000-0002-0000-0800-000008000000}">
      <formula1>AA2</formula1>
    </dataValidation>
    <dataValidation type="list" allowBlank="1" showInputMessage="1" showErrorMessage="1" errorTitle="Ungültiger Wert" error="Geben Sie bitte den Buchstaben f ein, falls hier fälschlicherweise ein Zeichen angestrichen wurde." sqref="AD5:AE5 AG5:AI5 AK5:AL5 AN5:AS5 AU5:AY5 AA6:AC6 AE6:AF6 AH6:AJ6 AL6:AM6 AO6:AP6 AR6:AW6 AY6 AC7 AG7:AI7 AK7:AR7 AT7 AV7:AW7 AA8 AC8:AH8 AJ8:AK8 AM8:AO8 AQ8:AR8 AT8:AU8 AW8:AY8 AB9:AD9 AF9:AH9 AJ9:AL9 AN9:AP9 AR9:AS9 AV9:AX9 AA10 AC10:AH10 AJ10:AK10 AM10:AO10 AQ10:AS10 AU10:AY10 AA11:AB12 AD11:AF11 AH11:AL11 AN11 AP11:AQ11 AS11:AV11 AX11:AY11 AE12:AF12 AH12:AK12 AM12:AY12 AA13:AC13 AE13:AH13 AK13:AM13 AO13:AR13 AT13:AW13 AY13 AB14:AG14 AI14:AJ14 AL14:AN14 AP14:AX14 AA15:AB16 AD15 AG15:AI15 AK15:AM15 AO15 AQ15 AT15:AY15 AD16:AE16 AG16:AJ16 AL16:AN16 AP16 AR16:AV16 AX16:AY17 AA17:AH17 AJ17:AL17 AN17:AP17 AR17:AT17 AV17 AA18:AC19 AE18:AF18 AH18:AK18 AM18:AU18 AW18 AE19:AJ19 AL19:AQ19 AS19:AW19 AY19 AA20:AE20 AG20:AI20 AK20 AM20:AN20 AP20:AR20 AT20:AY20 AA21:AA22 AC21:AF22 AH21:AJ21 AL21:AM21 AO21:AP21 AR21:AU21 AW21:AY21 AH22:AL22 AN22:AQ22 AS22:AU22 AX22:AY22 AB23:AD23 AF23:AG23 AI23:AO23 AQ23:AS23 AV23:AX23 AA24 AC24:AF24 AH24:AI24 AK24:AM24 AO24:AP24 AS24:AU24 AW24:AY24 AB25:AD25 AF25:AM25 AP25:AQ25 AS25:AT25 AV25:AX25 AA26:AB26 AD26:AH26 AJ26:AK26 AN26 AP26 AR26:AT26 AV26:AW26 AY26 AA27:AA28 AC27:AF27 AH27:AO27 AQ27:AS27 AU27:AY27 AC28:AG28 AI28:AK28 AM28:AR28 AT28:AU28 AW28:AY28 AA29:AC29 AE29:AG29 AI29:AJ29 AL29:AN29 AQ29:AS30 AU29:AW29 AB30:AD30 AG30:AI30 AK30:AO30 AU30 AX30:AY31 AA31:AB31 AD31:AE31 AH31:AI31 AK31:AQ31 AS31:AV31 AA32:AG32 AI32:AM32 AO32:AS32 AU32:AY32 AB33:AD33 AF33:AG33 AI33:AJ33 AL33:AN33 AQ33 AS33:AT33 AV33:AX33 AA34:AC34 AE34 AG34:AP34 AR34:AW34 AY34 AB35:AH35 AJ35:AK35 AM35:AN35 AP35:AR35 AT35 AX35:AY35 AA36:AC36 AF36:AG36 AI36:AJ36 AL36 AN36:AQ36 AS36:AT36 AV36:AW36 AY36 AA37:AB37 AD37:AG37 AJ37:AL37 AN37:AP37 AR37 AT37:AV37 AX37:AY37 AA38:AF38 AH38:AJ38 AL38:AN38 AP38:AU38 AW38:AY39 AA39 AC39:AK39 AN39:AR39 AT39:AU39 AA40:AB40 AD40:AH40 AJ40:AL40 AN40:AY40 AA41:AC41 AE41 AG41 AI41:AK41 AM41:AP41 AR41:AS41 AU41:AW41 AY41 AB42:AD42 AF42:AG42 AI42:AM42 AO42:AR42 AT42:AV42 AX42 AA43:AB43 AD43:AH43 AL43:AM43 AO43 AQ43:AS43 AU43:AV43 AX43:AY43" xr:uid="{00000000-0002-0000-0800-000009000000}">
      <formula1>$AA$2</formula1>
    </dataValidation>
    <dataValidation type="whole" allowBlank="1" showInputMessage="1" showErrorMessage="1" errorTitle="Ungültiger Wert" sqref="G5:G14 H5:H14" xr:uid="{00000000-0002-0000-0800-00000A000000}">
      <formula1>0</formula1>
      <formula2>50</formula2>
    </dataValidation>
    <dataValidation type="whole" allowBlank="1" showInputMessage="1" showErrorMessage="1" errorTitle="Ungültiger Wert" sqref="J14:K14 N14" xr:uid="{00000000-0002-0000-0800-00000B000000}">
      <formula1>0</formula1>
      <formula2>241</formula2>
    </dataValidation>
    <dataValidation type="whole" allowBlank="1" showInputMessage="1" showErrorMessage="1" errorTitle="Ungültiger Wert" sqref="L14" xr:uid="{00000000-0002-0000-0800-00000C000000}">
      <formula1>0</formula1>
      <formula2>975</formula2>
    </dataValidation>
    <dataValidation type="whole" allowBlank="1" showInputMessage="1" showErrorMessage="1" errorTitle="Ungültiger Wert" sqref="M14" xr:uid="{00000000-0002-0000-0800-00000D000000}">
      <formula1>0</formula1>
      <formula2>734</formula2>
    </dataValidation>
  </dataValidations>
  <pageMargins left="0.78740157499999996" right="0.78740157499999996" top="0.984251969" bottom="0.984251969" header="0.4921259845" footer="0.4921259845"/>
  <pageSetup paperSize="9" orientation="portrait"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D146D-6D01-417A-8164-E54D6A4FE404}">
  <dimension ref="A1:Y39"/>
  <sheetViews>
    <sheetView zoomScale="33" workbookViewId="0">
      <selection activeCell="W59" sqref="W59"/>
    </sheetView>
  </sheetViews>
  <sheetFormatPr baseColWidth="10" defaultRowHeight="12.55" x14ac:dyDescent="0.2"/>
  <sheetData>
    <row r="1" spans="1:25" x14ac:dyDescent="0.2">
      <c r="A1">
        <f>T2B!AA5</f>
        <v>0</v>
      </c>
      <c r="B1">
        <f>T2B!AB5</f>
        <v>0</v>
      </c>
      <c r="C1">
        <f>T2B!AC5</f>
        <v>0</v>
      </c>
      <c r="D1">
        <f>T2B!AD5</f>
        <v>0</v>
      </c>
      <c r="E1">
        <f>T2B!AE5</f>
        <v>0</v>
      </c>
      <c r="F1">
        <f>T2B!AF5</f>
        <v>0</v>
      </c>
      <c r="G1">
        <f>T2B!AG5</f>
        <v>0</v>
      </c>
      <c r="H1">
        <f>T2B!AH5</f>
        <v>0</v>
      </c>
      <c r="I1">
        <f>T2B!AI5</f>
        <v>0</v>
      </c>
      <c r="J1">
        <f>T2B!AJ5</f>
        <v>0</v>
      </c>
      <c r="K1">
        <f>T2B!AK5</f>
        <v>0</v>
      </c>
      <c r="L1">
        <f>T2B!AL5</f>
        <v>0</v>
      </c>
      <c r="M1">
        <f>T2B!AM5</f>
        <v>0</v>
      </c>
      <c r="N1">
        <f>T2B!AN5</f>
        <v>0</v>
      </c>
      <c r="O1">
        <f>T2B!AO5</f>
        <v>0</v>
      </c>
      <c r="P1">
        <f>T2B!AP5</f>
        <v>0</v>
      </c>
      <c r="Q1">
        <f>T2B!AQ5</f>
        <v>0</v>
      </c>
      <c r="R1">
        <f>T2B!AR5</f>
        <v>0</v>
      </c>
      <c r="S1">
        <f>T2B!AS5</f>
        <v>0</v>
      </c>
      <c r="T1">
        <f>T2B!AT5</f>
        <v>0</v>
      </c>
      <c r="U1">
        <f>T2B!AU5</f>
        <v>0</v>
      </c>
      <c r="V1">
        <f>T2B!AV5</f>
        <v>0</v>
      </c>
      <c r="W1">
        <f>T2B!AW5</f>
        <v>0</v>
      </c>
      <c r="X1">
        <f>T2B!AX5</f>
        <v>0</v>
      </c>
      <c r="Y1">
        <f>T2B!AY5</f>
        <v>0</v>
      </c>
    </row>
    <row r="2" spans="1:25" x14ac:dyDescent="0.2">
      <c r="A2">
        <f>T2B!AA6</f>
        <v>0</v>
      </c>
      <c r="B2">
        <f>T2B!AB6</f>
        <v>0</v>
      </c>
      <c r="C2">
        <f>T2B!AC6</f>
        <v>0</v>
      </c>
      <c r="D2">
        <f>T2B!AD6</f>
        <v>0</v>
      </c>
      <c r="E2">
        <f>T2B!AE6</f>
        <v>0</v>
      </c>
      <c r="F2">
        <f>T2B!AF6</f>
        <v>0</v>
      </c>
      <c r="G2">
        <f>T2B!AG6</f>
        <v>0</v>
      </c>
      <c r="H2">
        <f>T2B!AH6</f>
        <v>0</v>
      </c>
      <c r="I2">
        <f>T2B!AI6</f>
        <v>0</v>
      </c>
      <c r="J2">
        <f>T2B!AJ6</f>
        <v>0</v>
      </c>
      <c r="K2">
        <f>T2B!AK6</f>
        <v>0</v>
      </c>
      <c r="L2">
        <f>T2B!AL6</f>
        <v>0</v>
      </c>
      <c r="M2">
        <f>T2B!AM6</f>
        <v>0</v>
      </c>
      <c r="N2">
        <f>T2B!AN6</f>
        <v>0</v>
      </c>
      <c r="O2">
        <f>T2B!AO6</f>
        <v>0</v>
      </c>
      <c r="P2">
        <f>T2B!AP6</f>
        <v>0</v>
      </c>
      <c r="Q2">
        <f>T2B!AQ6</f>
        <v>0</v>
      </c>
      <c r="R2">
        <f>T2B!AR6</f>
        <v>0</v>
      </c>
      <c r="S2">
        <f>T2B!AS6</f>
        <v>0</v>
      </c>
      <c r="T2">
        <f>T2B!AT6</f>
        <v>0</v>
      </c>
      <c r="U2">
        <f>T2B!AU6</f>
        <v>0</v>
      </c>
      <c r="V2">
        <f>T2B!AV6</f>
        <v>0</v>
      </c>
      <c r="W2">
        <f>T2B!AW6</f>
        <v>0</v>
      </c>
      <c r="X2">
        <f>T2B!AX6</f>
        <v>0</v>
      </c>
      <c r="Y2">
        <f>T2B!AY6</f>
        <v>0</v>
      </c>
    </row>
    <row r="3" spans="1:25" x14ac:dyDescent="0.2">
      <c r="A3">
        <f>T2B!AA7</f>
        <v>0</v>
      </c>
      <c r="B3">
        <f>T2B!AB7</f>
        <v>0</v>
      </c>
      <c r="C3">
        <f>T2B!AC7</f>
        <v>0</v>
      </c>
      <c r="D3">
        <f>T2B!AD7</f>
        <v>0</v>
      </c>
      <c r="E3">
        <f>T2B!AE7</f>
        <v>0</v>
      </c>
      <c r="F3">
        <f>T2B!AF7</f>
        <v>0</v>
      </c>
      <c r="G3">
        <f>T2B!AG7</f>
        <v>0</v>
      </c>
      <c r="H3">
        <f>T2B!AH7</f>
        <v>0</v>
      </c>
      <c r="I3">
        <f>T2B!AI7</f>
        <v>0</v>
      </c>
      <c r="J3">
        <f>T2B!AJ7</f>
        <v>0</v>
      </c>
      <c r="K3">
        <f>T2B!AK7</f>
        <v>0</v>
      </c>
      <c r="L3">
        <f>T2B!AL7</f>
        <v>0</v>
      </c>
      <c r="M3">
        <f>T2B!AM7</f>
        <v>0</v>
      </c>
      <c r="N3">
        <f>T2B!AN7</f>
        <v>0</v>
      </c>
      <c r="O3">
        <f>T2B!AO7</f>
        <v>0</v>
      </c>
      <c r="P3">
        <f>T2B!AP7</f>
        <v>0</v>
      </c>
      <c r="Q3">
        <f>T2B!AQ7</f>
        <v>0</v>
      </c>
      <c r="R3">
        <f>T2B!AR7</f>
        <v>0</v>
      </c>
      <c r="S3">
        <f>T2B!AS7</f>
        <v>0</v>
      </c>
      <c r="T3">
        <f>T2B!AT7</f>
        <v>0</v>
      </c>
      <c r="U3">
        <f>T2B!AU7</f>
        <v>0</v>
      </c>
      <c r="V3">
        <f>T2B!AV7</f>
        <v>0</v>
      </c>
      <c r="W3">
        <f>T2B!AW7</f>
        <v>0</v>
      </c>
      <c r="X3">
        <f>T2B!AX7</f>
        <v>0</v>
      </c>
      <c r="Y3">
        <f>T2B!AY7</f>
        <v>0</v>
      </c>
    </row>
    <row r="4" spans="1:25" x14ac:dyDescent="0.2">
      <c r="A4">
        <f>T2B!AA8</f>
        <v>0</v>
      </c>
      <c r="B4">
        <f>T2B!AB8</f>
        <v>0</v>
      </c>
      <c r="C4">
        <f>T2B!AC8</f>
        <v>0</v>
      </c>
      <c r="D4">
        <f>T2B!AD8</f>
        <v>0</v>
      </c>
      <c r="E4">
        <f>T2B!AE8</f>
        <v>0</v>
      </c>
      <c r="F4">
        <f>T2B!AF8</f>
        <v>0</v>
      </c>
      <c r="G4">
        <f>T2B!AG8</f>
        <v>0</v>
      </c>
      <c r="H4">
        <f>T2B!AH8</f>
        <v>0</v>
      </c>
      <c r="I4">
        <f>T2B!AI8</f>
        <v>0</v>
      </c>
      <c r="J4">
        <f>T2B!AJ8</f>
        <v>0</v>
      </c>
      <c r="K4">
        <f>T2B!AK8</f>
        <v>0</v>
      </c>
      <c r="L4">
        <f>T2B!AL8</f>
        <v>0</v>
      </c>
      <c r="M4">
        <f>T2B!AM8</f>
        <v>0</v>
      </c>
      <c r="N4">
        <f>T2B!AN8</f>
        <v>0</v>
      </c>
      <c r="O4">
        <f>T2B!AO8</f>
        <v>0</v>
      </c>
      <c r="P4">
        <f>T2B!AP8</f>
        <v>0</v>
      </c>
      <c r="Q4">
        <f>T2B!AQ8</f>
        <v>0</v>
      </c>
      <c r="R4">
        <f>T2B!AR8</f>
        <v>0</v>
      </c>
      <c r="S4">
        <f>T2B!AS8</f>
        <v>0</v>
      </c>
      <c r="T4">
        <f>T2B!AT8</f>
        <v>0</v>
      </c>
      <c r="U4">
        <f>T2B!AU8</f>
        <v>0</v>
      </c>
      <c r="V4">
        <f>T2B!AV8</f>
        <v>0</v>
      </c>
      <c r="W4">
        <f>T2B!AW8</f>
        <v>0</v>
      </c>
      <c r="X4">
        <f>T2B!AX8</f>
        <v>0</v>
      </c>
      <c r="Y4">
        <f>T2B!AY8</f>
        <v>0</v>
      </c>
    </row>
    <row r="5" spans="1:25" x14ac:dyDescent="0.2">
      <c r="A5">
        <f>T2B!AA9</f>
        <v>0</v>
      </c>
      <c r="B5">
        <f>T2B!AB9</f>
        <v>0</v>
      </c>
      <c r="C5">
        <f>T2B!AC9</f>
        <v>0</v>
      </c>
      <c r="D5">
        <f>T2B!AD9</f>
        <v>0</v>
      </c>
      <c r="E5">
        <f>T2B!AE9</f>
        <v>0</v>
      </c>
      <c r="F5">
        <f>T2B!AF9</f>
        <v>0</v>
      </c>
      <c r="G5">
        <f>T2B!AG9</f>
        <v>0</v>
      </c>
      <c r="H5">
        <f>T2B!AH9</f>
        <v>0</v>
      </c>
      <c r="I5">
        <f>T2B!AI9</f>
        <v>0</v>
      </c>
      <c r="J5">
        <f>T2B!AJ9</f>
        <v>0</v>
      </c>
      <c r="K5">
        <f>T2B!AK9</f>
        <v>0</v>
      </c>
      <c r="L5">
        <f>T2B!AL9</f>
        <v>0</v>
      </c>
      <c r="M5">
        <f>T2B!AM9</f>
        <v>0</v>
      </c>
      <c r="N5">
        <f>T2B!AN9</f>
        <v>0</v>
      </c>
      <c r="O5">
        <f>T2B!AO9</f>
        <v>0</v>
      </c>
      <c r="P5">
        <f>T2B!AP9</f>
        <v>0</v>
      </c>
      <c r="Q5">
        <f>T2B!AQ9</f>
        <v>0</v>
      </c>
      <c r="R5">
        <f>T2B!AR9</f>
        <v>0</v>
      </c>
      <c r="S5">
        <f>T2B!AS9</f>
        <v>0</v>
      </c>
      <c r="T5">
        <f>T2B!AT9</f>
        <v>0</v>
      </c>
      <c r="U5">
        <f>T2B!AU9</f>
        <v>0</v>
      </c>
      <c r="V5">
        <f>T2B!AV9</f>
        <v>0</v>
      </c>
      <c r="W5">
        <f>T2B!AW9</f>
        <v>0</v>
      </c>
      <c r="X5">
        <f>T2B!AX9</f>
        <v>0</v>
      </c>
      <c r="Y5">
        <f>T2B!AY9</f>
        <v>0</v>
      </c>
    </row>
    <row r="6" spans="1:25" x14ac:dyDescent="0.2">
      <c r="A6">
        <f>T2B!AA10</f>
        <v>0</v>
      </c>
      <c r="B6">
        <f>T2B!AB10</f>
        <v>0</v>
      </c>
      <c r="C6">
        <f>T2B!AC10</f>
        <v>0</v>
      </c>
      <c r="D6">
        <f>T2B!AD10</f>
        <v>0</v>
      </c>
      <c r="E6">
        <f>T2B!AE10</f>
        <v>0</v>
      </c>
      <c r="F6">
        <f>T2B!AF10</f>
        <v>0</v>
      </c>
      <c r="G6">
        <f>T2B!AG10</f>
        <v>0</v>
      </c>
      <c r="H6">
        <f>T2B!AH10</f>
        <v>0</v>
      </c>
      <c r="I6">
        <f>T2B!AI10</f>
        <v>0</v>
      </c>
      <c r="J6">
        <f>T2B!AJ10</f>
        <v>0</v>
      </c>
      <c r="K6">
        <f>T2B!AK10</f>
        <v>0</v>
      </c>
      <c r="L6">
        <f>T2B!AL10</f>
        <v>0</v>
      </c>
      <c r="M6">
        <f>T2B!AM10</f>
        <v>0</v>
      </c>
      <c r="N6">
        <f>T2B!AN10</f>
        <v>0</v>
      </c>
      <c r="O6">
        <f>T2B!AO10</f>
        <v>0</v>
      </c>
      <c r="P6">
        <f>T2B!AP10</f>
        <v>0</v>
      </c>
      <c r="Q6">
        <f>T2B!AQ10</f>
        <v>0</v>
      </c>
      <c r="R6">
        <f>T2B!AR10</f>
        <v>0</v>
      </c>
      <c r="S6">
        <f>T2B!AS10</f>
        <v>0</v>
      </c>
      <c r="T6">
        <f>T2B!AT10</f>
        <v>0</v>
      </c>
      <c r="U6">
        <f>T2B!AU10</f>
        <v>0</v>
      </c>
      <c r="V6">
        <f>T2B!AV10</f>
        <v>0</v>
      </c>
      <c r="W6">
        <f>T2B!AW10</f>
        <v>0</v>
      </c>
      <c r="X6">
        <f>T2B!AX10</f>
        <v>0</v>
      </c>
      <c r="Y6">
        <f>T2B!AY10</f>
        <v>0</v>
      </c>
    </row>
    <row r="7" spans="1:25" x14ac:dyDescent="0.2">
      <c r="A7">
        <f>T2B!AA11</f>
        <v>0</v>
      </c>
      <c r="B7">
        <f>T2B!AB11</f>
        <v>0</v>
      </c>
      <c r="C7">
        <f>T2B!AC11</f>
        <v>0</v>
      </c>
      <c r="D7">
        <f>T2B!AD11</f>
        <v>0</v>
      </c>
      <c r="E7">
        <f>T2B!AE11</f>
        <v>0</v>
      </c>
      <c r="F7">
        <f>T2B!AF11</f>
        <v>0</v>
      </c>
      <c r="G7">
        <f>T2B!AG11</f>
        <v>0</v>
      </c>
      <c r="H7">
        <f>T2B!AH11</f>
        <v>0</v>
      </c>
      <c r="I7">
        <f>T2B!AI11</f>
        <v>0</v>
      </c>
      <c r="J7">
        <f>T2B!AJ11</f>
        <v>0</v>
      </c>
      <c r="K7">
        <f>T2B!AK11</f>
        <v>0</v>
      </c>
      <c r="L7">
        <f>T2B!AL11</f>
        <v>0</v>
      </c>
      <c r="M7">
        <f>T2B!AM11</f>
        <v>0</v>
      </c>
      <c r="N7">
        <f>T2B!AN11</f>
        <v>0</v>
      </c>
      <c r="O7">
        <f>T2B!AO11</f>
        <v>0</v>
      </c>
      <c r="P7">
        <f>T2B!AP11</f>
        <v>0</v>
      </c>
      <c r="Q7">
        <f>T2B!AQ11</f>
        <v>0</v>
      </c>
      <c r="R7">
        <f>T2B!AR11</f>
        <v>0</v>
      </c>
      <c r="S7">
        <f>T2B!AS11</f>
        <v>0</v>
      </c>
      <c r="T7">
        <f>T2B!AT11</f>
        <v>0</v>
      </c>
      <c r="U7">
        <f>T2B!AU11</f>
        <v>0</v>
      </c>
      <c r="V7">
        <f>T2B!AV11</f>
        <v>0</v>
      </c>
      <c r="W7">
        <f>T2B!AW11</f>
        <v>0</v>
      </c>
      <c r="X7">
        <f>T2B!AX11</f>
        <v>0</v>
      </c>
      <c r="Y7">
        <f>T2B!AY11</f>
        <v>0</v>
      </c>
    </row>
    <row r="8" spans="1:25" x14ac:dyDescent="0.2">
      <c r="A8">
        <f>T2B!AA12</f>
        <v>0</v>
      </c>
      <c r="B8">
        <f>T2B!AB12</f>
        <v>0</v>
      </c>
      <c r="C8">
        <f>T2B!AC12</f>
        <v>0</v>
      </c>
      <c r="D8">
        <f>T2B!AD12</f>
        <v>0</v>
      </c>
      <c r="E8">
        <f>T2B!AE12</f>
        <v>0</v>
      </c>
      <c r="F8">
        <f>T2B!AF12</f>
        <v>0</v>
      </c>
      <c r="G8">
        <f>T2B!AG12</f>
        <v>0</v>
      </c>
      <c r="H8">
        <f>T2B!AH12</f>
        <v>0</v>
      </c>
      <c r="I8">
        <f>T2B!AI12</f>
        <v>0</v>
      </c>
      <c r="J8">
        <f>T2B!AJ12</f>
        <v>0</v>
      </c>
      <c r="K8">
        <f>T2B!AK12</f>
        <v>0</v>
      </c>
      <c r="L8">
        <f>T2B!AL12</f>
        <v>0</v>
      </c>
      <c r="M8">
        <f>T2B!AM12</f>
        <v>0</v>
      </c>
      <c r="N8">
        <f>T2B!AN12</f>
        <v>0</v>
      </c>
      <c r="O8">
        <f>T2B!AO12</f>
        <v>0</v>
      </c>
      <c r="P8">
        <f>T2B!AP12</f>
        <v>0</v>
      </c>
      <c r="Q8">
        <f>T2B!AQ12</f>
        <v>0</v>
      </c>
      <c r="R8">
        <f>T2B!AR12</f>
        <v>0</v>
      </c>
      <c r="S8">
        <f>T2B!AS12</f>
        <v>0</v>
      </c>
      <c r="T8">
        <f>T2B!AT12</f>
        <v>0</v>
      </c>
      <c r="U8">
        <f>T2B!AU12</f>
        <v>0</v>
      </c>
      <c r="V8">
        <f>T2B!AV12</f>
        <v>0</v>
      </c>
      <c r="W8">
        <f>T2B!AW12</f>
        <v>0</v>
      </c>
      <c r="X8">
        <f>T2B!AX12</f>
        <v>0</v>
      </c>
      <c r="Y8">
        <f>T2B!AY12</f>
        <v>0</v>
      </c>
    </row>
    <row r="9" spans="1:25" x14ac:dyDescent="0.2">
      <c r="A9">
        <f>T2B!AA13</f>
        <v>0</v>
      </c>
      <c r="B9">
        <f>T2B!AB13</f>
        <v>0</v>
      </c>
      <c r="C9">
        <f>T2B!AC13</f>
        <v>0</v>
      </c>
      <c r="D9">
        <f>T2B!AD13</f>
        <v>0</v>
      </c>
      <c r="E9">
        <f>T2B!AE13</f>
        <v>0</v>
      </c>
      <c r="F9">
        <f>T2B!AF13</f>
        <v>0</v>
      </c>
      <c r="G9">
        <f>T2B!AG13</f>
        <v>0</v>
      </c>
      <c r="H9">
        <f>T2B!AH13</f>
        <v>0</v>
      </c>
      <c r="I9">
        <f>T2B!AI13</f>
        <v>0</v>
      </c>
      <c r="J9">
        <f>T2B!AJ13</f>
        <v>0</v>
      </c>
      <c r="K9">
        <f>T2B!AK13</f>
        <v>0</v>
      </c>
      <c r="L9">
        <f>T2B!AL13</f>
        <v>0</v>
      </c>
      <c r="M9">
        <f>T2B!AM13</f>
        <v>0</v>
      </c>
      <c r="N9">
        <f>T2B!AN13</f>
        <v>0</v>
      </c>
      <c r="O9">
        <f>T2B!AO13</f>
        <v>0</v>
      </c>
      <c r="P9">
        <f>T2B!AP13</f>
        <v>0</v>
      </c>
      <c r="Q9">
        <f>T2B!AQ13</f>
        <v>0</v>
      </c>
      <c r="R9">
        <f>T2B!AR13</f>
        <v>0</v>
      </c>
      <c r="S9">
        <f>T2B!AS13</f>
        <v>0</v>
      </c>
      <c r="T9">
        <f>T2B!AT13</f>
        <v>0</v>
      </c>
      <c r="U9">
        <f>T2B!AU13</f>
        <v>0</v>
      </c>
      <c r="V9">
        <f>T2B!AV13</f>
        <v>0</v>
      </c>
      <c r="W9">
        <f>T2B!AW13</f>
        <v>0</v>
      </c>
      <c r="X9">
        <f>T2B!AX13</f>
        <v>0</v>
      </c>
      <c r="Y9">
        <f>T2B!AY13</f>
        <v>0</v>
      </c>
    </row>
    <row r="10" spans="1:25" x14ac:dyDescent="0.2">
      <c r="A10">
        <f>T2B!AA14</f>
        <v>0</v>
      </c>
      <c r="B10">
        <f>T2B!AB14</f>
        <v>0</v>
      </c>
      <c r="C10">
        <f>T2B!AC14</f>
        <v>0</v>
      </c>
      <c r="D10">
        <f>T2B!AD14</f>
        <v>0</v>
      </c>
      <c r="E10">
        <f>T2B!AE14</f>
        <v>0</v>
      </c>
      <c r="F10">
        <f>T2B!AF14</f>
        <v>0</v>
      </c>
      <c r="G10">
        <f>T2B!AG14</f>
        <v>0</v>
      </c>
      <c r="H10">
        <f>T2B!AH14</f>
        <v>0</v>
      </c>
      <c r="I10">
        <f>T2B!AI14</f>
        <v>0</v>
      </c>
      <c r="J10">
        <f>T2B!AJ14</f>
        <v>0</v>
      </c>
      <c r="K10">
        <f>T2B!AK14</f>
        <v>0</v>
      </c>
      <c r="L10">
        <f>T2B!AL14</f>
        <v>0</v>
      </c>
      <c r="M10">
        <f>T2B!AM14</f>
        <v>0</v>
      </c>
      <c r="N10">
        <f>T2B!AN14</f>
        <v>0</v>
      </c>
      <c r="O10">
        <f>T2B!AO14</f>
        <v>0</v>
      </c>
      <c r="P10">
        <f>T2B!AP14</f>
        <v>0</v>
      </c>
      <c r="Q10">
        <f>T2B!AQ14</f>
        <v>0</v>
      </c>
      <c r="R10">
        <f>T2B!AR14</f>
        <v>0</v>
      </c>
      <c r="S10">
        <f>T2B!AS14</f>
        <v>0</v>
      </c>
      <c r="T10">
        <f>T2B!AT14</f>
        <v>0</v>
      </c>
      <c r="U10">
        <f>T2B!AU14</f>
        <v>0</v>
      </c>
      <c r="V10">
        <f>T2B!AV14</f>
        <v>0</v>
      </c>
      <c r="W10">
        <f>T2B!AW14</f>
        <v>0</v>
      </c>
      <c r="X10">
        <f>T2B!AX14</f>
        <v>0</v>
      </c>
      <c r="Y10">
        <f>T2B!AY14</f>
        <v>0</v>
      </c>
    </row>
    <row r="11" spans="1:25" x14ac:dyDescent="0.2">
      <c r="A11">
        <f>T2B!AA15</f>
        <v>0</v>
      </c>
      <c r="B11">
        <f>T2B!AB15</f>
        <v>0</v>
      </c>
      <c r="C11">
        <f>T2B!AC15</f>
        <v>0</v>
      </c>
      <c r="D11">
        <f>T2B!AD15</f>
        <v>0</v>
      </c>
      <c r="E11">
        <f>T2B!AE15</f>
        <v>0</v>
      </c>
      <c r="F11">
        <f>T2B!AF15</f>
        <v>0</v>
      </c>
      <c r="G11">
        <f>T2B!AG15</f>
        <v>0</v>
      </c>
      <c r="H11">
        <f>T2B!AH15</f>
        <v>0</v>
      </c>
      <c r="I11">
        <f>T2B!AI15</f>
        <v>0</v>
      </c>
      <c r="J11">
        <f>T2B!AJ15</f>
        <v>0</v>
      </c>
      <c r="K11">
        <f>T2B!AK15</f>
        <v>0</v>
      </c>
      <c r="L11">
        <f>T2B!AL15</f>
        <v>0</v>
      </c>
      <c r="M11">
        <f>T2B!AM15</f>
        <v>0</v>
      </c>
      <c r="N11">
        <f>T2B!AN15</f>
        <v>0</v>
      </c>
      <c r="O11">
        <f>T2B!AO15</f>
        <v>0</v>
      </c>
      <c r="P11">
        <f>T2B!AP15</f>
        <v>0</v>
      </c>
      <c r="Q11">
        <f>T2B!AQ15</f>
        <v>0</v>
      </c>
      <c r="R11">
        <f>T2B!AR15</f>
        <v>0</v>
      </c>
      <c r="S11">
        <f>T2B!AS15</f>
        <v>0</v>
      </c>
      <c r="T11">
        <f>T2B!AT15</f>
        <v>0</v>
      </c>
      <c r="U11">
        <f>T2B!AU15</f>
        <v>0</v>
      </c>
      <c r="V11">
        <f>T2B!AV15</f>
        <v>0</v>
      </c>
      <c r="W11">
        <f>T2B!AW15</f>
        <v>0</v>
      </c>
      <c r="X11">
        <f>T2B!AX15</f>
        <v>0</v>
      </c>
      <c r="Y11">
        <f>T2B!AY15</f>
        <v>0</v>
      </c>
    </row>
    <row r="12" spans="1:25" x14ac:dyDescent="0.2">
      <c r="A12">
        <f>T2B!AA16</f>
        <v>0</v>
      </c>
      <c r="B12">
        <f>T2B!AB16</f>
        <v>0</v>
      </c>
      <c r="C12" t="str">
        <f>T2B!AC16</f>
        <v>a</v>
      </c>
      <c r="D12">
        <f>T2B!AD16</f>
        <v>0</v>
      </c>
      <c r="E12">
        <f>T2B!AE16</f>
        <v>0</v>
      </c>
      <c r="F12">
        <f>T2B!AF16</f>
        <v>0</v>
      </c>
      <c r="G12">
        <f>T2B!AG16</f>
        <v>0</v>
      </c>
      <c r="H12">
        <f>T2B!AH16</f>
        <v>0</v>
      </c>
      <c r="I12">
        <f>T2B!AI16</f>
        <v>0</v>
      </c>
      <c r="J12">
        <f>T2B!AJ16</f>
        <v>0</v>
      </c>
      <c r="K12">
        <f>T2B!AK16</f>
        <v>0</v>
      </c>
      <c r="L12">
        <f>T2B!AL16</f>
        <v>0</v>
      </c>
      <c r="M12">
        <f>T2B!AM16</f>
        <v>0</v>
      </c>
      <c r="N12">
        <f>T2B!AN16</f>
        <v>0</v>
      </c>
      <c r="O12">
        <f>T2B!AO16</f>
        <v>0</v>
      </c>
      <c r="P12">
        <f>T2B!AP16</f>
        <v>0</v>
      </c>
      <c r="Q12">
        <f>T2B!AQ16</f>
        <v>0</v>
      </c>
      <c r="R12">
        <f>T2B!AR16</f>
        <v>0</v>
      </c>
      <c r="S12">
        <f>T2B!AS16</f>
        <v>0</v>
      </c>
      <c r="T12">
        <f>T2B!AT16</f>
        <v>0</v>
      </c>
      <c r="U12">
        <f>T2B!AU16</f>
        <v>0</v>
      </c>
      <c r="V12">
        <f>T2B!AV16</f>
        <v>0</v>
      </c>
      <c r="W12">
        <f>T2B!AW16</f>
        <v>0</v>
      </c>
      <c r="X12">
        <f>T2B!AX16</f>
        <v>0</v>
      </c>
      <c r="Y12">
        <f>T2B!AY16</f>
        <v>0</v>
      </c>
    </row>
    <row r="13" spans="1:25" x14ac:dyDescent="0.2">
      <c r="A13">
        <f>T2B!AA17</f>
        <v>0</v>
      </c>
      <c r="B13">
        <f>T2B!AB17</f>
        <v>0</v>
      </c>
      <c r="C13">
        <f>T2B!AC17</f>
        <v>0</v>
      </c>
      <c r="D13">
        <f>T2B!AD17</f>
        <v>0</v>
      </c>
      <c r="E13">
        <f>T2B!AE17</f>
        <v>0</v>
      </c>
      <c r="F13">
        <f>T2B!AF17</f>
        <v>0</v>
      </c>
      <c r="G13">
        <f>T2B!AG17</f>
        <v>0</v>
      </c>
      <c r="H13">
        <f>T2B!AH17</f>
        <v>0</v>
      </c>
      <c r="I13">
        <f>T2B!AI17</f>
        <v>0</v>
      </c>
      <c r="J13">
        <f>T2B!AJ17</f>
        <v>0</v>
      </c>
      <c r="K13">
        <f>T2B!AK17</f>
        <v>0</v>
      </c>
      <c r="L13">
        <f>T2B!AL17</f>
        <v>0</v>
      </c>
      <c r="M13">
        <f>T2B!AM17</f>
        <v>0</v>
      </c>
      <c r="N13">
        <f>T2B!AN17</f>
        <v>0</v>
      </c>
      <c r="O13">
        <f>T2B!AO17</f>
        <v>0</v>
      </c>
      <c r="P13">
        <f>T2B!AP17</f>
        <v>0</v>
      </c>
      <c r="Q13">
        <f>T2B!AQ17</f>
        <v>0</v>
      </c>
      <c r="R13">
        <f>T2B!AR17</f>
        <v>0</v>
      </c>
      <c r="S13">
        <f>T2B!AS17</f>
        <v>0</v>
      </c>
      <c r="T13">
        <f>T2B!AT17</f>
        <v>0</v>
      </c>
      <c r="U13">
        <f>T2B!AU17</f>
        <v>0</v>
      </c>
      <c r="V13">
        <f>T2B!AV17</f>
        <v>0</v>
      </c>
      <c r="W13">
        <f>T2B!AW17</f>
        <v>0</v>
      </c>
      <c r="X13">
        <f>T2B!AX17</f>
        <v>0</v>
      </c>
      <c r="Y13">
        <f>T2B!AY17</f>
        <v>0</v>
      </c>
    </row>
    <row r="14" spans="1:25" x14ac:dyDescent="0.2">
      <c r="A14">
        <f>T2B!AA18</f>
        <v>0</v>
      </c>
      <c r="B14">
        <f>T2B!AB18</f>
        <v>0</v>
      </c>
      <c r="C14">
        <f>T2B!AC18</f>
        <v>0</v>
      </c>
      <c r="D14">
        <f>T2B!AD18</f>
        <v>0</v>
      </c>
      <c r="E14">
        <f>T2B!AE18</f>
        <v>0</v>
      </c>
      <c r="F14">
        <f>T2B!AF18</f>
        <v>0</v>
      </c>
      <c r="G14">
        <f>T2B!AG18</f>
        <v>0</v>
      </c>
      <c r="H14">
        <f>T2B!AH18</f>
        <v>0</v>
      </c>
      <c r="I14">
        <f>T2B!AI18</f>
        <v>0</v>
      </c>
      <c r="J14">
        <f>T2B!AJ18</f>
        <v>0</v>
      </c>
      <c r="K14">
        <f>T2B!AK18</f>
        <v>0</v>
      </c>
      <c r="L14">
        <f>T2B!AL18</f>
        <v>0</v>
      </c>
      <c r="M14">
        <f>T2B!AM18</f>
        <v>0</v>
      </c>
      <c r="N14">
        <f>T2B!AN18</f>
        <v>0</v>
      </c>
      <c r="O14">
        <f>T2B!AO18</f>
        <v>0</v>
      </c>
      <c r="P14">
        <f>T2B!AP18</f>
        <v>0</v>
      </c>
      <c r="Q14">
        <f>T2B!AQ18</f>
        <v>0</v>
      </c>
      <c r="R14">
        <f>T2B!AR18</f>
        <v>0</v>
      </c>
      <c r="S14">
        <f>T2B!AS18</f>
        <v>0</v>
      </c>
      <c r="T14">
        <f>T2B!AT18</f>
        <v>0</v>
      </c>
      <c r="U14">
        <f>T2B!AU18</f>
        <v>0</v>
      </c>
      <c r="V14">
        <f>T2B!AV18</f>
        <v>0</v>
      </c>
      <c r="W14">
        <f>T2B!AW18</f>
        <v>0</v>
      </c>
      <c r="X14">
        <f>T2B!AX18</f>
        <v>0</v>
      </c>
      <c r="Y14">
        <f>T2B!AY18</f>
        <v>0</v>
      </c>
    </row>
    <row r="15" spans="1:25" x14ac:dyDescent="0.2">
      <c r="A15">
        <f>T2B!AA19</f>
        <v>0</v>
      </c>
      <c r="B15">
        <f>T2B!AB19</f>
        <v>0</v>
      </c>
      <c r="C15">
        <f>T2B!AC19</f>
        <v>0</v>
      </c>
      <c r="D15">
        <f>T2B!AD19</f>
        <v>0</v>
      </c>
      <c r="E15">
        <f>T2B!AE19</f>
        <v>0</v>
      </c>
      <c r="F15">
        <f>T2B!AF19</f>
        <v>0</v>
      </c>
      <c r="G15">
        <f>T2B!AG19</f>
        <v>0</v>
      </c>
      <c r="H15">
        <f>T2B!AH19</f>
        <v>0</v>
      </c>
      <c r="I15">
        <f>T2B!AI19</f>
        <v>0</v>
      </c>
      <c r="J15">
        <f>T2B!AJ19</f>
        <v>0</v>
      </c>
      <c r="K15">
        <f>T2B!AK19</f>
        <v>0</v>
      </c>
      <c r="L15">
        <f>T2B!AL19</f>
        <v>0</v>
      </c>
      <c r="M15">
        <f>T2B!AM19</f>
        <v>0</v>
      </c>
      <c r="N15">
        <f>T2B!AN19</f>
        <v>0</v>
      </c>
      <c r="O15">
        <f>T2B!AO19</f>
        <v>0</v>
      </c>
      <c r="P15">
        <f>T2B!AP19</f>
        <v>0</v>
      </c>
      <c r="Q15">
        <f>T2B!AQ19</f>
        <v>0</v>
      </c>
      <c r="R15">
        <f>T2B!AR19</f>
        <v>0</v>
      </c>
      <c r="S15">
        <f>T2B!AS19</f>
        <v>0</v>
      </c>
      <c r="T15">
        <f>T2B!AT19</f>
        <v>0</v>
      </c>
      <c r="U15">
        <f>T2B!AU19</f>
        <v>0</v>
      </c>
      <c r="V15">
        <f>T2B!AV19</f>
        <v>0</v>
      </c>
      <c r="W15">
        <f>T2B!AW19</f>
        <v>0</v>
      </c>
      <c r="X15">
        <f>T2B!AX19</f>
        <v>0</v>
      </c>
      <c r="Y15">
        <f>T2B!AY19</f>
        <v>0</v>
      </c>
    </row>
    <row r="16" spans="1:25" x14ac:dyDescent="0.2">
      <c r="A16">
        <f>T2B!AA20</f>
        <v>0</v>
      </c>
      <c r="B16">
        <f>T2B!AB20</f>
        <v>0</v>
      </c>
      <c r="C16">
        <f>T2B!AC20</f>
        <v>0</v>
      </c>
      <c r="D16">
        <f>T2B!AD20</f>
        <v>0</v>
      </c>
      <c r="E16">
        <f>T2B!AE20</f>
        <v>0</v>
      </c>
      <c r="F16">
        <f>T2B!AF20</f>
        <v>0</v>
      </c>
      <c r="G16">
        <f>T2B!AG20</f>
        <v>0</v>
      </c>
      <c r="H16">
        <f>T2B!AH20</f>
        <v>0</v>
      </c>
      <c r="I16">
        <f>T2B!AI20</f>
        <v>0</v>
      </c>
      <c r="J16" t="str">
        <f>T2B!AJ20</f>
        <v>a</v>
      </c>
      <c r="K16">
        <f>T2B!AK20</f>
        <v>0</v>
      </c>
      <c r="L16">
        <f>T2B!AL20</f>
        <v>0</v>
      </c>
      <c r="M16">
        <f>T2B!AM20</f>
        <v>0</v>
      </c>
      <c r="N16">
        <f>T2B!AN20</f>
        <v>0</v>
      </c>
      <c r="O16">
        <f>T2B!AO20</f>
        <v>0</v>
      </c>
      <c r="P16">
        <f>T2B!AP20</f>
        <v>0</v>
      </c>
      <c r="Q16">
        <f>T2B!AQ20</f>
        <v>0</v>
      </c>
      <c r="R16">
        <f>T2B!AR20</f>
        <v>0</v>
      </c>
      <c r="S16">
        <f>T2B!AS20</f>
        <v>0</v>
      </c>
      <c r="T16">
        <f>T2B!AT20</f>
        <v>0</v>
      </c>
      <c r="U16">
        <f>T2B!AU20</f>
        <v>0</v>
      </c>
      <c r="V16">
        <f>T2B!AV20</f>
        <v>0</v>
      </c>
      <c r="W16">
        <f>T2B!AW20</f>
        <v>0</v>
      </c>
      <c r="X16">
        <f>T2B!AX20</f>
        <v>0</v>
      </c>
      <c r="Y16">
        <f>T2B!AY20</f>
        <v>0</v>
      </c>
    </row>
    <row r="17" spans="1:25" x14ac:dyDescent="0.2">
      <c r="A17">
        <f>T2B!AA21</f>
        <v>0</v>
      </c>
      <c r="B17">
        <f>T2B!AB21</f>
        <v>0</v>
      </c>
      <c r="C17">
        <f>T2B!AC21</f>
        <v>0</v>
      </c>
      <c r="D17">
        <f>T2B!AD21</f>
        <v>0</v>
      </c>
      <c r="E17">
        <f>T2B!AE21</f>
        <v>0</v>
      </c>
      <c r="F17">
        <f>T2B!AF21</f>
        <v>0</v>
      </c>
      <c r="G17">
        <f>T2B!AG21</f>
        <v>0</v>
      </c>
      <c r="H17">
        <f>T2B!AH21</f>
        <v>0</v>
      </c>
      <c r="I17">
        <f>T2B!AI21</f>
        <v>0</v>
      </c>
      <c r="J17">
        <f>T2B!AJ21</f>
        <v>0</v>
      </c>
      <c r="K17">
        <f>T2B!AK21</f>
        <v>0</v>
      </c>
      <c r="L17">
        <f>T2B!AL21</f>
        <v>0</v>
      </c>
      <c r="M17">
        <f>T2B!AM21</f>
        <v>0</v>
      </c>
      <c r="N17">
        <f>T2B!AN21</f>
        <v>0</v>
      </c>
      <c r="O17">
        <f>T2B!AO21</f>
        <v>0</v>
      </c>
      <c r="P17">
        <f>T2B!AP21</f>
        <v>0</v>
      </c>
      <c r="Q17">
        <f>T2B!AQ21</f>
        <v>0</v>
      </c>
      <c r="R17">
        <f>T2B!AR21</f>
        <v>0</v>
      </c>
      <c r="S17">
        <f>T2B!AS21</f>
        <v>0</v>
      </c>
      <c r="T17">
        <f>T2B!AT21</f>
        <v>0</v>
      </c>
      <c r="U17">
        <f>T2B!AU21</f>
        <v>0</v>
      </c>
      <c r="V17">
        <f>T2B!AV21</f>
        <v>0</v>
      </c>
      <c r="W17">
        <f>T2B!AW21</f>
        <v>0</v>
      </c>
      <c r="X17">
        <f>T2B!AX21</f>
        <v>0</v>
      </c>
      <c r="Y17">
        <f>T2B!AY21</f>
        <v>0</v>
      </c>
    </row>
    <row r="18" spans="1:25" x14ac:dyDescent="0.2">
      <c r="A18">
        <f>T2B!AA22</f>
        <v>0</v>
      </c>
      <c r="B18">
        <f>T2B!AB22</f>
        <v>0</v>
      </c>
      <c r="C18">
        <f>T2B!AC22</f>
        <v>0</v>
      </c>
      <c r="D18">
        <f>T2B!AD22</f>
        <v>0</v>
      </c>
      <c r="E18">
        <f>T2B!AE22</f>
        <v>0</v>
      </c>
      <c r="F18">
        <f>T2B!AF22</f>
        <v>0</v>
      </c>
      <c r="G18">
        <f>T2B!AG22</f>
        <v>0</v>
      </c>
      <c r="H18">
        <f>T2B!AH22</f>
        <v>0</v>
      </c>
      <c r="I18">
        <f>T2B!AI22</f>
        <v>0</v>
      </c>
      <c r="J18">
        <f>T2B!AJ22</f>
        <v>0</v>
      </c>
      <c r="K18">
        <f>T2B!AK22</f>
        <v>0</v>
      </c>
      <c r="L18">
        <f>T2B!AL22</f>
        <v>0</v>
      </c>
      <c r="M18">
        <f>T2B!AM22</f>
        <v>0</v>
      </c>
      <c r="N18">
        <f>T2B!AN22</f>
        <v>0</v>
      </c>
      <c r="O18">
        <f>T2B!AO22</f>
        <v>0</v>
      </c>
      <c r="P18">
        <f>T2B!AP22</f>
        <v>0</v>
      </c>
      <c r="Q18">
        <f>T2B!AQ22</f>
        <v>0</v>
      </c>
      <c r="R18">
        <f>T2B!AR22</f>
        <v>0</v>
      </c>
      <c r="S18">
        <f>T2B!AS22</f>
        <v>0</v>
      </c>
      <c r="T18">
        <f>T2B!AT22</f>
        <v>0</v>
      </c>
      <c r="U18">
        <f>T2B!AU22</f>
        <v>0</v>
      </c>
      <c r="V18">
        <f>T2B!AV22</f>
        <v>0</v>
      </c>
      <c r="W18">
        <f>T2B!AW22</f>
        <v>0</v>
      </c>
      <c r="X18">
        <f>T2B!AX22</f>
        <v>0</v>
      </c>
      <c r="Y18">
        <f>T2B!AY22</f>
        <v>0</v>
      </c>
    </row>
    <row r="19" spans="1:25" x14ac:dyDescent="0.2">
      <c r="A19">
        <f>T2B!AA23</f>
        <v>0</v>
      </c>
      <c r="B19">
        <f>T2B!AB23</f>
        <v>0</v>
      </c>
      <c r="C19">
        <f>T2B!AC23</f>
        <v>0</v>
      </c>
      <c r="D19">
        <f>T2B!AD23</f>
        <v>0</v>
      </c>
      <c r="E19">
        <f>T2B!AE23</f>
        <v>0</v>
      </c>
      <c r="F19">
        <f>T2B!AF23</f>
        <v>0</v>
      </c>
      <c r="G19">
        <f>T2B!AG23</f>
        <v>0</v>
      </c>
      <c r="H19">
        <f>T2B!AH23</f>
        <v>0</v>
      </c>
      <c r="I19">
        <f>T2B!AI23</f>
        <v>0</v>
      </c>
      <c r="J19">
        <f>T2B!AJ23</f>
        <v>0</v>
      </c>
      <c r="K19">
        <f>T2B!AK23</f>
        <v>0</v>
      </c>
      <c r="L19">
        <f>T2B!AL23</f>
        <v>0</v>
      </c>
      <c r="M19">
        <f>T2B!AM23</f>
        <v>0</v>
      </c>
      <c r="N19">
        <f>T2B!AN23</f>
        <v>0</v>
      </c>
      <c r="O19">
        <f>T2B!AO23</f>
        <v>0</v>
      </c>
      <c r="P19">
        <f>T2B!AP23</f>
        <v>0</v>
      </c>
      <c r="Q19">
        <f>T2B!AQ23</f>
        <v>0</v>
      </c>
      <c r="R19">
        <f>T2B!AR23</f>
        <v>0</v>
      </c>
      <c r="S19">
        <f>T2B!AS23</f>
        <v>0</v>
      </c>
      <c r="T19">
        <f>T2B!AT23</f>
        <v>0</v>
      </c>
      <c r="U19">
        <f>T2B!AU23</f>
        <v>0</v>
      </c>
      <c r="V19">
        <f>T2B!AV23</f>
        <v>0</v>
      </c>
      <c r="W19">
        <f>T2B!AW23</f>
        <v>0</v>
      </c>
      <c r="X19">
        <f>T2B!AX23</f>
        <v>0</v>
      </c>
      <c r="Y19">
        <f>T2B!AY23</f>
        <v>0</v>
      </c>
    </row>
    <row r="20" spans="1:25" x14ac:dyDescent="0.2">
      <c r="A20">
        <f>T2B!AA24</f>
        <v>0</v>
      </c>
      <c r="B20">
        <f>T2B!AB24</f>
        <v>0</v>
      </c>
      <c r="C20">
        <f>T2B!AC24</f>
        <v>0</v>
      </c>
      <c r="D20">
        <f>T2B!AD24</f>
        <v>0</v>
      </c>
      <c r="E20">
        <f>T2B!AE24</f>
        <v>0</v>
      </c>
      <c r="F20">
        <f>T2B!AF24</f>
        <v>0</v>
      </c>
      <c r="G20">
        <f>T2B!AG24</f>
        <v>0</v>
      </c>
      <c r="H20">
        <f>T2B!AH24</f>
        <v>0</v>
      </c>
      <c r="I20">
        <f>T2B!AI24</f>
        <v>0</v>
      </c>
      <c r="J20">
        <f>T2B!AJ24</f>
        <v>0</v>
      </c>
      <c r="K20">
        <f>T2B!AK24</f>
        <v>0</v>
      </c>
      <c r="L20">
        <f>T2B!AL24</f>
        <v>0</v>
      </c>
      <c r="M20">
        <f>T2B!AM24</f>
        <v>0</v>
      </c>
      <c r="N20">
        <f>T2B!AN24</f>
        <v>0</v>
      </c>
      <c r="O20">
        <f>T2B!AO24</f>
        <v>0</v>
      </c>
      <c r="P20">
        <f>T2B!AP24</f>
        <v>0</v>
      </c>
      <c r="Q20">
        <f>T2B!AQ24</f>
        <v>0</v>
      </c>
      <c r="R20">
        <f>T2B!AR24</f>
        <v>0</v>
      </c>
      <c r="S20">
        <f>T2B!AS24</f>
        <v>0</v>
      </c>
      <c r="T20">
        <f>T2B!AT24</f>
        <v>0</v>
      </c>
      <c r="U20">
        <f>T2B!AU24</f>
        <v>0</v>
      </c>
      <c r="V20">
        <f>T2B!AV24</f>
        <v>0</v>
      </c>
      <c r="W20">
        <f>T2B!AW24</f>
        <v>0</v>
      </c>
      <c r="X20">
        <f>T2B!AX24</f>
        <v>0</v>
      </c>
      <c r="Y20">
        <f>T2B!AY24</f>
        <v>0</v>
      </c>
    </row>
    <row r="21" spans="1:25" x14ac:dyDescent="0.2">
      <c r="A21">
        <f>T2B!AA25</f>
        <v>0</v>
      </c>
      <c r="B21">
        <f>T2B!AB25</f>
        <v>0</v>
      </c>
      <c r="C21">
        <f>T2B!AC25</f>
        <v>0</v>
      </c>
      <c r="D21">
        <f>T2B!AD25</f>
        <v>0</v>
      </c>
      <c r="E21">
        <f>T2B!AE25</f>
        <v>0</v>
      </c>
      <c r="F21">
        <f>T2B!AF25</f>
        <v>0</v>
      </c>
      <c r="G21">
        <f>T2B!AG25</f>
        <v>0</v>
      </c>
      <c r="H21">
        <f>T2B!AH25</f>
        <v>0</v>
      </c>
      <c r="I21">
        <f>T2B!AI25</f>
        <v>0</v>
      </c>
      <c r="J21">
        <f>T2B!AJ25</f>
        <v>0</v>
      </c>
      <c r="K21">
        <f>T2B!AK25</f>
        <v>0</v>
      </c>
      <c r="L21">
        <f>T2B!AL25</f>
        <v>0</v>
      </c>
      <c r="M21">
        <f>T2B!AM25</f>
        <v>0</v>
      </c>
      <c r="N21">
        <f>T2B!AN25</f>
        <v>0</v>
      </c>
      <c r="O21">
        <f>T2B!AO25</f>
        <v>0</v>
      </c>
      <c r="P21">
        <f>T2B!AP25</f>
        <v>0</v>
      </c>
      <c r="Q21">
        <f>T2B!AQ25</f>
        <v>0</v>
      </c>
      <c r="R21">
        <f>T2B!AR25</f>
        <v>0</v>
      </c>
      <c r="S21">
        <f>T2B!AS25</f>
        <v>0</v>
      </c>
      <c r="T21">
        <f>T2B!AT25</f>
        <v>0</v>
      </c>
      <c r="U21" t="str">
        <f>T2B!AU25</f>
        <v>a</v>
      </c>
      <c r="V21">
        <f>T2B!AV25</f>
        <v>0</v>
      </c>
      <c r="W21">
        <f>T2B!AW25</f>
        <v>0</v>
      </c>
      <c r="X21">
        <f>T2B!AX25</f>
        <v>0</v>
      </c>
      <c r="Y21">
        <f>T2B!AY25</f>
        <v>0</v>
      </c>
    </row>
    <row r="22" spans="1:25" x14ac:dyDescent="0.2">
      <c r="A22">
        <f>T2B!AA26</f>
        <v>0</v>
      </c>
      <c r="B22">
        <f>T2B!AB26</f>
        <v>0</v>
      </c>
      <c r="C22">
        <f>T2B!AC26</f>
        <v>0</v>
      </c>
      <c r="D22">
        <f>T2B!AD26</f>
        <v>0</v>
      </c>
      <c r="E22">
        <f>T2B!AE26</f>
        <v>0</v>
      </c>
      <c r="F22">
        <f>T2B!AF26</f>
        <v>0</v>
      </c>
      <c r="G22">
        <f>T2B!AG26</f>
        <v>0</v>
      </c>
      <c r="H22">
        <f>T2B!AH26</f>
        <v>0</v>
      </c>
      <c r="I22">
        <f>T2B!AI26</f>
        <v>0</v>
      </c>
      <c r="J22">
        <f>T2B!AJ26</f>
        <v>0</v>
      </c>
      <c r="K22">
        <f>T2B!AK26</f>
        <v>0</v>
      </c>
      <c r="L22">
        <f>T2B!AL26</f>
        <v>0</v>
      </c>
      <c r="M22">
        <f>T2B!AM26</f>
        <v>0</v>
      </c>
      <c r="N22">
        <f>T2B!AN26</f>
        <v>0</v>
      </c>
      <c r="O22" t="str">
        <f>T2B!AO26</f>
        <v>a</v>
      </c>
      <c r="P22">
        <f>T2B!AP26</f>
        <v>0</v>
      </c>
      <c r="Q22">
        <f>T2B!AQ26</f>
        <v>0</v>
      </c>
      <c r="R22">
        <f>T2B!AR26</f>
        <v>0</v>
      </c>
      <c r="S22">
        <f>T2B!AS26</f>
        <v>0</v>
      </c>
      <c r="T22">
        <f>T2B!AT26</f>
        <v>0</v>
      </c>
      <c r="U22">
        <f>T2B!AU26</f>
        <v>0</v>
      </c>
      <c r="V22">
        <f>T2B!AV26</f>
        <v>0</v>
      </c>
      <c r="W22">
        <f>T2B!AW26</f>
        <v>0</v>
      </c>
      <c r="X22">
        <f>T2B!AX26</f>
        <v>0</v>
      </c>
      <c r="Y22">
        <f>T2B!AY26</f>
        <v>0</v>
      </c>
    </row>
    <row r="23" spans="1:25" x14ac:dyDescent="0.2">
      <c r="A23">
        <f>T2B!AA27</f>
        <v>0</v>
      </c>
      <c r="B23">
        <f>T2B!AB27</f>
        <v>0</v>
      </c>
      <c r="C23">
        <f>T2B!AC27</f>
        <v>0</v>
      </c>
      <c r="D23">
        <f>T2B!AD27</f>
        <v>0</v>
      </c>
      <c r="E23">
        <f>T2B!AE27</f>
        <v>0</v>
      </c>
      <c r="F23">
        <f>T2B!AF27</f>
        <v>0</v>
      </c>
      <c r="G23">
        <f>T2B!AG27</f>
        <v>0</v>
      </c>
      <c r="H23">
        <f>T2B!AH27</f>
        <v>0</v>
      </c>
      <c r="I23">
        <f>T2B!AI27</f>
        <v>0</v>
      </c>
      <c r="J23">
        <f>T2B!AJ27</f>
        <v>0</v>
      </c>
      <c r="K23">
        <f>T2B!AK27</f>
        <v>0</v>
      </c>
      <c r="L23">
        <f>T2B!AL27</f>
        <v>0</v>
      </c>
      <c r="M23">
        <f>T2B!AM27</f>
        <v>0</v>
      </c>
      <c r="N23">
        <f>T2B!AN27</f>
        <v>0</v>
      </c>
      <c r="O23">
        <f>T2B!AO27</f>
        <v>0</v>
      </c>
      <c r="P23" t="str">
        <f>T2B!AP27</f>
        <v>a</v>
      </c>
      <c r="Q23">
        <f>T2B!AQ27</f>
        <v>0</v>
      </c>
      <c r="R23">
        <f>T2B!AR27</f>
        <v>0</v>
      </c>
      <c r="S23">
        <f>T2B!AS27</f>
        <v>0</v>
      </c>
      <c r="T23">
        <f>T2B!AT27</f>
        <v>0</v>
      </c>
      <c r="U23">
        <f>T2B!AU27</f>
        <v>0</v>
      </c>
      <c r="V23">
        <f>T2B!AV27</f>
        <v>0</v>
      </c>
      <c r="W23">
        <f>T2B!AW27</f>
        <v>0</v>
      </c>
      <c r="X23">
        <f>T2B!AX27</f>
        <v>0</v>
      </c>
      <c r="Y23">
        <f>T2B!AY27</f>
        <v>0</v>
      </c>
    </row>
    <row r="24" spans="1:25" x14ac:dyDescent="0.2">
      <c r="A24">
        <f>T2B!AA28</f>
        <v>0</v>
      </c>
      <c r="B24">
        <f>T2B!AB28</f>
        <v>0</v>
      </c>
      <c r="C24">
        <f>T2B!AC28</f>
        <v>0</v>
      </c>
      <c r="D24">
        <f>T2B!AD28</f>
        <v>0</v>
      </c>
      <c r="E24">
        <f>T2B!AE28</f>
        <v>0</v>
      </c>
      <c r="F24">
        <f>T2B!AF28</f>
        <v>0</v>
      </c>
      <c r="G24">
        <f>T2B!AG28</f>
        <v>0</v>
      </c>
      <c r="H24">
        <f>T2B!AH28</f>
        <v>0</v>
      </c>
      <c r="I24">
        <f>T2B!AI28</f>
        <v>0</v>
      </c>
      <c r="J24">
        <f>T2B!AJ28</f>
        <v>0</v>
      </c>
      <c r="K24">
        <f>T2B!AK28</f>
        <v>0</v>
      </c>
      <c r="L24">
        <f>T2B!AL28</f>
        <v>0</v>
      </c>
      <c r="M24">
        <f>T2B!AM28</f>
        <v>0</v>
      </c>
      <c r="N24">
        <f>T2B!AN28</f>
        <v>0</v>
      </c>
      <c r="O24">
        <f>T2B!AO28</f>
        <v>0</v>
      </c>
      <c r="P24">
        <f>T2B!AP28</f>
        <v>0</v>
      </c>
      <c r="Q24">
        <f>T2B!AQ28</f>
        <v>0</v>
      </c>
      <c r="R24">
        <f>T2B!AR28</f>
        <v>0</v>
      </c>
      <c r="S24">
        <f>T2B!AS28</f>
        <v>0</v>
      </c>
      <c r="T24">
        <f>T2B!AT28</f>
        <v>0</v>
      </c>
      <c r="U24">
        <f>T2B!AU28</f>
        <v>0</v>
      </c>
      <c r="V24">
        <f>T2B!AV28</f>
        <v>0</v>
      </c>
      <c r="W24">
        <f>T2B!AW28</f>
        <v>0</v>
      </c>
      <c r="X24">
        <f>T2B!AX28</f>
        <v>0</v>
      </c>
      <c r="Y24">
        <f>T2B!AY28</f>
        <v>0</v>
      </c>
    </row>
    <row r="25" spans="1:25" x14ac:dyDescent="0.2">
      <c r="A25">
        <f>T2B!AA29</f>
        <v>0</v>
      </c>
      <c r="B25">
        <f>T2B!AB29</f>
        <v>0</v>
      </c>
      <c r="C25">
        <f>T2B!AC29</f>
        <v>0</v>
      </c>
      <c r="D25">
        <f>T2B!AD29</f>
        <v>0</v>
      </c>
      <c r="E25">
        <f>T2B!AE29</f>
        <v>0</v>
      </c>
      <c r="F25">
        <f>T2B!AF29</f>
        <v>0</v>
      </c>
      <c r="G25">
        <f>T2B!AG29</f>
        <v>0</v>
      </c>
      <c r="H25">
        <f>T2B!AH29</f>
        <v>0</v>
      </c>
      <c r="I25">
        <f>T2B!AI29</f>
        <v>0</v>
      </c>
      <c r="J25">
        <f>T2B!AJ29</f>
        <v>0</v>
      </c>
      <c r="K25">
        <f>T2B!AK29</f>
        <v>0</v>
      </c>
      <c r="L25">
        <f>T2B!AL29</f>
        <v>0</v>
      </c>
      <c r="M25">
        <f>T2B!AM29</f>
        <v>0</v>
      </c>
      <c r="N25">
        <f>T2B!AN29</f>
        <v>0</v>
      </c>
      <c r="O25">
        <f>T2B!AO29</f>
        <v>0</v>
      </c>
      <c r="P25">
        <f>T2B!AP29</f>
        <v>0</v>
      </c>
      <c r="Q25">
        <f>T2B!AQ29</f>
        <v>0</v>
      </c>
      <c r="R25">
        <f>T2B!AR29</f>
        <v>0</v>
      </c>
      <c r="S25">
        <f>T2B!AS29</f>
        <v>0</v>
      </c>
      <c r="T25">
        <f>T2B!AT29</f>
        <v>0</v>
      </c>
      <c r="U25">
        <f>T2B!AU29</f>
        <v>0</v>
      </c>
      <c r="V25">
        <f>T2B!AV29</f>
        <v>0</v>
      </c>
      <c r="W25">
        <f>T2B!AW29</f>
        <v>0</v>
      </c>
      <c r="X25">
        <f>T2B!AX29</f>
        <v>0</v>
      </c>
      <c r="Y25">
        <f>T2B!AY29</f>
        <v>0</v>
      </c>
    </row>
    <row r="26" spans="1:25" x14ac:dyDescent="0.2">
      <c r="A26">
        <f>T2B!AA30</f>
        <v>0</v>
      </c>
      <c r="B26">
        <f>T2B!AB30</f>
        <v>0</v>
      </c>
      <c r="C26">
        <f>T2B!AC30</f>
        <v>0</v>
      </c>
      <c r="D26">
        <f>T2B!AD30</f>
        <v>0</v>
      </c>
      <c r="E26">
        <f>T2B!AE30</f>
        <v>0</v>
      </c>
      <c r="F26">
        <f>T2B!AF30</f>
        <v>0</v>
      </c>
      <c r="G26">
        <f>T2B!AG30</f>
        <v>0</v>
      </c>
      <c r="H26">
        <f>T2B!AH30</f>
        <v>0</v>
      </c>
      <c r="I26">
        <f>T2B!AI30</f>
        <v>0</v>
      </c>
      <c r="J26">
        <f>T2B!AJ30</f>
        <v>0</v>
      </c>
      <c r="K26">
        <f>T2B!AK30</f>
        <v>0</v>
      </c>
      <c r="L26">
        <f>T2B!AL30</f>
        <v>0</v>
      </c>
      <c r="M26">
        <f>T2B!AM30</f>
        <v>0</v>
      </c>
      <c r="N26">
        <f>T2B!AN30</f>
        <v>0</v>
      </c>
      <c r="O26">
        <f>T2B!AO30</f>
        <v>0</v>
      </c>
      <c r="P26">
        <f>T2B!AP30</f>
        <v>0</v>
      </c>
      <c r="Q26">
        <f>T2B!AQ30</f>
        <v>0</v>
      </c>
      <c r="R26">
        <f>T2B!AR30</f>
        <v>0</v>
      </c>
      <c r="S26">
        <f>T2B!AS30</f>
        <v>0</v>
      </c>
      <c r="T26">
        <f>T2B!AT30</f>
        <v>0</v>
      </c>
      <c r="U26">
        <f>T2B!AU30</f>
        <v>0</v>
      </c>
      <c r="V26">
        <f>T2B!AV30</f>
        <v>0</v>
      </c>
      <c r="W26">
        <f>T2B!AW30</f>
        <v>0</v>
      </c>
      <c r="X26">
        <f>T2B!AX30</f>
        <v>0</v>
      </c>
      <c r="Y26">
        <f>T2B!AY30</f>
        <v>0</v>
      </c>
    </row>
    <row r="27" spans="1:25" x14ac:dyDescent="0.2">
      <c r="A27">
        <f>T2B!AA31</f>
        <v>0</v>
      </c>
      <c r="B27">
        <f>T2B!AB31</f>
        <v>0</v>
      </c>
      <c r="C27">
        <f>T2B!AC31</f>
        <v>0</v>
      </c>
      <c r="D27">
        <f>T2B!AD31</f>
        <v>0</v>
      </c>
      <c r="E27">
        <f>T2B!AE31</f>
        <v>0</v>
      </c>
      <c r="F27">
        <f>T2B!AF31</f>
        <v>0</v>
      </c>
      <c r="G27">
        <f>T2B!AG31</f>
        <v>0</v>
      </c>
      <c r="H27">
        <f>T2B!AH31</f>
        <v>0</v>
      </c>
      <c r="I27">
        <f>T2B!AI31</f>
        <v>0</v>
      </c>
      <c r="J27">
        <f>T2B!AJ31</f>
        <v>0</v>
      </c>
      <c r="K27">
        <f>T2B!AK31</f>
        <v>0</v>
      </c>
      <c r="L27">
        <f>T2B!AL31</f>
        <v>0</v>
      </c>
      <c r="M27">
        <f>T2B!AM31</f>
        <v>0</v>
      </c>
      <c r="N27">
        <f>T2B!AN31</f>
        <v>0</v>
      </c>
      <c r="O27">
        <f>T2B!AO31</f>
        <v>0</v>
      </c>
      <c r="P27">
        <f>T2B!AP31</f>
        <v>0</v>
      </c>
      <c r="Q27">
        <f>T2B!AQ31</f>
        <v>0</v>
      </c>
      <c r="R27">
        <f>T2B!AR31</f>
        <v>0</v>
      </c>
      <c r="S27">
        <f>T2B!AS31</f>
        <v>0</v>
      </c>
      <c r="T27">
        <f>T2B!AT31</f>
        <v>0</v>
      </c>
      <c r="U27">
        <f>T2B!AU31</f>
        <v>0</v>
      </c>
      <c r="V27">
        <f>T2B!AV31</f>
        <v>0</v>
      </c>
      <c r="W27">
        <f>T2B!AW31</f>
        <v>0</v>
      </c>
      <c r="X27">
        <f>T2B!AX31</f>
        <v>0</v>
      </c>
      <c r="Y27">
        <f>T2B!AY31</f>
        <v>0</v>
      </c>
    </row>
    <row r="28" spans="1:25" x14ac:dyDescent="0.2">
      <c r="A28">
        <f>T2B!AA32</f>
        <v>0</v>
      </c>
      <c r="B28">
        <f>T2B!AB32</f>
        <v>0</v>
      </c>
      <c r="C28">
        <f>T2B!AC32</f>
        <v>0</v>
      </c>
      <c r="D28">
        <f>T2B!AD32</f>
        <v>0</v>
      </c>
      <c r="E28">
        <f>T2B!AE32</f>
        <v>0</v>
      </c>
      <c r="F28">
        <f>T2B!AF32</f>
        <v>0</v>
      </c>
      <c r="G28">
        <f>T2B!AG32</f>
        <v>0</v>
      </c>
      <c r="H28">
        <f>T2B!AH32</f>
        <v>0</v>
      </c>
      <c r="I28">
        <f>T2B!AI32</f>
        <v>0</v>
      </c>
      <c r="J28">
        <f>T2B!AJ32</f>
        <v>0</v>
      </c>
      <c r="K28">
        <f>T2B!AK32</f>
        <v>0</v>
      </c>
      <c r="L28">
        <f>T2B!AL32</f>
        <v>0</v>
      </c>
      <c r="M28">
        <f>T2B!AM32</f>
        <v>0</v>
      </c>
      <c r="N28">
        <f>T2B!AN32</f>
        <v>0</v>
      </c>
      <c r="O28">
        <f>T2B!AO32</f>
        <v>0</v>
      </c>
      <c r="P28">
        <f>T2B!AP32</f>
        <v>0</v>
      </c>
      <c r="Q28">
        <f>T2B!AQ32</f>
        <v>0</v>
      </c>
      <c r="R28">
        <f>T2B!AR32</f>
        <v>0</v>
      </c>
      <c r="S28">
        <f>T2B!AS32</f>
        <v>0</v>
      </c>
      <c r="T28">
        <f>T2B!AT32</f>
        <v>0</v>
      </c>
      <c r="U28">
        <f>T2B!AU32</f>
        <v>0</v>
      </c>
      <c r="V28">
        <f>T2B!AV32</f>
        <v>0</v>
      </c>
      <c r="W28">
        <f>T2B!AW32</f>
        <v>0</v>
      </c>
      <c r="X28">
        <f>T2B!AX32</f>
        <v>0</v>
      </c>
      <c r="Y28">
        <f>T2B!AY32</f>
        <v>0</v>
      </c>
    </row>
    <row r="29" spans="1:25" x14ac:dyDescent="0.2">
      <c r="A29">
        <f>T2B!AA33</f>
        <v>0</v>
      </c>
      <c r="B29">
        <f>T2B!AB33</f>
        <v>0</v>
      </c>
      <c r="C29">
        <f>T2B!AC33</f>
        <v>0</v>
      </c>
      <c r="D29">
        <f>T2B!AD33</f>
        <v>0</v>
      </c>
      <c r="E29">
        <f>T2B!AE33</f>
        <v>0</v>
      </c>
      <c r="F29">
        <f>T2B!AF33</f>
        <v>0</v>
      </c>
      <c r="G29">
        <f>T2B!AG33</f>
        <v>0</v>
      </c>
      <c r="H29">
        <f>T2B!AH33</f>
        <v>0</v>
      </c>
      <c r="I29">
        <f>T2B!AI33</f>
        <v>0</v>
      </c>
      <c r="J29">
        <f>T2B!AJ33</f>
        <v>0</v>
      </c>
      <c r="K29">
        <f>T2B!AK33</f>
        <v>0</v>
      </c>
      <c r="L29">
        <f>T2B!AL33</f>
        <v>0</v>
      </c>
      <c r="M29">
        <f>T2B!AM33</f>
        <v>0</v>
      </c>
      <c r="N29">
        <f>T2B!AN33</f>
        <v>0</v>
      </c>
      <c r="O29">
        <f>T2B!AO33</f>
        <v>0</v>
      </c>
      <c r="P29">
        <f>T2B!AP33</f>
        <v>0</v>
      </c>
      <c r="Q29">
        <f>T2B!AQ33</f>
        <v>0</v>
      </c>
      <c r="R29">
        <f>T2B!AR33</f>
        <v>0</v>
      </c>
      <c r="S29">
        <f>T2B!AS33</f>
        <v>0</v>
      </c>
      <c r="T29">
        <f>T2B!AT33</f>
        <v>0</v>
      </c>
      <c r="U29">
        <f>T2B!AU33</f>
        <v>0</v>
      </c>
      <c r="V29">
        <f>T2B!AV33</f>
        <v>0</v>
      </c>
      <c r="W29">
        <f>T2B!AW33</f>
        <v>0</v>
      </c>
      <c r="X29">
        <f>T2B!AX33</f>
        <v>0</v>
      </c>
      <c r="Y29">
        <f>T2B!AY33</f>
        <v>0</v>
      </c>
    </row>
    <row r="30" spans="1:25" x14ac:dyDescent="0.2">
      <c r="A30">
        <f>T2B!AA34</f>
        <v>0</v>
      </c>
      <c r="B30">
        <f>T2B!AB34</f>
        <v>0</v>
      </c>
      <c r="C30">
        <f>T2B!AC34</f>
        <v>0</v>
      </c>
      <c r="D30">
        <f>T2B!AD34</f>
        <v>0</v>
      </c>
      <c r="E30">
        <f>T2B!AE34</f>
        <v>0</v>
      </c>
      <c r="F30">
        <f>T2B!AF34</f>
        <v>0</v>
      </c>
      <c r="G30">
        <f>T2B!AG34</f>
        <v>0</v>
      </c>
      <c r="H30">
        <f>T2B!AH34</f>
        <v>0</v>
      </c>
      <c r="I30">
        <f>T2B!AI34</f>
        <v>0</v>
      </c>
      <c r="J30">
        <f>T2B!AJ34</f>
        <v>0</v>
      </c>
      <c r="K30">
        <f>T2B!AK34</f>
        <v>0</v>
      </c>
      <c r="L30">
        <f>T2B!AL34</f>
        <v>0</v>
      </c>
      <c r="M30">
        <f>T2B!AM34</f>
        <v>0</v>
      </c>
      <c r="N30">
        <f>T2B!AN34</f>
        <v>0</v>
      </c>
      <c r="O30">
        <f>T2B!AO34</f>
        <v>0</v>
      </c>
      <c r="P30">
        <f>T2B!AP34</f>
        <v>0</v>
      </c>
      <c r="Q30">
        <f>T2B!AQ34</f>
        <v>0</v>
      </c>
      <c r="R30">
        <f>T2B!AR34</f>
        <v>0</v>
      </c>
      <c r="S30">
        <f>T2B!AS34</f>
        <v>0</v>
      </c>
      <c r="T30">
        <f>T2B!AT34</f>
        <v>0</v>
      </c>
      <c r="U30">
        <f>T2B!AU34</f>
        <v>0</v>
      </c>
      <c r="V30">
        <f>T2B!AV34</f>
        <v>0</v>
      </c>
      <c r="W30">
        <f>T2B!AW34</f>
        <v>0</v>
      </c>
      <c r="X30">
        <f>T2B!AX34</f>
        <v>0</v>
      </c>
      <c r="Y30">
        <f>T2B!AY34</f>
        <v>0</v>
      </c>
    </row>
    <row r="31" spans="1:25" x14ac:dyDescent="0.2">
      <c r="A31">
        <f>T2B!AA35</f>
        <v>0</v>
      </c>
      <c r="B31">
        <f>T2B!AB35</f>
        <v>0</v>
      </c>
      <c r="C31">
        <f>T2B!AC35</f>
        <v>0</v>
      </c>
      <c r="D31">
        <f>T2B!AD35</f>
        <v>0</v>
      </c>
      <c r="E31">
        <f>T2B!AE35</f>
        <v>0</v>
      </c>
      <c r="F31">
        <f>T2B!AF35</f>
        <v>0</v>
      </c>
      <c r="G31">
        <f>T2B!AG35</f>
        <v>0</v>
      </c>
      <c r="H31">
        <f>T2B!AH35</f>
        <v>0</v>
      </c>
      <c r="I31">
        <f>T2B!AI35</f>
        <v>0</v>
      </c>
      <c r="J31">
        <f>T2B!AJ35</f>
        <v>0</v>
      </c>
      <c r="K31">
        <f>T2B!AK35</f>
        <v>0</v>
      </c>
      <c r="L31">
        <f>T2B!AL35</f>
        <v>0</v>
      </c>
      <c r="M31">
        <f>T2B!AM35</f>
        <v>0</v>
      </c>
      <c r="N31">
        <f>T2B!AN35</f>
        <v>0</v>
      </c>
      <c r="O31">
        <f>T2B!AO35</f>
        <v>0</v>
      </c>
      <c r="P31">
        <f>T2B!AP35</f>
        <v>0</v>
      </c>
      <c r="Q31">
        <f>T2B!AQ35</f>
        <v>0</v>
      </c>
      <c r="R31">
        <f>T2B!AR35</f>
        <v>0</v>
      </c>
      <c r="S31">
        <f>T2B!AS35</f>
        <v>0</v>
      </c>
      <c r="T31">
        <f>T2B!AT35</f>
        <v>0</v>
      </c>
      <c r="U31">
        <f>T2B!AU35</f>
        <v>0</v>
      </c>
      <c r="V31">
        <f>T2B!AV35</f>
        <v>0</v>
      </c>
      <c r="W31">
        <f>T2B!AW35</f>
        <v>0</v>
      </c>
      <c r="X31">
        <f>T2B!AX35</f>
        <v>0</v>
      </c>
      <c r="Y31">
        <f>T2B!AY35</f>
        <v>0</v>
      </c>
    </row>
    <row r="32" spans="1:25" x14ac:dyDescent="0.2">
      <c r="A32">
        <f>T2B!AA36</f>
        <v>0</v>
      </c>
      <c r="B32">
        <f>T2B!AB36</f>
        <v>0</v>
      </c>
      <c r="C32">
        <f>T2B!AC36</f>
        <v>0</v>
      </c>
      <c r="D32">
        <f>T2B!AD36</f>
        <v>0</v>
      </c>
      <c r="E32">
        <f>T2B!AE36</f>
        <v>0</v>
      </c>
      <c r="F32">
        <f>T2B!AF36</f>
        <v>0</v>
      </c>
      <c r="G32">
        <f>T2B!AG36</f>
        <v>0</v>
      </c>
      <c r="H32">
        <f>T2B!AH36</f>
        <v>0</v>
      </c>
      <c r="I32">
        <f>T2B!AI36</f>
        <v>0</v>
      </c>
      <c r="J32">
        <f>T2B!AJ36</f>
        <v>0</v>
      </c>
      <c r="K32">
        <f>T2B!AK36</f>
        <v>0</v>
      </c>
      <c r="L32">
        <f>T2B!AL36</f>
        <v>0</v>
      </c>
      <c r="M32">
        <f>T2B!AM36</f>
        <v>0</v>
      </c>
      <c r="N32">
        <f>T2B!AN36</f>
        <v>0</v>
      </c>
      <c r="O32">
        <f>T2B!AO36</f>
        <v>0</v>
      </c>
      <c r="P32">
        <f>T2B!AP36</f>
        <v>0</v>
      </c>
      <c r="Q32">
        <f>T2B!AQ36</f>
        <v>0</v>
      </c>
      <c r="R32">
        <f>T2B!AR36</f>
        <v>0</v>
      </c>
      <c r="S32">
        <f>T2B!AS36</f>
        <v>0</v>
      </c>
      <c r="T32">
        <f>T2B!AT36</f>
        <v>0</v>
      </c>
      <c r="U32">
        <f>T2B!AU36</f>
        <v>0</v>
      </c>
      <c r="V32">
        <f>T2B!AV36</f>
        <v>0</v>
      </c>
      <c r="W32">
        <f>T2B!AW36</f>
        <v>0</v>
      </c>
      <c r="X32">
        <f>T2B!AX36</f>
        <v>0</v>
      </c>
      <c r="Y32">
        <f>T2B!AY36</f>
        <v>0</v>
      </c>
    </row>
    <row r="33" spans="1:25" x14ac:dyDescent="0.2">
      <c r="A33">
        <f>T2B!AA37</f>
        <v>0</v>
      </c>
      <c r="B33">
        <f>T2B!AB37</f>
        <v>0</v>
      </c>
      <c r="C33">
        <f>T2B!AC37</f>
        <v>0</v>
      </c>
      <c r="D33">
        <f>T2B!AD37</f>
        <v>0</v>
      </c>
      <c r="E33">
        <f>T2B!AE37</f>
        <v>0</v>
      </c>
      <c r="F33">
        <f>T2B!AF37</f>
        <v>0</v>
      </c>
      <c r="G33">
        <f>T2B!AG37</f>
        <v>0</v>
      </c>
      <c r="H33">
        <f>T2B!AH37</f>
        <v>0</v>
      </c>
      <c r="I33">
        <f>T2B!AI37</f>
        <v>0</v>
      </c>
      <c r="J33">
        <f>T2B!AJ37</f>
        <v>0</v>
      </c>
      <c r="K33">
        <f>T2B!AK37</f>
        <v>0</v>
      </c>
      <c r="L33">
        <f>T2B!AL37</f>
        <v>0</v>
      </c>
      <c r="M33">
        <f>T2B!AM37</f>
        <v>0</v>
      </c>
      <c r="N33">
        <f>T2B!AN37</f>
        <v>0</v>
      </c>
      <c r="O33">
        <f>T2B!AO37</f>
        <v>0</v>
      </c>
      <c r="P33">
        <f>T2B!AP37</f>
        <v>0</v>
      </c>
      <c r="Q33">
        <f>T2B!AQ37</f>
        <v>0</v>
      </c>
      <c r="R33">
        <f>T2B!AR37</f>
        <v>0</v>
      </c>
      <c r="S33">
        <f>T2B!AS37</f>
        <v>0</v>
      </c>
      <c r="T33">
        <f>T2B!AT37</f>
        <v>0</v>
      </c>
      <c r="U33">
        <f>T2B!AU37</f>
        <v>0</v>
      </c>
      <c r="V33">
        <f>T2B!AV37</f>
        <v>0</v>
      </c>
      <c r="W33">
        <f>T2B!AW37</f>
        <v>0</v>
      </c>
      <c r="X33">
        <f>T2B!AX37</f>
        <v>0</v>
      </c>
      <c r="Y33">
        <f>T2B!AY37</f>
        <v>0</v>
      </c>
    </row>
    <row r="34" spans="1:25" x14ac:dyDescent="0.2">
      <c r="A34">
        <f>T2B!AA38</f>
        <v>0</v>
      </c>
      <c r="B34">
        <f>T2B!AB38</f>
        <v>0</v>
      </c>
      <c r="C34">
        <f>T2B!AC38</f>
        <v>0</v>
      </c>
      <c r="D34">
        <f>T2B!AD38</f>
        <v>0</v>
      </c>
      <c r="E34">
        <f>T2B!AE38</f>
        <v>0</v>
      </c>
      <c r="F34">
        <f>T2B!AF38</f>
        <v>0</v>
      </c>
      <c r="G34">
        <f>T2B!AG38</f>
        <v>0</v>
      </c>
      <c r="H34">
        <f>T2B!AH38</f>
        <v>0</v>
      </c>
      <c r="I34">
        <f>T2B!AI38</f>
        <v>0</v>
      </c>
      <c r="J34">
        <f>T2B!AJ38</f>
        <v>0</v>
      </c>
      <c r="K34" t="str">
        <f>T2B!AK38</f>
        <v>a</v>
      </c>
      <c r="L34">
        <f>T2B!AL38</f>
        <v>0</v>
      </c>
      <c r="M34">
        <f>T2B!AM38</f>
        <v>0</v>
      </c>
      <c r="N34">
        <f>T2B!AN38</f>
        <v>0</v>
      </c>
      <c r="O34">
        <f>T2B!AO38</f>
        <v>0</v>
      </c>
      <c r="P34">
        <f>T2B!AP38</f>
        <v>0</v>
      </c>
      <c r="Q34">
        <f>T2B!AQ38</f>
        <v>0</v>
      </c>
      <c r="R34">
        <f>T2B!AR38</f>
        <v>0</v>
      </c>
      <c r="S34">
        <f>T2B!AS38</f>
        <v>0</v>
      </c>
      <c r="T34">
        <f>T2B!AT38</f>
        <v>0</v>
      </c>
      <c r="U34">
        <f>T2B!AU38</f>
        <v>0</v>
      </c>
      <c r="V34">
        <f>T2B!AV38</f>
        <v>0</v>
      </c>
      <c r="W34">
        <f>T2B!AW38</f>
        <v>0</v>
      </c>
      <c r="X34">
        <f>T2B!AX38</f>
        <v>0</v>
      </c>
      <c r="Y34">
        <f>T2B!AY38</f>
        <v>0</v>
      </c>
    </row>
    <row r="35" spans="1:25" x14ac:dyDescent="0.2">
      <c r="A35">
        <f>T2B!AA39</f>
        <v>0</v>
      </c>
      <c r="B35">
        <f>T2B!AB39</f>
        <v>0</v>
      </c>
      <c r="C35">
        <f>T2B!AC39</f>
        <v>0</v>
      </c>
      <c r="D35">
        <f>T2B!AD39</f>
        <v>0</v>
      </c>
      <c r="E35">
        <f>T2B!AE39</f>
        <v>0</v>
      </c>
      <c r="F35">
        <f>T2B!AF39</f>
        <v>0</v>
      </c>
      <c r="G35">
        <f>T2B!AG39</f>
        <v>0</v>
      </c>
      <c r="H35">
        <f>T2B!AH39</f>
        <v>0</v>
      </c>
      <c r="I35">
        <f>T2B!AI39</f>
        <v>0</v>
      </c>
      <c r="J35">
        <f>T2B!AJ39</f>
        <v>0</v>
      </c>
      <c r="K35">
        <f>T2B!AK39</f>
        <v>0</v>
      </c>
      <c r="L35">
        <f>T2B!AL39</f>
        <v>0</v>
      </c>
      <c r="M35">
        <f>T2B!AM39</f>
        <v>0</v>
      </c>
      <c r="N35">
        <f>T2B!AN39</f>
        <v>0</v>
      </c>
      <c r="O35">
        <f>T2B!AO39</f>
        <v>0</v>
      </c>
      <c r="P35">
        <f>T2B!AP39</f>
        <v>0</v>
      </c>
      <c r="Q35">
        <f>T2B!AQ39</f>
        <v>0</v>
      </c>
      <c r="R35">
        <f>T2B!AR39</f>
        <v>0</v>
      </c>
      <c r="S35">
        <f>T2B!AS39</f>
        <v>0</v>
      </c>
      <c r="T35">
        <f>T2B!AT39</f>
        <v>0</v>
      </c>
      <c r="U35">
        <f>T2B!AU39</f>
        <v>0</v>
      </c>
      <c r="V35">
        <f>T2B!AV39</f>
        <v>0</v>
      </c>
      <c r="W35">
        <f>T2B!AW39</f>
        <v>0</v>
      </c>
      <c r="X35">
        <f>T2B!AX39</f>
        <v>0</v>
      </c>
      <c r="Y35">
        <f>T2B!AY39</f>
        <v>0</v>
      </c>
    </row>
    <row r="36" spans="1:25" x14ac:dyDescent="0.2">
      <c r="A36">
        <f>T2B!AA40</f>
        <v>0</v>
      </c>
      <c r="B36">
        <f>T2B!AB40</f>
        <v>0</v>
      </c>
      <c r="C36">
        <f>T2B!AC40</f>
        <v>0</v>
      </c>
      <c r="D36">
        <f>T2B!AD40</f>
        <v>0</v>
      </c>
      <c r="E36">
        <f>T2B!AE40</f>
        <v>0</v>
      </c>
      <c r="F36">
        <f>T2B!AF40</f>
        <v>0</v>
      </c>
      <c r="G36">
        <f>T2B!AG40</f>
        <v>0</v>
      </c>
      <c r="H36">
        <f>T2B!AH40</f>
        <v>0</v>
      </c>
      <c r="I36">
        <f>T2B!AI40</f>
        <v>0</v>
      </c>
      <c r="J36">
        <f>T2B!AJ40</f>
        <v>0</v>
      </c>
      <c r="K36">
        <f>T2B!AK40</f>
        <v>0</v>
      </c>
      <c r="L36">
        <f>T2B!AL40</f>
        <v>0</v>
      </c>
      <c r="M36">
        <f>T2B!AM40</f>
        <v>0</v>
      </c>
      <c r="N36">
        <f>T2B!AN40</f>
        <v>0</v>
      </c>
      <c r="O36">
        <f>T2B!AO40</f>
        <v>0</v>
      </c>
      <c r="P36">
        <f>T2B!AP40</f>
        <v>0</v>
      </c>
      <c r="Q36">
        <f>T2B!AQ40</f>
        <v>0</v>
      </c>
      <c r="R36">
        <f>T2B!AR40</f>
        <v>0</v>
      </c>
      <c r="S36">
        <f>T2B!AS40</f>
        <v>0</v>
      </c>
      <c r="T36">
        <f>T2B!AT40</f>
        <v>0</v>
      </c>
      <c r="U36">
        <f>T2B!AU40</f>
        <v>0</v>
      </c>
      <c r="V36">
        <f>T2B!AV40</f>
        <v>0</v>
      </c>
      <c r="W36">
        <f>T2B!AW40</f>
        <v>0</v>
      </c>
      <c r="X36">
        <f>T2B!AX40</f>
        <v>0</v>
      </c>
      <c r="Y36">
        <f>T2B!AY40</f>
        <v>0</v>
      </c>
    </row>
    <row r="37" spans="1:25" x14ac:dyDescent="0.2">
      <c r="A37">
        <f>T2B!AA41</f>
        <v>0</v>
      </c>
      <c r="B37">
        <f>T2B!AB41</f>
        <v>0</v>
      </c>
      <c r="C37">
        <f>T2B!AC41</f>
        <v>0</v>
      </c>
      <c r="D37">
        <f>T2B!AD41</f>
        <v>0</v>
      </c>
      <c r="E37">
        <f>T2B!AE41</f>
        <v>0</v>
      </c>
      <c r="F37">
        <f>T2B!AF41</f>
        <v>0</v>
      </c>
      <c r="G37">
        <f>T2B!AG41</f>
        <v>0</v>
      </c>
      <c r="H37">
        <f>T2B!AH41</f>
        <v>0</v>
      </c>
      <c r="I37">
        <f>T2B!AI41</f>
        <v>0</v>
      </c>
      <c r="J37">
        <f>T2B!AJ41</f>
        <v>0</v>
      </c>
      <c r="K37">
        <f>T2B!AK41</f>
        <v>0</v>
      </c>
      <c r="L37">
        <f>T2B!AL41</f>
        <v>0</v>
      </c>
      <c r="M37">
        <f>T2B!AM41</f>
        <v>0</v>
      </c>
      <c r="N37">
        <f>T2B!AN41</f>
        <v>0</v>
      </c>
      <c r="O37">
        <f>T2B!AO41</f>
        <v>0</v>
      </c>
      <c r="P37">
        <f>T2B!AP41</f>
        <v>0</v>
      </c>
      <c r="Q37">
        <f>T2B!AQ41</f>
        <v>0</v>
      </c>
      <c r="R37">
        <f>T2B!AR41</f>
        <v>0</v>
      </c>
      <c r="S37">
        <f>T2B!AS41</f>
        <v>0</v>
      </c>
      <c r="T37">
        <f>T2B!AT41</f>
        <v>0</v>
      </c>
      <c r="U37">
        <f>T2B!AU41</f>
        <v>0</v>
      </c>
      <c r="V37">
        <f>T2B!AV41</f>
        <v>0</v>
      </c>
      <c r="W37">
        <f>T2B!AW41</f>
        <v>0</v>
      </c>
      <c r="X37">
        <f>T2B!AX41</f>
        <v>0</v>
      </c>
      <c r="Y37">
        <f>T2B!AY41</f>
        <v>0</v>
      </c>
    </row>
    <row r="38" spans="1:25" x14ac:dyDescent="0.2">
      <c r="A38">
        <f>T2B!AA42</f>
        <v>0</v>
      </c>
      <c r="B38">
        <f>T2B!AB42</f>
        <v>0</v>
      </c>
      <c r="C38">
        <f>T2B!AC42</f>
        <v>0</v>
      </c>
      <c r="D38">
        <f>T2B!AD42</f>
        <v>0</v>
      </c>
      <c r="E38" t="str">
        <f>T2B!AE42</f>
        <v>a</v>
      </c>
      <c r="F38">
        <f>T2B!AF42</f>
        <v>0</v>
      </c>
      <c r="G38">
        <f>T2B!AG42</f>
        <v>0</v>
      </c>
      <c r="H38">
        <f>T2B!AH42</f>
        <v>0</v>
      </c>
      <c r="I38">
        <f>T2B!AI42</f>
        <v>0</v>
      </c>
      <c r="J38">
        <f>T2B!AJ42</f>
        <v>0</v>
      </c>
      <c r="K38">
        <f>T2B!AK42</f>
        <v>0</v>
      </c>
      <c r="L38">
        <f>T2B!AL42</f>
        <v>0</v>
      </c>
      <c r="M38">
        <f>T2B!AM42</f>
        <v>0</v>
      </c>
      <c r="N38">
        <f>T2B!AN42</f>
        <v>0</v>
      </c>
      <c r="O38">
        <f>T2B!AO42</f>
        <v>0</v>
      </c>
      <c r="P38">
        <f>T2B!AP42</f>
        <v>0</v>
      </c>
      <c r="Q38">
        <f>T2B!AQ42</f>
        <v>0</v>
      </c>
      <c r="R38">
        <f>T2B!AR42</f>
        <v>0</v>
      </c>
      <c r="S38">
        <f>T2B!AS42</f>
        <v>0</v>
      </c>
      <c r="T38">
        <f>T2B!AT42</f>
        <v>0</v>
      </c>
      <c r="U38">
        <f>T2B!AU42</f>
        <v>0</v>
      </c>
      <c r="V38">
        <f>T2B!AV42</f>
        <v>0</v>
      </c>
      <c r="W38">
        <f>T2B!AW42</f>
        <v>0</v>
      </c>
      <c r="X38">
        <f>T2B!AX42</f>
        <v>0</v>
      </c>
      <c r="Y38">
        <f>T2B!AY42</f>
        <v>0</v>
      </c>
    </row>
    <row r="39" spans="1:25" x14ac:dyDescent="0.2">
      <c r="A39">
        <f>T2B!AA43</f>
        <v>0</v>
      </c>
      <c r="B39">
        <f>T2B!AB43</f>
        <v>0</v>
      </c>
      <c r="C39">
        <f>T2B!AC43</f>
        <v>0</v>
      </c>
      <c r="D39">
        <f>T2B!AD43</f>
        <v>0</v>
      </c>
      <c r="E39">
        <f>T2B!AE43</f>
        <v>0</v>
      </c>
      <c r="F39">
        <f>T2B!AF43</f>
        <v>0</v>
      </c>
      <c r="G39">
        <f>T2B!AG43</f>
        <v>0</v>
      </c>
      <c r="H39">
        <f>T2B!AH43</f>
        <v>0</v>
      </c>
      <c r="I39">
        <f>T2B!AI43</f>
        <v>0</v>
      </c>
      <c r="J39">
        <f>T2B!AJ43</f>
        <v>0</v>
      </c>
      <c r="K39">
        <f>T2B!AK43</f>
        <v>0</v>
      </c>
      <c r="L39">
        <f>T2B!AL43</f>
        <v>0</v>
      </c>
      <c r="M39">
        <f>T2B!AM43</f>
        <v>0</v>
      </c>
      <c r="N39">
        <f>T2B!AN43</f>
        <v>0</v>
      </c>
      <c r="O39">
        <f>T2B!AO43</f>
        <v>0</v>
      </c>
      <c r="P39">
        <f>T2B!AP43</f>
        <v>0</v>
      </c>
      <c r="Q39">
        <f>T2B!AQ43</f>
        <v>0</v>
      </c>
      <c r="R39">
        <f>T2B!AR43</f>
        <v>0</v>
      </c>
      <c r="S39">
        <f>T2B!AS43</f>
        <v>0</v>
      </c>
      <c r="T39">
        <f>T2B!AT43</f>
        <v>0</v>
      </c>
      <c r="U39">
        <f>T2B!AU43</f>
        <v>0</v>
      </c>
      <c r="V39">
        <f>T2B!AV43</f>
        <v>0</v>
      </c>
      <c r="W39">
        <f>T2B!AW43</f>
        <v>0</v>
      </c>
      <c r="X39">
        <f>T2B!AX43</f>
        <v>0</v>
      </c>
      <c r="Y39">
        <f>T2B!AY43</f>
        <v>0</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3</vt:i4>
      </vt:variant>
      <vt:variant>
        <vt:lpstr>Benannte Bereiche</vt:lpstr>
      </vt:variant>
      <vt:variant>
        <vt:i4>2</vt:i4>
      </vt:variant>
    </vt:vector>
  </HeadingPairs>
  <TitlesOfParts>
    <vt:vector size="5" baseType="lpstr">
      <vt:lpstr>Ergebnisse</vt:lpstr>
      <vt:lpstr>T2B</vt:lpstr>
      <vt:lpstr>template</vt:lpstr>
      <vt:lpstr>Ergebnisse!Druckbereich</vt:lpstr>
      <vt:lpstr>T2B!Druckbereich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Auswertungsprogramm Neuropsychologischer Testverfahren ANT</dc:title>
  <dc:subject>MATERIALIEN UND NORMWERTE FÜR DIE NEUROPSYCHOLOGISCHE DIAGNOSTIK</dc:subject>
  <dc:creator>normdaten</dc:creator>
  <cp:lastModifiedBy>Hans Thalathara</cp:lastModifiedBy>
  <cp:lastPrinted>2011-06-22T13:15:06Z</cp:lastPrinted>
  <dcterms:created xsi:type="dcterms:W3CDTF">2011-03-21T12:12:46Z</dcterms:created>
  <dcterms:modified xsi:type="dcterms:W3CDTF">2023-03-21T16:34:26Z</dcterms:modified>
</cp:coreProperties>
</file>