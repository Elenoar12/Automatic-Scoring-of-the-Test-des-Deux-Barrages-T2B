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19" documentId="8_{54B6AE79-3B32-4F64-910C-158A341E1F52}" xr6:coauthVersionLast="47" xr6:coauthVersionMax="47" xr10:uidLastSave="{204A71ED-B056-436B-AA39-6B0CB0B55ED0}"/>
  <bookViews>
    <workbookView minimized="1" xWindow="1920" yWindow="1920" windowWidth="17280" windowHeight="9372"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14" i="13"/>
  <c r="DZ14" i="13"/>
  <c r="CZ6" i="13"/>
  <c r="DZ8" i="13"/>
  <c r="CZ7" i="13"/>
  <c r="CZ13" i="13"/>
  <c r="CZ9" i="13"/>
  <c r="DZ12" i="13"/>
  <c r="DZ7" i="13"/>
  <c r="DZ9" i="13"/>
  <c r="CZ5" i="13"/>
  <c r="DZ5" i="13"/>
  <c r="DZ10" i="13"/>
  <c r="CZ10" i="13"/>
  <c r="DZ11" i="13"/>
  <c r="CZ12" i="13"/>
  <c r="CZ8" i="13"/>
  <c r="J5" i="13"/>
  <c r="CZ11" i="13"/>
  <c r="DZ13" i="13"/>
  <c r="DZ6"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L188" i="1" l="1"/>
  <c r="J182" i="1"/>
  <c r="J187" i="1"/>
  <c r="I18" i="1"/>
  <c r="K186" i="1"/>
  <c r="K137" i="1"/>
  <c r="I60" i="1"/>
  <c r="I188" i="1"/>
  <c r="J125" i="1"/>
  <c r="K188" i="1"/>
  <c r="K125"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8" i="13"/>
  <c r="E29" i="13"/>
  <c r="E30" i="13" l="1"/>
  <c r="F116" i="1" s="1"/>
  <c r="T1131" i="1" s="1"/>
  <c r="S1131" i="1" s="1"/>
  <c r="H116" i="1" s="1"/>
  <c r="L116" i="1" s="1"/>
  <c r="K115" i="1"/>
  <c r="I115" i="1"/>
  <c r="J115" i="1"/>
  <c r="L115" i="1"/>
  <c r="J114" i="1"/>
  <c r="K114" i="1"/>
  <c r="I114" i="1"/>
  <c r="L114" i="1"/>
  <c r="J111" i="1"/>
  <c r="K111" i="1"/>
  <c r="I111" i="1"/>
  <c r="L111" i="1"/>
  <c r="L113" i="1"/>
  <c r="I113" i="1"/>
  <c r="K113" i="1"/>
  <c r="J113" i="1"/>
  <c r="J116" i="1" l="1"/>
  <c r="I116" i="1"/>
  <c r="K116" i="1"/>
</calcChain>
</file>

<file path=xl/sharedStrings.xml><?xml version="1.0" encoding="utf-8"?>
<sst xmlns="http://schemas.openxmlformats.org/spreadsheetml/2006/main" count="2026" uniqueCount="400">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</sst>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06262" y="456543"/>
          <a:ext cx="1966091" cy="312354"/>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58"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25</v>
      </c>
      <c r="D5" s="22"/>
      <c r="E5" s="126">
        <f ca="1">IF(C5="","",J5-H5)</f>
        <v>27</v>
      </c>
      <c r="F5" s="126">
        <f t="shared" ref="F5:F14" ca="1" si="0">IF(E5="","",G5+H5)</f>
        <v>1</v>
      </c>
      <c r="G5" s="128">
        <f ca="1">IF(E5="","",DZ5)</f>
        <v>0</v>
      </c>
      <c r="H5" s="129">
        <f ca="1">IF(C5="","",CZ5)</f>
        <v>1</v>
      </c>
      <c r="I5" s="126"/>
      <c r="J5" s="126">
        <f ca="1">IF(AND($B5&gt;=1,$B5&lt;=40,$C5&gt;=1,$C5&lt;=25),IF($B5&gt;1,SUM(INDIRECT("BA4:BY"&amp;($B5+2))),0)+SUM(INDIRECT("BA"&amp;($B5+3)&amp;":B"&amp;CHAR(64+$C5)&amp;($B5+3))),0)</f>
        <v>28</v>
      </c>
      <c r="K5" s="126">
        <f ca="1">$E5</f>
        <v>27</v>
      </c>
      <c r="L5" s="126">
        <f ca="1">$F5</f>
        <v>1</v>
      </c>
      <c r="M5" s="126">
        <f ca="1">$G5</f>
        <v>0</v>
      </c>
      <c r="N5" s="126">
        <f ca="1">$H5</f>
        <v>1</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1</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10</v>
      </c>
      <c r="C6" s="39">
        <v>10</v>
      </c>
      <c r="D6" s="22"/>
      <c r="E6" s="22">
        <f t="shared" ref="E6:E14" ca="1" si="53">IF(J6=J5,"",(J6-J5)-H6)</f>
        <v>26</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54</v>
      </c>
      <c r="K6" s="22">
        <f t="shared" ref="K6:K14" ca="1" si="57">IF(E6="",K5,K5+$E6)</f>
        <v>53</v>
      </c>
      <c r="L6" s="22">
        <f t="shared" ref="L6:L14" ca="1" si="58">IF(F6="",L5,L5+$F6)</f>
        <v>1</v>
      </c>
      <c r="M6" s="22">
        <f t="shared" ref="M6:M14" ca="1" si="59">IF(G6="",M5,M5+$G6)</f>
        <v>0</v>
      </c>
      <c r="N6" s="22">
        <f t="shared" ref="N6:N14" ca="1" si="60">IF(H6="",N5,N5+$H6)</f>
        <v>1</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1</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14</v>
      </c>
      <c r="C7" s="39">
        <v>25</v>
      </c>
      <c r="D7" s="22"/>
      <c r="E7" s="22">
        <f t="shared" ca="1" si="53"/>
        <v>25</v>
      </c>
      <c r="F7" s="22">
        <f t="shared" ca="1" si="0"/>
        <v>2</v>
      </c>
      <c r="G7" s="130">
        <f t="shared" ca="1" si="54"/>
        <v>0</v>
      </c>
      <c r="H7" s="131">
        <f t="shared" ca="1" si="55"/>
        <v>2</v>
      </c>
      <c r="I7" s="22"/>
      <c r="J7" s="22">
        <f t="shared" ca="1" si="56"/>
        <v>81</v>
      </c>
      <c r="K7" s="22">
        <f t="shared" ca="1" si="57"/>
        <v>78</v>
      </c>
      <c r="L7" s="22">
        <f t="shared" ca="1" si="58"/>
        <v>3</v>
      </c>
      <c r="M7" s="22">
        <f t="shared" ca="1" si="59"/>
        <v>0</v>
      </c>
      <c r="N7" s="22">
        <f t="shared" ca="1" si="60"/>
        <v>3</v>
      </c>
      <c r="O7" s="6"/>
      <c r="P7" s="6"/>
      <c r="Q7" s="6"/>
      <c r="R7" s="6"/>
      <c r="S7" s="6"/>
      <c r="T7" s="6"/>
      <c r="U7" s="6"/>
      <c r="V7" s="6"/>
      <c r="W7" s="6"/>
      <c r="X7" s="6"/>
      <c r="Y7" s="119"/>
      <c r="Z7" s="34">
        <v>4</v>
      </c>
      <c r="AA7" s="44"/>
      <c r="AB7" s="41"/>
      <c r="AC7" s="42"/>
      <c r="AD7" s="41" t="s">
        <v>397</v>
      </c>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1</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3</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19</v>
      </c>
      <c r="C8" s="39">
        <v>5</v>
      </c>
      <c r="D8" s="22"/>
      <c r="E8" s="22">
        <f t="shared" ca="1" si="53"/>
        <v>21</v>
      </c>
      <c r="F8" s="22">
        <f t="shared" ca="1" si="0"/>
        <v>1</v>
      </c>
      <c r="G8" s="130">
        <f t="shared" ca="1" si="54"/>
        <v>0</v>
      </c>
      <c r="H8" s="131">
        <f t="shared" ca="1" si="55"/>
        <v>1</v>
      </c>
      <c r="I8" s="22"/>
      <c r="J8" s="22">
        <f t="shared" ca="1" si="56"/>
        <v>103</v>
      </c>
      <c r="K8" s="22">
        <f t="shared" ca="1" si="57"/>
        <v>99</v>
      </c>
      <c r="L8" s="22">
        <f t="shared" ca="1" si="58"/>
        <v>4</v>
      </c>
      <c r="M8" s="22">
        <f t="shared" ca="1" si="59"/>
        <v>0</v>
      </c>
      <c r="N8" s="22">
        <f t="shared" ca="1" si="60"/>
        <v>4</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4</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23</v>
      </c>
      <c r="C9" s="39">
        <v>10</v>
      </c>
      <c r="D9" s="22"/>
      <c r="E9" s="22">
        <f t="shared" ca="1" si="53"/>
        <v>25</v>
      </c>
      <c r="F9" s="22">
        <f t="shared" ca="1" si="0"/>
        <v>3</v>
      </c>
      <c r="G9" s="130">
        <f t="shared" ca="1" si="54"/>
        <v>0</v>
      </c>
      <c r="H9" s="131">
        <f t="shared" ca="1" si="55"/>
        <v>3</v>
      </c>
      <c r="I9" s="22"/>
      <c r="J9" s="22">
        <f t="shared" ca="1" si="56"/>
        <v>131</v>
      </c>
      <c r="K9" s="22">
        <f t="shared" ca="1" si="57"/>
        <v>124</v>
      </c>
      <c r="L9" s="22">
        <f t="shared" ca="1" si="58"/>
        <v>7</v>
      </c>
      <c r="M9" s="22">
        <f t="shared" ca="1" si="59"/>
        <v>0</v>
      </c>
      <c r="N9" s="22">
        <f t="shared" ca="1" si="60"/>
        <v>7</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7</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27</v>
      </c>
      <c r="C10" s="39">
        <v>22</v>
      </c>
      <c r="D10" s="22"/>
      <c r="E10" s="22">
        <f t="shared" ca="1" si="53"/>
        <v>28</v>
      </c>
      <c r="F10" s="22">
        <f t="shared" ca="1" si="0"/>
        <v>2</v>
      </c>
      <c r="G10" s="130">
        <f t="shared" ca="1" si="54"/>
        <v>0</v>
      </c>
      <c r="H10" s="131">
        <f t="shared" ca="1" si="55"/>
        <v>2</v>
      </c>
      <c r="I10" s="22"/>
      <c r="J10" s="22">
        <f t="shared" ca="1" si="56"/>
        <v>161</v>
      </c>
      <c r="K10" s="22">
        <f t="shared" ca="1" si="57"/>
        <v>152</v>
      </c>
      <c r="L10" s="22">
        <f t="shared" ca="1" si="58"/>
        <v>9</v>
      </c>
      <c r="M10" s="22">
        <f t="shared" ca="1" si="59"/>
        <v>0</v>
      </c>
      <c r="N10" s="22">
        <f t="shared" ca="1" si="60"/>
        <v>9</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9</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32</v>
      </c>
      <c r="C11" s="39">
        <v>10</v>
      </c>
      <c r="D11" s="22"/>
      <c r="E11" s="22">
        <f t="shared" ca="1" si="53"/>
        <v>25</v>
      </c>
      <c r="F11" s="22">
        <f t="shared" ca="1" si="0"/>
        <v>0</v>
      </c>
      <c r="G11" s="130">
        <f t="shared" ca="1" si="54"/>
        <v>0</v>
      </c>
      <c r="H11" s="131">
        <f t="shared" ca="1" si="55"/>
        <v>0</v>
      </c>
      <c r="I11" s="22"/>
      <c r="J11" s="22">
        <f t="shared" ca="1" si="56"/>
        <v>186</v>
      </c>
      <c r="K11" s="22">
        <f t="shared" ca="1" si="57"/>
        <v>177</v>
      </c>
      <c r="L11" s="22">
        <f t="shared" ca="1" si="58"/>
        <v>9</v>
      </c>
      <c r="M11" s="22">
        <f t="shared" ca="1" si="59"/>
        <v>0</v>
      </c>
      <c r="N11" s="22">
        <f t="shared" ca="1" si="60"/>
        <v>9</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9</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36</v>
      </c>
      <c r="C12" s="39">
        <v>22</v>
      </c>
      <c r="D12" s="22"/>
      <c r="E12" s="22">
        <f t="shared" ca="1" si="53"/>
        <v>28</v>
      </c>
      <c r="F12" s="22">
        <f t="shared" ca="1" si="0"/>
        <v>2</v>
      </c>
      <c r="G12" s="130">
        <f t="shared" ca="1" si="54"/>
        <v>0</v>
      </c>
      <c r="H12" s="131">
        <f t="shared" ca="1" si="55"/>
        <v>2</v>
      </c>
      <c r="I12" s="22"/>
      <c r="J12" s="22">
        <f t="shared" ca="1" si="56"/>
        <v>216</v>
      </c>
      <c r="K12" s="22">
        <f t="shared" ca="1" si="57"/>
        <v>205</v>
      </c>
      <c r="L12" s="22">
        <f t="shared" ca="1" si="58"/>
        <v>11</v>
      </c>
      <c r="M12" s="22">
        <f t="shared" ca="1" si="59"/>
        <v>0</v>
      </c>
      <c r="N12" s="22">
        <f t="shared" ca="1" si="60"/>
        <v>11</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11</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40</v>
      </c>
      <c r="C13" s="39">
        <v>25</v>
      </c>
      <c r="D13" s="22"/>
      <c r="E13" s="22">
        <f t="shared" ca="1" si="53"/>
        <v>25</v>
      </c>
      <c r="F13" s="22">
        <f t="shared" ca="1" si="0"/>
        <v>0</v>
      </c>
      <c r="G13" s="130">
        <f t="shared" ca="1" si="54"/>
        <v>0</v>
      </c>
      <c r="H13" s="131">
        <f t="shared" ca="1" si="55"/>
        <v>0</v>
      </c>
      <c r="I13" s="22"/>
      <c r="J13" s="22">
        <f t="shared" ca="1" si="56"/>
        <v>241</v>
      </c>
      <c r="K13" s="22">
        <f t="shared" ca="1" si="57"/>
        <v>230</v>
      </c>
      <c r="L13" s="22">
        <f t="shared" ca="1" si="58"/>
        <v>11</v>
      </c>
      <c r="M13" s="22">
        <f t="shared" ca="1" si="59"/>
        <v>0</v>
      </c>
      <c r="N13" s="22">
        <f t="shared" ca="1" si="60"/>
        <v>11</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11</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c r="C14" s="39"/>
      <c r="D14" s="46"/>
      <c r="E14" s="47" t="str">
        <f t="shared" ca="1" si="53"/>
        <v/>
      </c>
      <c r="F14" s="47" t="str">
        <f t="shared" ca="1" si="0"/>
        <v/>
      </c>
      <c r="G14" s="48" t="str">
        <f t="shared" ca="1" si="54"/>
        <v/>
      </c>
      <c r="H14" s="49" t="str">
        <f t="shared" si="55"/>
        <v/>
      </c>
      <c r="I14" s="47"/>
      <c r="J14" s="49">
        <f t="shared" ca="1" si="56"/>
        <v>241</v>
      </c>
      <c r="K14" s="127">
        <f t="shared" ca="1" si="57"/>
        <v>230</v>
      </c>
      <c r="L14" s="127">
        <f t="shared" ca="1" si="58"/>
        <v>11</v>
      </c>
      <c r="M14" s="127">
        <f t="shared" ca="1" si="59"/>
        <v>0</v>
      </c>
      <c r="N14" s="127">
        <f t="shared" ca="1" si="60"/>
        <v>11</v>
      </c>
      <c r="O14" s="15"/>
      <c r="P14" s="15"/>
      <c r="Q14" s="15"/>
      <c r="R14" s="15"/>
      <c r="S14" s="15"/>
      <c r="T14" s="15"/>
      <c r="U14" s="15"/>
      <c r="V14" s="15"/>
      <c r="W14" s="15"/>
      <c r="X14" s="15"/>
      <c r="Y14" s="119"/>
      <c r="Z14" s="34">
        <v>11</v>
      </c>
      <c r="AA14" s="44"/>
      <c r="AB14" s="42"/>
      <c r="AC14" s="42"/>
      <c r="AD14" s="42"/>
      <c r="AE14" s="42"/>
      <c r="AF14" s="42"/>
      <c r="AG14" s="42"/>
      <c r="AH14" s="41"/>
      <c r="AI14" s="42"/>
      <c r="AJ14" s="42"/>
      <c r="AK14" s="41" t="s">
        <v>397</v>
      </c>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1</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t="b">
        <f t="shared" ca="1" si="26"/>
        <v>0</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t="b">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t="s">
        <v>397</v>
      </c>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1</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8</v>
      </c>
      <c r="F17" s="52">
        <v>55</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t="s">
        <v>397</v>
      </c>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1</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8.9166666666666661</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4.5643153526970952</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t="s">
        <v>397</v>
      </c>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1</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25.794392523364486</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1.2336448598130842</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t="s">
        <v>397</v>
      </c>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1</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1.2336448598130842</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21</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28</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7</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t="s">
        <v>397</v>
      </c>
      <c r="AK30" s="42"/>
      <c r="AL30" s="42"/>
      <c r="AM30" s="42"/>
      <c r="AN30" s="42"/>
      <c r="AO30" s="42"/>
      <c r="AP30" s="41"/>
      <c r="AQ30" s="42"/>
      <c r="AR30" s="42"/>
      <c r="AS30" s="42"/>
      <c r="AT30" s="41" t="s">
        <v>397</v>
      </c>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1</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1</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t="s">
        <v>397</v>
      </c>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1</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t="s">
        <v>397</v>
      </c>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1</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E16F6-0D41-420C-B922-9E05199DB3E5}">
  <dimension ref="A1:Y39"/>
  <sheetViews>
    <sheetView topLeftCell="A11" zoomScale="49" workbookViewId="0">
      <selection activeCell="M44" sqref="M44"/>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t="str">
        <f>T2B!AD7</f>
        <v>a</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t="str">
        <f>T2B!AK14</f>
        <v>a</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t="str">
        <f>T2B!AN15</f>
        <v>a</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t="str">
        <f>T2B!AJ20</f>
        <v>a</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t="str">
        <f>T2B!AR22</f>
        <v>a</v>
      </c>
      <c r="S18">
        <f>T2B!AS22</f>
        <v>0</v>
      </c>
      <c r="T18">
        <f>T2B!AT22</f>
        <v>0</v>
      </c>
      <c r="U18">
        <f>T2B!AU22</f>
        <v>0</v>
      </c>
      <c r="V18">
        <f>T2B!AV22</f>
        <v>0</v>
      </c>
      <c r="W18">
        <f>T2B!AW22</f>
        <v>0</v>
      </c>
      <c r="X18">
        <f>T2B!AX22</f>
        <v>0</v>
      </c>
      <c r="Y18">
        <f>T2B!AY22</f>
        <v>0</v>
      </c>
    </row>
    <row r="19" spans="1:25" x14ac:dyDescent="0.25">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t="str">
        <f>T2B!AE25</f>
        <v>a</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t="str">
        <f>T2B!AJ30</f>
        <v>a</v>
      </c>
      <c r="K26">
        <f>T2B!AK30</f>
        <v>0</v>
      </c>
      <c r="L26">
        <f>T2B!AL30</f>
        <v>0</v>
      </c>
      <c r="M26">
        <f>T2B!AM30</f>
        <v>0</v>
      </c>
      <c r="N26">
        <f>T2B!AN30</f>
        <v>0</v>
      </c>
      <c r="O26">
        <f>T2B!AO30</f>
        <v>0</v>
      </c>
      <c r="P26">
        <f>T2B!AP30</f>
        <v>0</v>
      </c>
      <c r="Q26">
        <f>T2B!AQ30</f>
        <v>0</v>
      </c>
      <c r="R26">
        <f>T2B!AR30</f>
        <v>0</v>
      </c>
      <c r="S26">
        <f>T2B!AS30</f>
        <v>0</v>
      </c>
      <c r="T26" t="str">
        <f>T2B!AT30</f>
        <v>a</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t="str">
        <f>T2B!AX36</f>
        <v>a</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t="str">
        <f>T2B!AQ37</f>
        <v>a</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2023-02-22T10:31:01Z</dcterms:modified>
</cp:coreProperties>
</file>