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clinicians/"/>
    </mc:Choice>
  </mc:AlternateContent>
  <xr:revisionPtr revIDLastSave="39" documentId="8_{10AA64A5-80BB-432F-B37D-07C44C9CAB8B}" xr6:coauthVersionLast="47" xr6:coauthVersionMax="47" xr10:uidLastSave="{128DDE12-E047-4BAE-BF91-4797F7659F68}"/>
  <bookViews>
    <workbookView xWindow="22932" yWindow="-108" windowWidth="20376" windowHeight="12816" firstSheet="1" activeTab="2"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DZ6" i="13"/>
  <c r="CZ6" i="13"/>
  <c r="CZ9" i="13"/>
  <c r="CZ5" i="13"/>
  <c r="DZ13" i="13"/>
  <c r="DZ11" i="13"/>
  <c r="DZ8" i="13"/>
  <c r="DZ10" i="13"/>
  <c r="CZ12" i="13"/>
  <c r="J5" i="13"/>
  <c r="DZ14" i="13"/>
  <c r="CZ11" i="13"/>
  <c r="DZ9" i="13"/>
  <c r="CZ10" i="13"/>
  <c r="CZ7" i="13"/>
  <c r="DZ5" i="13"/>
  <c r="CZ8" i="13"/>
  <c r="DZ12" i="13"/>
  <c r="CZ13" i="13"/>
  <c r="DZ7" i="13"/>
  <c r="CZ14"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M185" i="1" l="1"/>
  <c r="I32" i="1"/>
  <c r="J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J1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H183" i="1"/>
  <c r="S1189" i="1"/>
  <c r="S1168" i="1"/>
  <c r="H160" i="1" s="1"/>
  <c r="S1158" i="1"/>
  <c r="H149" i="1" s="1"/>
  <c r="S1162" i="1"/>
  <c r="H153" i="1" s="1"/>
  <c r="S1098" i="1"/>
  <c r="H76" i="1" s="1"/>
  <c r="K46" i="1"/>
  <c r="L46" i="1"/>
  <c r="J46" i="1"/>
  <c r="I46" i="1"/>
  <c r="K24" i="1"/>
  <c r="S1157" i="1"/>
  <c r="H148" i="1" s="1"/>
  <c r="S1144" i="1"/>
  <c r="H132" i="1" s="1"/>
  <c r="H73" i="1"/>
  <c r="S1095" i="1"/>
  <c r="J7" i="13"/>
  <c r="I18" i="1" l="1"/>
  <c r="L49" i="1"/>
  <c r="I188" i="1"/>
  <c r="J125" i="1"/>
  <c r="K125" i="1"/>
  <c r="L189" i="1"/>
  <c r="J182" i="1"/>
  <c r="K137" i="1"/>
  <c r="I60" i="1"/>
  <c r="K188" i="1"/>
  <c r="L60" i="1"/>
  <c r="L188" i="1"/>
  <c r="J24" i="1"/>
  <c r="J25"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K116" i="1" l="1"/>
  <c r="I116" i="1"/>
  <c r="J116" i="1"/>
</calcChain>
</file>

<file path=xl/sharedStrings.xml><?xml version="1.0" encoding="utf-8"?>
<sst xmlns="http://schemas.openxmlformats.org/spreadsheetml/2006/main" count="2048" uniqueCount="400">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</sst>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13154" y="448143"/>
          <a:ext cx="1966522" cy="312139"/>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100000000000001" customHeight="1" x14ac:dyDescent="0.25">
      <c r="B8" s="188" t="s">
        <v>8</v>
      </c>
      <c r="C8" s="189"/>
      <c r="D8" s="229"/>
      <c r="E8" s="229"/>
      <c r="F8" s="308"/>
      <c r="G8" s="308"/>
      <c r="H8" s="308"/>
      <c r="I8" s="5"/>
      <c r="J8" s="4" t="s">
        <v>9</v>
      </c>
      <c r="K8" s="3"/>
      <c r="L8" s="3"/>
      <c r="M8" s="82"/>
    </row>
    <row r="9" spans="2:16" ht="30" customHeight="1" x14ac:dyDescent="0.25">
      <c r="B9" s="112"/>
      <c r="C9" s="113"/>
      <c r="D9" s="113"/>
      <c r="E9" s="235">
        <f>(C8-C7)/365.25</f>
        <v>0</v>
      </c>
      <c r="F9" s="299" t="s">
        <v>395</v>
      </c>
      <c r="G9" s="300"/>
      <c r="H9" s="300"/>
      <c r="I9" s="300"/>
      <c r="J9" s="300"/>
      <c r="K9" s="300"/>
      <c r="L9" s="300"/>
      <c r="M9" s="301"/>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05" t="s">
        <v>394</v>
      </c>
      <c r="G12" s="298"/>
      <c r="H12" s="298"/>
      <c r="I12" s="298"/>
      <c r="J12" s="298"/>
      <c r="K12" s="298"/>
      <c r="L12" s="298"/>
      <c r="M12" s="306"/>
    </row>
    <row r="13" spans="2:16" x14ac:dyDescent="0.25">
      <c r="B13" s="134" t="s">
        <v>313</v>
      </c>
      <c r="C13" s="8"/>
      <c r="D13" s="8"/>
      <c r="E13" s="8"/>
      <c r="F13" s="292"/>
      <c r="G13" s="292"/>
      <c r="H13" s="292"/>
      <c r="I13" s="292"/>
      <c r="J13" s="292"/>
      <c r="K13" s="292"/>
      <c r="L13" s="292"/>
      <c r="M13" s="293"/>
    </row>
    <row r="14" spans="2:16"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x14ac:dyDescent="0.25">
      <c r="B15" s="62"/>
      <c r="C15" s="294" t="s">
        <v>20</v>
      </c>
      <c r="D15" s="295"/>
      <c r="E15" s="296"/>
      <c r="F15" s="242" t="e">
        <f>IF(#REF!="","",#REF!)</f>
        <v>#REF!</v>
      </c>
      <c r="G15" s="97"/>
      <c r="H15" s="100"/>
      <c r="I15" s="10"/>
      <c r="J15" s="11"/>
      <c r="K15" s="11"/>
      <c r="L15" s="10"/>
      <c r="M15" s="12"/>
      <c r="N15" s="236"/>
    </row>
    <row r="16" spans="2:16"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x14ac:dyDescent="0.25">
      <c r="B36" s="62"/>
      <c r="C36" s="294" t="s">
        <v>20</v>
      </c>
      <c r="D36" s="295"/>
      <c r="E36" s="296"/>
      <c r="F36" s="259" t="e">
        <f>IF(#REF!="","",#REF!)</f>
        <v>#REF!</v>
      </c>
      <c r="G36" s="97"/>
      <c r="H36" s="100"/>
      <c r="I36" s="10"/>
      <c r="J36" s="11"/>
      <c r="K36" s="11"/>
      <c r="L36" s="10"/>
      <c r="M36" s="66"/>
      <c r="N36" s="236"/>
    </row>
    <row r="37" spans="2:14"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x14ac:dyDescent="0.25">
      <c r="B44" s="62"/>
      <c r="C44" s="294" t="s">
        <v>20</v>
      </c>
      <c r="D44" s="295"/>
      <c r="E44" s="296"/>
      <c r="F44" s="259" t="e">
        <f>IF(#REF!="","",#REF!)</f>
        <v>#REF!</v>
      </c>
      <c r="G44" s="97"/>
      <c r="H44" s="100"/>
      <c r="I44" s="10"/>
      <c r="J44" s="11"/>
      <c r="K44" s="11"/>
      <c r="L44" s="10"/>
      <c r="M44" s="66"/>
      <c r="N44" s="236"/>
    </row>
    <row r="45" spans="2:14"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x14ac:dyDescent="0.25">
      <c r="B67" s="62"/>
      <c r="C67" s="294" t="s">
        <v>20</v>
      </c>
      <c r="D67" s="295"/>
      <c r="E67" s="296"/>
      <c r="F67" s="261" t="e">
        <f>IF(#REF!="","",#REF!)</f>
        <v>#REF!</v>
      </c>
      <c r="G67" s="97"/>
      <c r="H67" s="100"/>
      <c r="I67" s="10"/>
      <c r="J67" s="11"/>
      <c r="K67" s="11"/>
      <c r="L67" s="10"/>
      <c r="M67" s="66"/>
      <c r="N67" s="236"/>
    </row>
    <row r="68" spans="2:14"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x14ac:dyDescent="0.25">
      <c r="B84" s="62"/>
      <c r="C84" s="294" t="s">
        <v>20</v>
      </c>
      <c r="D84" s="295"/>
      <c r="E84" s="296"/>
      <c r="F84" s="261" t="e">
        <f>IF(#REF!="","",#REF!)</f>
        <v>#REF!</v>
      </c>
      <c r="G84" s="97"/>
      <c r="H84" s="100"/>
      <c r="I84" s="18"/>
      <c r="J84" s="10"/>
      <c r="K84" s="18"/>
      <c r="L84" s="65"/>
      <c r="M84" s="66"/>
      <c r="N84" s="236"/>
    </row>
    <row r="85" spans="2:14"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x14ac:dyDescent="0.25">
      <c r="B94" s="62"/>
      <c r="C94" s="294" t="s">
        <v>20</v>
      </c>
      <c r="D94" s="295"/>
      <c r="E94" s="296"/>
      <c r="F94" s="261" t="e">
        <f>IF(#REF!="","",#REF!)</f>
        <v>#REF!</v>
      </c>
      <c r="G94" s="97"/>
      <c r="H94" s="100"/>
      <c r="I94" s="18"/>
      <c r="J94" s="10"/>
      <c r="K94" s="18"/>
      <c r="L94" s="65"/>
      <c r="M94" s="66"/>
      <c r="N94" s="236"/>
    </row>
    <row r="95" spans="2:14"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x14ac:dyDescent="0.25">
      <c r="B105" s="62"/>
      <c r="C105" s="291" t="s">
        <v>20</v>
      </c>
      <c r="D105" s="292"/>
      <c r="E105" s="293"/>
      <c r="F105" s="261" t="str">
        <f>IF(T2B!E19="","",T2B!E19)</f>
        <v/>
      </c>
      <c r="G105" s="22"/>
      <c r="H105" s="100"/>
      <c r="I105" s="18"/>
      <c r="J105" s="10"/>
      <c r="K105" s="18"/>
      <c r="L105" s="65"/>
      <c r="M105" s="66"/>
      <c r="N105" s="236"/>
    </row>
    <row r="106" spans="2:14" x14ac:dyDescent="0.25">
      <c r="B106" s="62"/>
      <c r="C106" s="291" t="s">
        <v>55</v>
      </c>
      <c r="D106" s="292"/>
      <c r="E106" s="293"/>
      <c r="F106" s="260" t="str">
        <f ca="1">IF(OR(T2B!N14="",C5="",C6="",C7="",C8="",E7="")=TRUE,"",T2B!N14)</f>
        <v/>
      </c>
      <c r="G106" s="22" t="s">
        <v>22</v>
      </c>
      <c r="H106" s="106"/>
      <c r="I106" s="18"/>
      <c r="J106" s="10"/>
      <c r="K106" s="18"/>
      <c r="L106" s="65"/>
      <c r="M106" s="66"/>
      <c r="N106" s="236"/>
    </row>
    <row r="107" spans="2:14" x14ac:dyDescent="0.25">
      <c r="B107" s="62"/>
      <c r="C107" s="291" t="s">
        <v>56</v>
      </c>
      <c r="D107" s="292"/>
      <c r="E107" s="293"/>
      <c r="F107" s="260" t="str">
        <f ca="1">IF(OR(T2B!M14="",C5="",C6="",C7="",C8="",E7="")=TRUE,"",T2B!M14)</f>
        <v/>
      </c>
      <c r="G107" s="22" t="s">
        <v>22</v>
      </c>
      <c r="H107" s="106"/>
      <c r="I107" s="18"/>
      <c r="J107" s="10"/>
      <c r="K107" s="18"/>
      <c r="L107" s="65"/>
      <c r="M107" s="66"/>
      <c r="N107" s="236"/>
    </row>
    <row r="108" spans="2:14" x14ac:dyDescent="0.25">
      <c r="B108" s="62"/>
      <c r="C108" s="291" t="s">
        <v>57</v>
      </c>
      <c r="D108" s="292"/>
      <c r="E108" s="293"/>
      <c r="F108" s="260" t="str">
        <f ca="1">IF(OR(T2B!L14="",C5="",C6="",C7="",C8="",E7="")=TRUE,"",T2B!L14)</f>
        <v/>
      </c>
      <c r="G108" s="22" t="s">
        <v>22</v>
      </c>
      <c r="H108" s="106"/>
      <c r="I108" s="18"/>
      <c r="J108" s="10"/>
      <c r="K108" s="18"/>
      <c r="L108" s="65"/>
      <c r="M108" s="66"/>
      <c r="N108" s="236"/>
    </row>
    <row r="109" spans="2:14" x14ac:dyDescent="0.25">
      <c r="B109" s="62"/>
      <c r="C109" s="294" t="s">
        <v>58</v>
      </c>
      <c r="D109" s="295"/>
      <c r="E109" s="296"/>
      <c r="F109" s="260" t="str">
        <f ca="1">IF(OR(T2B!K14="",C5="",C6="",C7="",C8="",E7="")=TRUE,"",T2B!K14)</f>
        <v/>
      </c>
      <c r="G109" s="22" t="s">
        <v>22</v>
      </c>
      <c r="H109" s="107"/>
      <c r="I109" s="18"/>
      <c r="J109" s="10"/>
      <c r="K109" s="18"/>
      <c r="L109" s="65"/>
      <c r="M109" s="66"/>
      <c r="N109" s="236"/>
    </row>
    <row r="110" spans="2:14"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x14ac:dyDescent="0.25">
      <c r="B122" s="62"/>
      <c r="C122" s="294" t="s">
        <v>20</v>
      </c>
      <c r="D122" s="295"/>
      <c r="E122" s="296"/>
      <c r="F122" s="261" t="e">
        <f>IF(#REF!="","",#REF!)</f>
        <v>#REF!</v>
      </c>
      <c r="G122" s="97"/>
      <c r="H122" s="100"/>
      <c r="I122" s="18"/>
      <c r="J122" s="10"/>
      <c r="K122" s="18"/>
      <c r="L122" s="65"/>
      <c r="M122" s="66"/>
      <c r="N122" s="236"/>
    </row>
    <row r="123" spans="2:14"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x14ac:dyDescent="0.25">
      <c r="B129" s="62"/>
      <c r="C129" s="294" t="s">
        <v>20</v>
      </c>
      <c r="D129" s="295"/>
      <c r="E129" s="296"/>
      <c r="F129" s="261" t="e">
        <f>IF(#REF!="","",#REF!)</f>
        <v>#REF!</v>
      </c>
      <c r="G129" s="97"/>
      <c r="H129" s="100"/>
      <c r="I129" s="18"/>
      <c r="J129" s="10"/>
      <c r="K129" s="18"/>
      <c r="L129" s="65"/>
      <c r="M129" s="66"/>
      <c r="N129" s="236"/>
    </row>
    <row r="130" spans="2:14"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x14ac:dyDescent="0.25">
      <c r="B145" s="62"/>
      <c r="C145" s="294" t="s">
        <v>20</v>
      </c>
      <c r="D145" s="295"/>
      <c r="E145" s="296"/>
      <c r="F145" s="261" t="e">
        <f>IF(#REF!="","",#REF!)</f>
        <v>#REF!</v>
      </c>
      <c r="G145" s="97"/>
      <c r="H145" s="100"/>
      <c r="I145" s="18"/>
      <c r="J145" s="10"/>
      <c r="K145" s="18"/>
      <c r="L145" s="65"/>
      <c r="M145" s="66"/>
      <c r="N145" s="236"/>
    </row>
    <row r="146" spans="2:14"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x14ac:dyDescent="0.25">
      <c r="B158" s="62"/>
      <c r="C158" s="294" t="s">
        <v>20</v>
      </c>
      <c r="D158" s="295"/>
      <c r="E158" s="296"/>
      <c r="F158" s="261" t="e">
        <f>IF(#REF!="","",#REF!)</f>
        <v>#REF!</v>
      </c>
      <c r="G158" s="97"/>
      <c r="H158" s="100"/>
      <c r="I158" s="18"/>
      <c r="J158" s="10"/>
      <c r="K158" s="18"/>
      <c r="L158" s="65"/>
      <c r="M158" s="66"/>
      <c r="N158" s="236"/>
    </row>
    <row r="159" spans="2:14"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x14ac:dyDescent="0.25">
      <c r="B166" s="62"/>
      <c r="C166" s="294" t="s">
        <v>20</v>
      </c>
      <c r="D166" s="295"/>
      <c r="E166" s="296"/>
      <c r="F166" s="261" t="e">
        <f>IF(#REF!="","",#REF!)</f>
        <v>#REF!</v>
      </c>
      <c r="G166" s="97"/>
      <c r="H166" s="100"/>
      <c r="I166" s="10"/>
      <c r="J166" s="10"/>
      <c r="K166" s="18"/>
      <c r="L166" s="65"/>
      <c r="M166" s="66"/>
      <c r="N166" s="236"/>
    </row>
    <row r="167" spans="2:14"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x14ac:dyDescent="0.25">
      <c r="B179" s="62"/>
      <c r="C179" s="294" t="s">
        <v>20</v>
      </c>
      <c r="D179" s="295"/>
      <c r="E179" s="296"/>
      <c r="F179" s="261" t="e">
        <f>IF(#REF!="","",#REF!)</f>
        <v>#REF!</v>
      </c>
      <c r="G179" s="97"/>
      <c r="H179" s="100"/>
      <c r="I179" s="10"/>
      <c r="J179" s="10"/>
      <c r="K179" s="18"/>
      <c r="L179" s="65"/>
      <c r="M179" s="66"/>
      <c r="N179" s="236"/>
    </row>
    <row r="180" spans="2:14"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x14ac:dyDescent="0.25">
      <c r="B199" s="62"/>
      <c r="C199" s="294" t="s">
        <v>20</v>
      </c>
      <c r="D199" s="295"/>
      <c r="E199" s="295"/>
      <c r="F199" s="274" t="str">
        <f>IF($C$8="","",$C$8)</f>
        <v/>
      </c>
      <c r="G199" s="22"/>
      <c r="H199" s="100"/>
      <c r="I199" s="237"/>
      <c r="J199" s="10"/>
      <c r="K199" s="18"/>
      <c r="L199" s="65"/>
      <c r="M199" s="66"/>
      <c r="N199" s="236"/>
    </row>
    <row r="200" spans="2:14"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x14ac:dyDescent="0.25">
      <c r="B208" s="62"/>
      <c r="C208" s="294" t="s">
        <v>20</v>
      </c>
      <c r="D208" s="295"/>
      <c r="E208" s="295"/>
      <c r="F208" s="274" t="str">
        <f>IF($C$8="","",$C$8)</f>
        <v/>
      </c>
      <c r="G208" s="22"/>
      <c r="H208" s="100"/>
      <c r="I208" s="18"/>
      <c r="J208" s="10"/>
      <c r="K208" s="18"/>
      <c r="L208" s="65"/>
      <c r="M208" s="66"/>
      <c r="N208" s="236"/>
    </row>
    <row r="209" spans="2:14"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x14ac:dyDescent="0.25">
      <c r="B218" s="62"/>
      <c r="C218" s="294" t="s">
        <v>20</v>
      </c>
      <c r="D218" s="295"/>
      <c r="E218" s="295"/>
      <c r="F218" s="274" t="str">
        <f>IF($C$8="","",$C$8)</f>
        <v/>
      </c>
      <c r="G218" s="22"/>
      <c r="H218" s="100"/>
      <c r="I218" s="18"/>
      <c r="J218" s="10"/>
      <c r="K218" s="18"/>
      <c r="L218" s="65"/>
      <c r="M218" s="66"/>
      <c r="N218" s="236"/>
    </row>
    <row r="219" spans="2:14"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x14ac:dyDescent="0.25">
      <c r="B226" s="194"/>
      <c r="C226" s="316" t="s">
        <v>20</v>
      </c>
      <c r="D226" s="317"/>
      <c r="E226" s="317"/>
      <c r="F226" s="274"/>
      <c r="G226" s="268"/>
      <c r="H226" s="215"/>
      <c r="I226" s="216"/>
      <c r="J226" s="212"/>
      <c r="K226" s="216"/>
      <c r="L226" s="217"/>
      <c r="M226" s="214"/>
      <c r="N226" s="278"/>
    </row>
    <row r="227" spans="2:14" s="70" customFormat="1"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x14ac:dyDescent="0.25">
      <c r="B236" s="194"/>
      <c r="C236" s="316" t="s">
        <v>20</v>
      </c>
      <c r="D236" s="317"/>
      <c r="E236" s="317"/>
      <c r="F236" s="274"/>
      <c r="G236" s="270"/>
      <c r="H236" s="215"/>
      <c r="I236" s="216"/>
      <c r="J236" s="212"/>
      <c r="K236" s="216"/>
      <c r="L236" s="217"/>
      <c r="M236" s="214"/>
      <c r="N236" s="278"/>
    </row>
    <row r="237" spans="2:14" s="70" customFormat="1"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opLeftCell="A3" zoomScale="61" workbookViewId="0">
      <selection activeCell="AN17" sqref="AN17"/>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22</v>
      </c>
      <c r="D5" s="22"/>
      <c r="E5" s="126">
        <f ca="1">IF(C5="","",J5-H5)</f>
        <v>28</v>
      </c>
      <c r="F5" s="126">
        <f t="shared" ref="F5:F14" ca="1" si="0">IF(E5="","",G5+H5)</f>
        <v>0</v>
      </c>
      <c r="G5" s="128">
        <f ca="1">IF(E5="","",DZ5)</f>
        <v>0</v>
      </c>
      <c r="H5" s="129">
        <f ca="1">IF(C5="","",CZ5)</f>
        <v>0</v>
      </c>
      <c r="I5" s="126"/>
      <c r="J5" s="126">
        <f ca="1">IF(AND($B5&gt;=1,$B5&lt;=40,$C5&gt;=1,$C5&lt;=25),IF($B5&gt;1,SUM(INDIRECT("BA4:BY"&amp;($B5+2))),0)+SUM(INDIRECT("BA"&amp;($B5+3)&amp;":B"&amp;CHAR(64+$C5)&amp;($B5+3))),0)</f>
        <v>28</v>
      </c>
      <c r="K5" s="126">
        <f ca="1">$E5</f>
        <v>28</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20</v>
      </c>
      <c r="D6" s="22"/>
      <c r="E6" s="22">
        <f t="shared" ref="E6:E14" ca="1" si="53">IF(J6=J5,"",(J6-J5)-H6)</f>
        <v>21</v>
      </c>
      <c r="F6" s="22">
        <f t="shared" ca="1" si="0"/>
        <v>2</v>
      </c>
      <c r="G6" s="130">
        <f t="shared" ref="G6:G14" ca="1" si="54">IF(E6="","",DZ6-DZ5)</f>
        <v>0</v>
      </c>
      <c r="H6" s="131">
        <f t="shared" ref="H6:H14" ca="1" si="55">IF(C6="","",CZ6-CZ5)</f>
        <v>2</v>
      </c>
      <c r="I6" s="22"/>
      <c r="J6" s="22">
        <f t="shared" ref="J6:J14" ca="1" si="56">IF(AND($B6&gt;=1,$B6&lt;=40,$C6&gt;=1,$C6&lt;=25),IF($B6&gt;1,SUM(INDIRECT("BA4:BY" &amp; ($B6 +2))),0)+SUM(INDIRECT("BA" &amp; ($B6+3) &amp; ":B" &amp; CHAR(64+$C6) &amp; ($B6+3))),J5)</f>
        <v>51</v>
      </c>
      <c r="K6" s="22">
        <f t="shared" ref="K6:K14" ca="1" si="57">IF(E6="",K5,K5+$E6)</f>
        <v>49</v>
      </c>
      <c r="L6" s="22">
        <f t="shared" ref="L6:L14" ca="1" si="58">IF(F6="",L5,L5+$F6)</f>
        <v>2</v>
      </c>
      <c r="M6" s="22">
        <f t="shared" ref="M6:M14" ca="1" si="59">IF(G6="",M5,M5+$G6)</f>
        <v>0</v>
      </c>
      <c r="N6" s="22">
        <f t="shared" ref="N6:N14" ca="1" si="60">IF(H6="",N5,N5+$H6)</f>
        <v>2</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2</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23</v>
      </c>
      <c r="D7" s="22"/>
      <c r="E7" s="22">
        <f t="shared" ca="1" si="53"/>
        <v>23</v>
      </c>
      <c r="F7" s="22">
        <f t="shared" ca="1" si="0"/>
        <v>2</v>
      </c>
      <c r="G7" s="130">
        <f t="shared" ca="1" si="54"/>
        <v>0</v>
      </c>
      <c r="H7" s="131">
        <f t="shared" ca="1" si="55"/>
        <v>2</v>
      </c>
      <c r="I7" s="22"/>
      <c r="J7" s="22">
        <f t="shared" ca="1" si="56"/>
        <v>76</v>
      </c>
      <c r="K7" s="22">
        <f t="shared" ca="1" si="57"/>
        <v>72</v>
      </c>
      <c r="L7" s="22">
        <f t="shared" ca="1" si="58"/>
        <v>4</v>
      </c>
      <c r="M7" s="22">
        <f t="shared" ca="1" si="59"/>
        <v>0</v>
      </c>
      <c r="N7" s="22">
        <f t="shared" ca="1" si="60"/>
        <v>4</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4</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18</v>
      </c>
      <c r="C8" s="39">
        <v>7</v>
      </c>
      <c r="D8" s="22"/>
      <c r="E8" s="22">
        <f t="shared" ca="1" si="53"/>
        <v>18</v>
      </c>
      <c r="F8" s="22">
        <f t="shared" ca="1" si="0"/>
        <v>4</v>
      </c>
      <c r="G8" s="130">
        <f t="shared" ca="1" si="54"/>
        <v>0</v>
      </c>
      <c r="H8" s="131">
        <f t="shared" ca="1" si="55"/>
        <v>4</v>
      </c>
      <c r="I8" s="22"/>
      <c r="J8" s="22">
        <f t="shared" ca="1" si="56"/>
        <v>98</v>
      </c>
      <c r="K8" s="22">
        <f t="shared" ca="1" si="57"/>
        <v>90</v>
      </c>
      <c r="L8" s="22">
        <f t="shared" ca="1" si="58"/>
        <v>8</v>
      </c>
      <c r="M8" s="22">
        <f t="shared" ca="1" si="59"/>
        <v>0</v>
      </c>
      <c r="N8" s="22">
        <f t="shared" ca="1" si="60"/>
        <v>8</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8</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22</v>
      </c>
      <c r="C9" s="39">
        <v>15</v>
      </c>
      <c r="D9" s="22"/>
      <c r="E9" s="22">
        <f t="shared" ca="1" si="53"/>
        <v>23</v>
      </c>
      <c r="F9" s="22">
        <f t="shared" ca="1" si="0"/>
        <v>5</v>
      </c>
      <c r="G9" s="130">
        <f t="shared" ca="1" si="54"/>
        <v>0</v>
      </c>
      <c r="H9" s="131">
        <f t="shared" ca="1" si="55"/>
        <v>5</v>
      </c>
      <c r="I9" s="22"/>
      <c r="J9" s="22">
        <f t="shared" ca="1" si="56"/>
        <v>126</v>
      </c>
      <c r="K9" s="22">
        <f t="shared" ca="1" si="57"/>
        <v>113</v>
      </c>
      <c r="L9" s="22">
        <f t="shared" ca="1" si="58"/>
        <v>13</v>
      </c>
      <c r="M9" s="22">
        <f t="shared" ca="1" si="59"/>
        <v>0</v>
      </c>
      <c r="N9" s="22">
        <f t="shared" ca="1" si="60"/>
        <v>13</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13</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26</v>
      </c>
      <c r="C10" s="39">
        <v>20</v>
      </c>
      <c r="D10" s="22"/>
      <c r="E10" s="22">
        <f t="shared" ca="1" si="53"/>
        <v>23</v>
      </c>
      <c r="F10" s="22">
        <f t="shared" ca="1" si="0"/>
        <v>3</v>
      </c>
      <c r="G10" s="130">
        <f t="shared" ca="1" si="54"/>
        <v>0</v>
      </c>
      <c r="H10" s="131">
        <f t="shared" ca="1" si="55"/>
        <v>3</v>
      </c>
      <c r="I10" s="22"/>
      <c r="J10" s="22">
        <f t="shared" ca="1" si="56"/>
        <v>152</v>
      </c>
      <c r="K10" s="22">
        <f t="shared" ca="1" si="57"/>
        <v>136</v>
      </c>
      <c r="L10" s="22">
        <f t="shared" ca="1" si="58"/>
        <v>16</v>
      </c>
      <c r="M10" s="22">
        <f t="shared" ca="1" si="59"/>
        <v>0</v>
      </c>
      <c r="N10" s="22">
        <f t="shared" ca="1" si="60"/>
        <v>16</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16</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30</v>
      </c>
      <c r="C11" s="39">
        <v>25</v>
      </c>
      <c r="D11" s="22"/>
      <c r="E11" s="22">
        <f t="shared" ca="1" si="53"/>
        <v>20</v>
      </c>
      <c r="F11" s="22">
        <f t="shared" ca="1" si="0"/>
        <v>8</v>
      </c>
      <c r="G11" s="130">
        <f t="shared" ca="1" si="54"/>
        <v>0</v>
      </c>
      <c r="H11" s="131">
        <f t="shared" ca="1" si="55"/>
        <v>8</v>
      </c>
      <c r="I11" s="22"/>
      <c r="J11" s="22">
        <f t="shared" ca="1" si="56"/>
        <v>180</v>
      </c>
      <c r="K11" s="22">
        <f t="shared" ca="1" si="57"/>
        <v>156</v>
      </c>
      <c r="L11" s="22">
        <f t="shared" ca="1" si="58"/>
        <v>24</v>
      </c>
      <c r="M11" s="22">
        <f t="shared" ca="1" si="59"/>
        <v>0</v>
      </c>
      <c r="N11" s="22">
        <f t="shared" ca="1" si="60"/>
        <v>24</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t="s">
        <v>397</v>
      </c>
      <c r="AS11" s="42"/>
      <c r="AT11" s="42"/>
      <c r="AU11" s="42"/>
      <c r="AV11" s="42"/>
      <c r="AW11" s="41" t="s">
        <v>397</v>
      </c>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1</v>
      </c>
      <c r="CS11" s="36">
        <f t="shared" si="19"/>
        <v>0</v>
      </c>
      <c r="CT11" s="36">
        <f t="shared" si="20"/>
        <v>0</v>
      </c>
      <c r="CU11" s="36">
        <f t="shared" si="21"/>
        <v>0</v>
      </c>
      <c r="CV11" s="36">
        <f t="shared" si="22"/>
        <v>0</v>
      </c>
      <c r="CW11" s="36">
        <f t="shared" si="23"/>
        <v>1</v>
      </c>
      <c r="CX11" s="36">
        <f t="shared" si="24"/>
        <v>0</v>
      </c>
      <c r="CY11" s="36">
        <f t="shared" si="25"/>
        <v>0</v>
      </c>
      <c r="CZ11" s="36">
        <f t="shared" ca="1" si="26"/>
        <v>24</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34</v>
      </c>
      <c r="C12" s="39">
        <v>18</v>
      </c>
      <c r="D12" s="22"/>
      <c r="E12" s="22">
        <f t="shared" ca="1" si="53"/>
        <v>21</v>
      </c>
      <c r="F12" s="22">
        <f t="shared" ca="1" si="0"/>
        <v>4</v>
      </c>
      <c r="G12" s="130">
        <f t="shared" ca="1" si="54"/>
        <v>0</v>
      </c>
      <c r="H12" s="131">
        <f t="shared" ca="1" si="55"/>
        <v>4</v>
      </c>
      <c r="I12" s="22"/>
      <c r="J12" s="22">
        <f t="shared" ca="1" si="56"/>
        <v>205</v>
      </c>
      <c r="K12" s="22">
        <f t="shared" ca="1" si="57"/>
        <v>177</v>
      </c>
      <c r="L12" s="22">
        <f t="shared" ca="1" si="58"/>
        <v>28</v>
      </c>
      <c r="M12" s="22">
        <f t="shared" ca="1" si="59"/>
        <v>0</v>
      </c>
      <c r="N12" s="22">
        <f t="shared" ca="1" si="60"/>
        <v>28</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28</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38</v>
      </c>
      <c r="C13" s="39">
        <v>24</v>
      </c>
      <c r="D13" s="22"/>
      <c r="E13" s="22">
        <f t="shared" ca="1" si="53"/>
        <v>19</v>
      </c>
      <c r="F13" s="22">
        <f t="shared" ca="1" si="0"/>
        <v>2</v>
      </c>
      <c r="G13" s="130">
        <f t="shared" ca="1" si="54"/>
        <v>0</v>
      </c>
      <c r="H13" s="131">
        <f t="shared" ca="1" si="55"/>
        <v>2</v>
      </c>
      <c r="I13" s="22"/>
      <c r="J13" s="22">
        <f t="shared" ca="1" si="56"/>
        <v>226</v>
      </c>
      <c r="K13" s="22">
        <f t="shared" ca="1" si="57"/>
        <v>196</v>
      </c>
      <c r="L13" s="22">
        <f t="shared" ca="1" si="58"/>
        <v>30</v>
      </c>
      <c r="M13" s="22">
        <f t="shared" ca="1" si="59"/>
        <v>0</v>
      </c>
      <c r="N13" s="22">
        <f t="shared" ca="1" si="60"/>
        <v>30</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30</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12</v>
      </c>
      <c r="F14" s="47">
        <f t="shared" ca="1" si="0"/>
        <v>3</v>
      </c>
      <c r="G14" s="48">
        <f t="shared" ca="1" si="54"/>
        <v>0</v>
      </c>
      <c r="H14" s="49">
        <f t="shared" ca="1" si="55"/>
        <v>3</v>
      </c>
      <c r="I14" s="47"/>
      <c r="J14" s="49">
        <f t="shared" ca="1" si="56"/>
        <v>241</v>
      </c>
      <c r="K14" s="127">
        <f t="shared" ca="1" si="57"/>
        <v>208</v>
      </c>
      <c r="L14" s="127">
        <f t="shared" ca="1" si="58"/>
        <v>33</v>
      </c>
      <c r="M14" s="127">
        <f t="shared" ca="1" si="59"/>
        <v>0</v>
      </c>
      <c r="N14" s="127">
        <f t="shared" ca="1" si="60"/>
        <v>33</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33</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t="s">
        <v>397</v>
      </c>
      <c r="AP16" s="42"/>
      <c r="AQ16" s="41" t="s">
        <v>397</v>
      </c>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1</v>
      </c>
      <c r="CP16" s="36">
        <f t="shared" si="16"/>
        <v>0</v>
      </c>
      <c r="CQ16" s="36">
        <f t="shared" si="17"/>
        <v>1</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33</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t="s">
        <v>397</v>
      </c>
      <c r="AJ17" s="42"/>
      <c r="AK17" s="42"/>
      <c r="AL17" s="42"/>
      <c r="AM17" s="41"/>
      <c r="AN17" s="42"/>
      <c r="AO17" s="42"/>
      <c r="AP17" s="42"/>
      <c r="AQ17" s="41"/>
      <c r="AR17" s="42"/>
      <c r="AS17" s="42"/>
      <c r="AT17" s="42"/>
      <c r="AU17" s="41"/>
      <c r="AV17" s="42"/>
      <c r="AW17" s="41" t="s">
        <v>397</v>
      </c>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1</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1</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t="s">
        <v>397</v>
      </c>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1</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t="s">
        <v>397</v>
      </c>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1</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9.5500000000000007</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t="s">
        <v>397</v>
      </c>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1</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13.692946058091286</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t="s">
        <v>397</v>
      </c>
      <c r="AW22" s="41" t="s">
        <v>397</v>
      </c>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1</v>
      </c>
      <c r="CW22" s="36">
        <f t="shared" si="23"/>
        <v>1</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21.780104712041883</v>
      </c>
      <c r="F23" s="50"/>
      <c r="G23" s="50"/>
      <c r="H23" s="50"/>
      <c r="I23" s="22"/>
      <c r="J23" s="50"/>
      <c r="K23" s="50"/>
      <c r="L23" s="50"/>
      <c r="M23" s="50"/>
      <c r="N23" s="22"/>
      <c r="O23" s="6"/>
      <c r="P23" s="6"/>
      <c r="Q23" s="6"/>
      <c r="R23" s="6"/>
      <c r="S23" s="6"/>
      <c r="T23" s="6"/>
      <c r="U23" s="6"/>
      <c r="V23" s="6"/>
      <c r="W23" s="6"/>
      <c r="X23" s="6"/>
      <c r="Y23" s="119"/>
      <c r="Z23" s="34">
        <v>20</v>
      </c>
      <c r="AA23" s="44" t="s">
        <v>397</v>
      </c>
      <c r="AB23" s="42"/>
      <c r="AC23" s="42"/>
      <c r="AD23" s="42"/>
      <c r="AE23" s="41"/>
      <c r="AF23" s="42"/>
      <c r="AG23" s="42"/>
      <c r="AH23" s="41"/>
      <c r="AI23" s="42"/>
      <c r="AJ23" s="42"/>
      <c r="AK23" s="42"/>
      <c r="AL23" s="42"/>
      <c r="AM23" s="42"/>
      <c r="AN23" s="42"/>
      <c r="AO23" s="42"/>
      <c r="AP23" s="41" t="s">
        <v>397</v>
      </c>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1</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1</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3.4554973821989527</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3.4554973821989527</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t="s">
        <v>397</v>
      </c>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1</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t="s">
        <v>397</v>
      </c>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1</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18</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28</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t="s">
        <v>397</v>
      </c>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1</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10</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t="s">
        <v>397</v>
      </c>
      <c r="AF30" s="41"/>
      <c r="AG30" s="42"/>
      <c r="AH30" s="42"/>
      <c r="AI30" s="42"/>
      <c r="AJ30" s="41" t="s">
        <v>397</v>
      </c>
      <c r="AK30" s="42"/>
      <c r="AL30" s="42"/>
      <c r="AM30" s="42"/>
      <c r="AN30" s="42"/>
      <c r="AO30" s="42"/>
      <c r="AP30" s="41" t="s">
        <v>397</v>
      </c>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1</v>
      </c>
      <c r="CF30" s="36">
        <f t="shared" si="6"/>
        <v>0</v>
      </c>
      <c r="CG30" s="36">
        <f t="shared" si="7"/>
        <v>0</v>
      </c>
      <c r="CH30" s="36">
        <f t="shared" si="8"/>
        <v>0</v>
      </c>
      <c r="CI30" s="36">
        <f t="shared" si="9"/>
        <v>0</v>
      </c>
      <c r="CJ30" s="36">
        <f t="shared" si="10"/>
        <v>1</v>
      </c>
      <c r="CK30" s="36">
        <f t="shared" si="11"/>
        <v>0</v>
      </c>
      <c r="CL30" s="36">
        <f t="shared" si="12"/>
        <v>0</v>
      </c>
      <c r="CM30" s="36">
        <f t="shared" si="13"/>
        <v>0</v>
      </c>
      <c r="CN30" s="36">
        <f t="shared" si="14"/>
        <v>0</v>
      </c>
      <c r="CO30" s="36">
        <f t="shared" si="15"/>
        <v>0</v>
      </c>
      <c r="CP30" s="36">
        <f t="shared" si="16"/>
        <v>1</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t="s">
        <v>397</v>
      </c>
      <c r="AD31" s="42"/>
      <c r="AE31" s="42"/>
      <c r="AF31" s="41"/>
      <c r="AG31" s="41"/>
      <c r="AH31" s="42"/>
      <c r="AI31" s="42"/>
      <c r="AJ31" s="41" t="s">
        <v>397</v>
      </c>
      <c r="AK31" s="42"/>
      <c r="AL31" s="42"/>
      <c r="AM31" s="42"/>
      <c r="AN31" s="42"/>
      <c r="AO31" s="42"/>
      <c r="AP31" s="42"/>
      <c r="AQ31" s="42"/>
      <c r="AR31" s="41"/>
      <c r="AS31" s="42"/>
      <c r="AT31" s="42"/>
      <c r="AU31" s="42"/>
      <c r="AV31" s="42"/>
      <c r="AW31" s="41" t="s">
        <v>397</v>
      </c>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1</v>
      </c>
      <c r="CD31" s="36">
        <f t="shared" si="4"/>
        <v>0</v>
      </c>
      <c r="CE31" s="36">
        <f t="shared" si="5"/>
        <v>0</v>
      </c>
      <c r="CF31" s="36">
        <f t="shared" si="6"/>
        <v>0</v>
      </c>
      <c r="CG31" s="36">
        <f t="shared" si="7"/>
        <v>0</v>
      </c>
      <c r="CH31" s="36">
        <f t="shared" si="8"/>
        <v>0</v>
      </c>
      <c r="CI31" s="36">
        <f t="shared" si="9"/>
        <v>0</v>
      </c>
      <c r="CJ31" s="36">
        <f t="shared" si="10"/>
        <v>1</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1</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t="s">
        <v>397</v>
      </c>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1</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t="s">
        <v>397</v>
      </c>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1</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t="s">
        <v>397</v>
      </c>
      <c r="AJ35" s="42"/>
      <c r="AK35" s="42"/>
      <c r="AL35" s="41"/>
      <c r="AM35" s="42"/>
      <c r="AN35" s="42"/>
      <c r="AO35" s="41"/>
      <c r="AP35" s="42"/>
      <c r="AQ35" s="42"/>
      <c r="AR35" s="42"/>
      <c r="AS35" s="41"/>
      <c r="AT35" s="42"/>
      <c r="AU35" s="41"/>
      <c r="AV35" s="41" t="s">
        <v>397</v>
      </c>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1</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1</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t="s">
        <v>397</v>
      </c>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1</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t="s">
        <v>397</v>
      </c>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1</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t="s">
        <v>397</v>
      </c>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1</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t="s">
        <v>397</v>
      </c>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1</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t="s">
        <v>397</v>
      </c>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1</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t="s">
        <v>397</v>
      </c>
      <c r="AQ43" s="59"/>
      <c r="AR43" s="59"/>
      <c r="AS43" s="59"/>
      <c r="AT43" s="60" t="s">
        <v>397</v>
      </c>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1</v>
      </c>
      <c r="CQ43" s="36">
        <f t="shared" si="17"/>
        <v>0</v>
      </c>
      <c r="CR43" s="36">
        <f t="shared" si="18"/>
        <v>0</v>
      </c>
      <c r="CS43" s="36">
        <f t="shared" si="19"/>
        <v>0</v>
      </c>
      <c r="CT43" s="36">
        <f t="shared" si="20"/>
        <v>1</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4C2E0-2192-425E-BC16-3A22BF864F02}">
  <dimension ref="A1:Y39"/>
  <sheetViews>
    <sheetView tabSelected="1" zoomScale="43" workbookViewId="0">
      <selection sqref="A1:Y3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t="str">
        <f>T2B!AR11</f>
        <v>a</v>
      </c>
      <c r="S7">
        <f>T2B!AS11</f>
        <v>0</v>
      </c>
      <c r="T7">
        <f>T2B!AT11</f>
        <v>0</v>
      </c>
      <c r="U7">
        <f>T2B!AU11</f>
        <v>0</v>
      </c>
      <c r="V7">
        <f>T2B!AV11</f>
        <v>0</v>
      </c>
      <c r="W7" t="str">
        <f>T2B!AW11</f>
        <v>a</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t="str">
        <f>T2B!AO16</f>
        <v>a</v>
      </c>
      <c r="P12">
        <f>T2B!AP16</f>
        <v>0</v>
      </c>
      <c r="Q12" t="str">
        <f>T2B!AQ16</f>
        <v>a</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t="str">
        <f>T2B!AI17</f>
        <v>a</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t="str">
        <f>T2B!AW17</f>
        <v>a</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t="str">
        <f>T2B!AL18</f>
        <v>a</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t="str">
        <f>T2B!AF20</f>
        <v>a</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t="str">
        <f>T2B!AQ21</f>
        <v>a</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t="str">
        <f>T2B!AV22</f>
        <v>a</v>
      </c>
      <c r="W18" t="str">
        <f>T2B!AW22</f>
        <v>a</v>
      </c>
      <c r="X18">
        <f>T2B!AX22</f>
        <v>0</v>
      </c>
      <c r="Y18">
        <f>T2B!AY22</f>
        <v>0</v>
      </c>
    </row>
    <row r="19" spans="1:25" x14ac:dyDescent="0.25">
      <c r="A19" t="str">
        <f>T2B!AA23</f>
        <v>a</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t="str">
        <f>T2B!AP23</f>
        <v>a</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t="str">
        <f>T2B!AO26</f>
        <v>a</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t="str">
        <f>T2B!AT27</f>
        <v>a</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t="str">
        <f>T2B!AD29</f>
        <v>a</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t="str">
        <f>T2B!AE30</f>
        <v>a</v>
      </c>
      <c r="F26">
        <f>T2B!AF30</f>
        <v>0</v>
      </c>
      <c r="G26">
        <f>T2B!AG30</f>
        <v>0</v>
      </c>
      <c r="H26">
        <f>T2B!AH30</f>
        <v>0</v>
      </c>
      <c r="I26">
        <f>T2B!AI30</f>
        <v>0</v>
      </c>
      <c r="J26" t="str">
        <f>T2B!AJ30</f>
        <v>a</v>
      </c>
      <c r="K26">
        <f>T2B!AK30</f>
        <v>0</v>
      </c>
      <c r="L26">
        <f>T2B!AL30</f>
        <v>0</v>
      </c>
      <c r="M26">
        <f>T2B!AM30</f>
        <v>0</v>
      </c>
      <c r="N26">
        <f>T2B!AN30</f>
        <v>0</v>
      </c>
      <c r="O26">
        <f>T2B!AO30</f>
        <v>0</v>
      </c>
      <c r="P26" t="str">
        <f>T2B!AP30</f>
        <v>a</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t="str">
        <f>T2B!AC31</f>
        <v>a</v>
      </c>
      <c r="D27">
        <f>T2B!AD31</f>
        <v>0</v>
      </c>
      <c r="E27">
        <f>T2B!AE31</f>
        <v>0</v>
      </c>
      <c r="F27">
        <f>T2B!AF31</f>
        <v>0</v>
      </c>
      <c r="G27">
        <f>T2B!AG31</f>
        <v>0</v>
      </c>
      <c r="H27">
        <f>T2B!AH31</f>
        <v>0</v>
      </c>
      <c r="I27">
        <f>T2B!AI31</f>
        <v>0</v>
      </c>
      <c r="J27" t="str">
        <f>T2B!AJ31</f>
        <v>a</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t="str">
        <f>T2B!AW31</f>
        <v>a</v>
      </c>
      <c r="X27">
        <f>T2B!AX31</f>
        <v>0</v>
      </c>
      <c r="Y27">
        <f>T2B!AY31</f>
        <v>0</v>
      </c>
    </row>
    <row r="28" spans="1:25" x14ac:dyDescent="0.25">
      <c r="A28">
        <f>T2B!AA32</f>
        <v>0</v>
      </c>
      <c r="B28">
        <f>T2B!AB32</f>
        <v>0</v>
      </c>
      <c r="C28">
        <f>T2B!AC32</f>
        <v>0</v>
      </c>
      <c r="D28">
        <f>T2B!AD32</f>
        <v>0</v>
      </c>
      <c r="E28">
        <f>T2B!AE32</f>
        <v>0</v>
      </c>
      <c r="F28">
        <f>T2B!AF32</f>
        <v>0</v>
      </c>
      <c r="G28">
        <f>T2B!AG32</f>
        <v>0</v>
      </c>
      <c r="H28" t="str">
        <f>T2B!AH32</f>
        <v>a</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t="str">
        <f>T2B!AO33</f>
        <v>a</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t="str">
        <f>T2B!AI35</f>
        <v>a</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t="str">
        <f>T2B!AV35</f>
        <v>a</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t="str">
        <f>T2B!AR36</f>
        <v>a</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t="str">
        <f>T2B!AI37</f>
        <v>a</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t="str">
        <f>T2B!AV39</f>
        <v>a</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t="str">
        <f>T2B!AM40</f>
        <v>a</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t="str">
        <f>T2B!AE42</f>
        <v>a</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t="str">
        <f>T2B!AP43</f>
        <v>a</v>
      </c>
      <c r="Q39">
        <f>T2B!AQ43</f>
        <v>0</v>
      </c>
      <c r="R39">
        <f>T2B!AR43</f>
        <v>0</v>
      </c>
      <c r="S39">
        <f>T2B!AS43</f>
        <v>0</v>
      </c>
      <c r="T39" t="str">
        <f>T2B!AT43</f>
        <v>a</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2023-04-05T10:43:21Z</dcterms:modified>
</cp:coreProperties>
</file>