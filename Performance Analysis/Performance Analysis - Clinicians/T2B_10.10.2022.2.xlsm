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performance analysis - script/"/>
    </mc:Choice>
  </mc:AlternateContent>
  <xr:revisionPtr revIDLastSave="8" documentId="8_{632B9943-BC3C-461F-8FE0-C39551DBA163}" xr6:coauthVersionLast="47" xr6:coauthVersionMax="47" xr10:uidLastSave="{B2A0859E-6262-4DC5-9A1C-EC1BAC98F32C}"/>
  <bookViews>
    <workbookView xWindow="-108" yWindow="-108" windowWidth="23256" windowHeight="13176" activeTab="1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CZ12" i="1"/>
  <c r="CZ7" i="1"/>
  <c r="DZ7" i="1"/>
  <c r="J10" i="1"/>
  <c r="DZ6" i="1"/>
  <c r="J6" i="1"/>
  <c r="DZ11" i="1"/>
  <c r="J9" i="1"/>
  <c r="CZ13" i="1"/>
  <c r="DZ5" i="1"/>
  <c r="J14" i="1"/>
  <c r="CZ5" i="1"/>
  <c r="DZ8" i="1"/>
  <c r="CZ9" i="1"/>
  <c r="CZ8" i="1"/>
  <c r="J13" i="1"/>
  <c r="CZ11" i="1"/>
  <c r="DZ9" i="1"/>
  <c r="CZ10" i="1"/>
  <c r="J5" i="1"/>
  <c r="CZ6" i="1"/>
  <c r="J11" i="1"/>
  <c r="DZ12" i="1"/>
  <c r="J12" i="1"/>
  <c r="DZ13" i="1"/>
  <c r="CZ14" i="1"/>
  <c r="DZ10" i="1"/>
  <c r="DZ14" i="1"/>
  <c r="J7" i="1"/>
  <c r="J8" i="1"/>
  <c r="H6" i="1" l="1"/>
  <c r="E6" i="1" s="1"/>
  <c r="H10" i="1"/>
  <c r="E10" i="1" s="1"/>
  <c r="H14" i="1"/>
  <c r="E14" i="1" s="1"/>
  <c r="H13" i="1"/>
  <c r="E13" i="1" s="1"/>
  <c r="H7" i="1"/>
  <c r="E7" i="1" s="1"/>
  <c r="H11" i="1"/>
  <c r="E11" i="1" s="1"/>
  <c r="H9" i="1"/>
  <c r="E9" i="1" s="1"/>
  <c r="H8" i="1"/>
  <c r="E8" i="1" s="1"/>
  <c r="H12" i="1"/>
  <c r="E12" i="1" s="1"/>
  <c r="H5" i="1"/>
  <c r="N5" i="1" s="1"/>
  <c r="N6" i="1" l="1"/>
  <c r="N7" i="1" s="1"/>
  <c r="N8" i="1" s="1"/>
  <c r="N9" i="1" s="1"/>
  <c r="N10" i="1" s="1"/>
  <c r="N11" i="1" s="1"/>
  <c r="N12" i="1" s="1"/>
  <c r="N13" i="1" s="1"/>
  <c r="N14" i="1" s="1"/>
  <c r="E26" i="1" s="1"/>
  <c r="G12" i="1"/>
  <c r="G11" i="1"/>
  <c r="F11" i="1" s="1"/>
  <c r="G10" i="1"/>
  <c r="G13" i="1"/>
  <c r="F13" i="1" s="1"/>
  <c r="E5" i="1"/>
  <c r="G14" i="1"/>
  <c r="G6" i="1"/>
  <c r="F6" i="1" s="1"/>
  <c r="G9" i="1"/>
  <c r="G7" i="1"/>
  <c r="F7" i="1" s="1"/>
  <c r="G8" i="1"/>
  <c r="K5" i="1" l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G5" i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E25" i="1" s="1"/>
  <c r="F8" i="1"/>
  <c r="F10" i="1"/>
  <c r="F9" i="1"/>
  <c r="F14" i="1"/>
  <c r="F12" i="1"/>
  <c r="F5" i="1" l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E28" i="1"/>
  <c r="E29" i="1"/>
  <c r="E30" i="1" l="1"/>
  <c r="E24" i="1"/>
  <c r="E22" i="1"/>
</calcChain>
</file>

<file path=xl/sharedStrings.xml><?xml version="1.0" encoding="utf-8"?>
<sst xmlns="http://schemas.openxmlformats.org/spreadsheetml/2006/main" count="65" uniqueCount="41">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</sst>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796540" y="453390"/>
          <a:ext cx="1954530" cy="310515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Meister%20Kevin%20Roland%20(92,%20NP%20IQ,%20sb)/Meister%20Kevin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44844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opLeftCell="G2" workbookViewId="0">
      <selection activeCell="AA5" sqref="AA5:AY43"/>
    </sheetView>
  </sheetViews>
  <sheetFormatPr baseColWidth="10" defaultColWidth="12.6640625" defaultRowHeight="13.2" customHeight="1" x14ac:dyDescent="0.25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2" customHeight="1" x14ac:dyDescent="0.25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00000000000003" customHeight="1" x14ac:dyDescent="0.25">
      <c r="A2" s="4"/>
      <c r="B2" s="64" t="s">
        <v>0</v>
      </c>
      <c r="C2" s="65"/>
      <c r="D2" s="65"/>
      <c r="E2" s="65"/>
      <c r="F2" s="66"/>
      <c r="G2" s="8"/>
      <c r="H2" s="8"/>
      <c r="I2" s="8"/>
      <c r="J2" s="8"/>
      <c r="K2" s="8"/>
      <c r="L2" s="67" t="s">
        <v>1</v>
      </c>
      <c r="M2" s="67"/>
      <c r="N2" s="67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95" customHeight="1" x14ac:dyDescent="0.25">
      <c r="A3" s="10"/>
      <c r="B3" s="68" t="s">
        <v>4</v>
      </c>
      <c r="C3" s="69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4</v>
      </c>
      <c r="C5" s="27">
        <v>12</v>
      </c>
      <c r="D5" s="28"/>
      <c r="E5" s="29">
        <f ca="1">IF(C5="","",J5-H5)</f>
        <v>17</v>
      </c>
      <c r="F5" s="29">
        <f t="shared" ref="F5:F14" ca="1" si="0">IF(E5="","",G5+H5)</f>
        <v>1</v>
      </c>
      <c r="G5" s="30">
        <f ca="1">IF(E5="","",DZ5)</f>
        <v>0</v>
      </c>
      <c r="H5" s="31">
        <f ca="1">IF(C5="","",CZ5)</f>
        <v>1</v>
      </c>
      <c r="I5" s="29"/>
      <c r="J5" s="29">
        <f ca="1">IF(AND($B5&gt;=1,$B5&lt;=40,$C5&gt;=1,$C5&lt;=25),IF($B5&gt;1,SUM(INDIRECT("BA4:BY"&amp;($B5+2))),0)+SUM(INDIRECT("BA"&amp;($B5+3)&amp;":B"&amp;CHAR(64+$C5)&amp;($B5+3))),0)</f>
        <v>18</v>
      </c>
      <c r="K5" s="29">
        <f ca="1">$E5</f>
        <v>17</v>
      </c>
      <c r="L5" s="29">
        <f ca="1">$F5</f>
        <v>1</v>
      </c>
      <c r="M5" s="29">
        <f ca="1">$G5</f>
        <v>0</v>
      </c>
      <c r="N5" s="29">
        <f ca="1">$H5</f>
        <v>1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/>
      <c r="AD5" s="34"/>
      <c r="AE5" s="34"/>
      <c r="AF5" s="33"/>
      <c r="AG5" s="34"/>
      <c r="AH5" s="34"/>
      <c r="AI5" s="34"/>
      <c r="AJ5" s="33"/>
      <c r="AK5" s="34"/>
      <c r="AL5" s="34"/>
      <c r="AM5" s="33" t="s">
        <v>3</v>
      </c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0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1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1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6</v>
      </c>
      <c r="C6" s="27">
        <v>25</v>
      </c>
      <c r="D6" s="28"/>
      <c r="E6" s="28">
        <f t="shared" ref="E6:E14" ca="1" si="7">IF(J6=J5,"",(J6-J5)-H6)</f>
        <v>13</v>
      </c>
      <c r="F6" s="28">
        <f t="shared" ca="1" si="0"/>
        <v>5</v>
      </c>
      <c r="G6" s="36">
        <f t="shared" ref="G6:G14" ca="1" si="8">IF(E6="","",DZ6-DZ5)</f>
        <v>0</v>
      </c>
      <c r="H6" s="37">
        <f t="shared" ref="H6:H14" ca="1" si="9">IF(C6="","",CZ6-CZ5)</f>
        <v>5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36</v>
      </c>
      <c r="K6" s="28">
        <f t="shared" ref="K6:K14" ca="1" si="11">IF(E6="",K5,K5+$E6)</f>
        <v>30</v>
      </c>
      <c r="L6" s="28">
        <f t="shared" ref="L6:L14" ca="1" si="12">IF(F6="",L5,L5+$F6)</f>
        <v>6</v>
      </c>
      <c r="M6" s="28">
        <f t="shared" ref="M6:M14" ca="1" si="13">IF(G6="",M5,M5+$G6)</f>
        <v>0</v>
      </c>
      <c r="N6" s="28">
        <f t="shared" ref="N6:N14" ca="1" si="14">IF(H6="",N5,N5+$H6)</f>
        <v>6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6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9</v>
      </c>
      <c r="C7" s="27">
        <v>17</v>
      </c>
      <c r="D7" s="28"/>
      <c r="E7" s="28">
        <f t="shared" ca="1" si="7"/>
        <v>11</v>
      </c>
      <c r="F7" s="28">
        <f t="shared" ca="1" si="0"/>
        <v>4</v>
      </c>
      <c r="G7" s="36">
        <f t="shared" ca="1" si="8"/>
        <v>0</v>
      </c>
      <c r="H7" s="37">
        <f t="shared" ca="1" si="9"/>
        <v>4</v>
      </c>
      <c r="I7" s="28"/>
      <c r="J7" s="28">
        <f t="shared" ca="1" si="10"/>
        <v>51</v>
      </c>
      <c r="K7" s="28">
        <f t="shared" ca="1" si="11"/>
        <v>41</v>
      </c>
      <c r="L7" s="28">
        <f t="shared" ca="1" si="12"/>
        <v>10</v>
      </c>
      <c r="M7" s="28">
        <f t="shared" ca="1" si="13"/>
        <v>0</v>
      </c>
      <c r="N7" s="28">
        <f t="shared" ca="1" si="14"/>
        <v>10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/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 t="s">
        <v>3</v>
      </c>
      <c r="AV7" s="34"/>
      <c r="AW7" s="34"/>
      <c r="AX7" s="33"/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0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1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0</v>
      </c>
      <c r="CZ7" s="25">
        <f t="shared" ca="1" si="3"/>
        <v>10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12</v>
      </c>
      <c r="C8" s="27">
        <v>16</v>
      </c>
      <c r="D8" s="28"/>
      <c r="E8" s="28">
        <f t="shared" ca="1" si="7"/>
        <v>16</v>
      </c>
      <c r="F8" s="28">
        <f t="shared" ca="1" si="0"/>
        <v>1</v>
      </c>
      <c r="G8" s="36">
        <f t="shared" ca="1" si="8"/>
        <v>0</v>
      </c>
      <c r="H8" s="37">
        <f t="shared" ca="1" si="9"/>
        <v>1</v>
      </c>
      <c r="I8" s="28"/>
      <c r="J8" s="28">
        <f t="shared" ca="1" si="10"/>
        <v>68</v>
      </c>
      <c r="K8" s="28">
        <f t="shared" ca="1" si="11"/>
        <v>57</v>
      </c>
      <c r="L8" s="28">
        <f t="shared" ca="1" si="12"/>
        <v>11</v>
      </c>
      <c r="M8" s="28">
        <f t="shared" ca="1" si="13"/>
        <v>0</v>
      </c>
      <c r="N8" s="28">
        <f t="shared" ca="1" si="14"/>
        <v>11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/>
      <c r="AC8" s="34"/>
      <c r="AD8" s="34"/>
      <c r="AE8" s="34"/>
      <c r="AF8" s="34"/>
      <c r="AG8" s="34"/>
      <c r="AH8" s="34"/>
      <c r="AI8" s="33"/>
      <c r="AJ8" s="34"/>
      <c r="AK8" s="34"/>
      <c r="AL8" s="33"/>
      <c r="AM8" s="34"/>
      <c r="AN8" s="34"/>
      <c r="AO8" s="34"/>
      <c r="AP8" s="33"/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0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0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0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11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15</v>
      </c>
      <c r="C9" s="27">
        <v>12</v>
      </c>
      <c r="D9" s="28"/>
      <c r="E9" s="28">
        <f t="shared" ca="1" si="7"/>
        <v>14</v>
      </c>
      <c r="F9" s="28">
        <f t="shared" ca="1" si="0"/>
        <v>2</v>
      </c>
      <c r="G9" s="36">
        <f t="shared" ca="1" si="8"/>
        <v>0</v>
      </c>
      <c r="H9" s="37">
        <f t="shared" ca="1" si="9"/>
        <v>2</v>
      </c>
      <c r="I9" s="28"/>
      <c r="J9" s="28">
        <f t="shared" ca="1" si="10"/>
        <v>84</v>
      </c>
      <c r="K9" s="28">
        <f t="shared" ca="1" si="11"/>
        <v>71</v>
      </c>
      <c r="L9" s="28">
        <f t="shared" ca="1" si="12"/>
        <v>13</v>
      </c>
      <c r="M9" s="28">
        <f t="shared" ca="1" si="13"/>
        <v>0</v>
      </c>
      <c r="N9" s="28">
        <f t="shared" ca="1" si="14"/>
        <v>13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 t="s">
        <v>3</v>
      </c>
      <c r="AB9" s="34"/>
      <c r="AC9" s="34"/>
      <c r="AD9" s="34"/>
      <c r="AE9" s="33" t="s">
        <v>3</v>
      </c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 t="s">
        <v>3</v>
      </c>
      <c r="AU9" s="33" t="s">
        <v>3</v>
      </c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1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1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1</v>
      </c>
      <c r="CU9" s="25">
        <f t="shared" si="2"/>
        <v>1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13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18</v>
      </c>
      <c r="C10" s="27">
        <v>4</v>
      </c>
      <c r="D10" s="28"/>
      <c r="E10" s="28">
        <f t="shared" ca="1" si="7"/>
        <v>10</v>
      </c>
      <c r="F10" s="28">
        <f t="shared" ca="1" si="0"/>
        <v>3</v>
      </c>
      <c r="G10" s="36">
        <f t="shared" ca="1" si="8"/>
        <v>0</v>
      </c>
      <c r="H10" s="37">
        <f t="shared" ca="1" si="9"/>
        <v>3</v>
      </c>
      <c r="I10" s="28"/>
      <c r="J10" s="28">
        <f t="shared" ca="1" si="10"/>
        <v>97</v>
      </c>
      <c r="K10" s="28">
        <f t="shared" ca="1" si="11"/>
        <v>81</v>
      </c>
      <c r="L10" s="28">
        <f t="shared" ca="1" si="12"/>
        <v>16</v>
      </c>
      <c r="M10" s="28">
        <f t="shared" ca="1" si="13"/>
        <v>0</v>
      </c>
      <c r="N10" s="28">
        <f t="shared" ca="1" si="14"/>
        <v>16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 t="s">
        <v>3</v>
      </c>
      <c r="AJ10" s="34"/>
      <c r="AK10" s="34"/>
      <c r="AL10" s="33"/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1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16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20</v>
      </c>
      <c r="C11" s="27">
        <v>14</v>
      </c>
      <c r="D11" s="28"/>
      <c r="E11" s="28">
        <f t="shared" ca="1" si="7"/>
        <v>13</v>
      </c>
      <c r="F11" s="28">
        <f t="shared" ca="1" si="0"/>
        <v>1</v>
      </c>
      <c r="G11" s="36">
        <f t="shared" ca="1" si="8"/>
        <v>0</v>
      </c>
      <c r="H11" s="37">
        <f t="shared" ca="1" si="9"/>
        <v>1</v>
      </c>
      <c r="I11" s="28"/>
      <c r="J11" s="28">
        <f t="shared" ca="1" si="10"/>
        <v>111</v>
      </c>
      <c r="K11" s="28">
        <f t="shared" ca="1" si="11"/>
        <v>94</v>
      </c>
      <c r="L11" s="28">
        <f t="shared" ca="1" si="12"/>
        <v>17</v>
      </c>
      <c r="M11" s="28">
        <f t="shared" ca="1" si="13"/>
        <v>0</v>
      </c>
      <c r="N11" s="28">
        <f t="shared" ca="1" si="14"/>
        <v>17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 t="s">
        <v>3</v>
      </c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 t="s">
        <v>3</v>
      </c>
      <c r="AP11" s="34"/>
      <c r="AQ11" s="34"/>
      <c r="AR11" s="33" t="s">
        <v>3</v>
      </c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1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1</v>
      </c>
      <c r="CP11" s="25">
        <f t="shared" si="1"/>
        <v>0</v>
      </c>
      <c r="CQ11" s="25">
        <f t="shared" si="2"/>
        <v>0</v>
      </c>
      <c r="CR11" s="25">
        <f t="shared" si="2"/>
        <v>1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17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0</v>
      </c>
    </row>
    <row r="12" spans="1:130" x14ac:dyDescent="0.25">
      <c r="A12" s="16">
        <v>8</v>
      </c>
      <c r="B12" s="26">
        <v>23</v>
      </c>
      <c r="C12" s="27">
        <v>5</v>
      </c>
      <c r="D12" s="28"/>
      <c r="E12" s="28">
        <f t="shared" ca="1" si="7"/>
        <v>18</v>
      </c>
      <c r="F12" s="28">
        <f t="shared" ca="1" si="0"/>
        <v>1</v>
      </c>
      <c r="G12" s="36">
        <f t="shared" ca="1" si="8"/>
        <v>0</v>
      </c>
      <c r="H12" s="37">
        <f t="shared" ca="1" si="9"/>
        <v>1</v>
      </c>
      <c r="I12" s="28"/>
      <c r="J12" s="28">
        <f t="shared" ca="1" si="10"/>
        <v>130</v>
      </c>
      <c r="K12" s="28">
        <f t="shared" ca="1" si="11"/>
        <v>112</v>
      </c>
      <c r="L12" s="28">
        <f t="shared" ca="1" si="12"/>
        <v>18</v>
      </c>
      <c r="M12" s="28">
        <f t="shared" ca="1" si="13"/>
        <v>0</v>
      </c>
      <c r="N12" s="28">
        <f t="shared" ca="1" si="14"/>
        <v>18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18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0</v>
      </c>
    </row>
    <row r="13" spans="1:130" x14ac:dyDescent="0.25">
      <c r="A13" s="16">
        <v>9</v>
      </c>
      <c r="B13" s="26">
        <v>25</v>
      </c>
      <c r="C13" s="27">
        <v>23</v>
      </c>
      <c r="D13" s="28"/>
      <c r="E13" s="28">
        <f t="shared" ca="1" si="7"/>
        <v>12</v>
      </c>
      <c r="F13" s="28">
        <f t="shared" ca="1" si="0"/>
        <v>4</v>
      </c>
      <c r="G13" s="36">
        <f t="shared" ca="1" si="8"/>
        <v>0</v>
      </c>
      <c r="H13" s="37">
        <f t="shared" ca="1" si="9"/>
        <v>4</v>
      </c>
      <c r="I13" s="28"/>
      <c r="J13" s="28">
        <f t="shared" ca="1" si="10"/>
        <v>146</v>
      </c>
      <c r="K13" s="28">
        <f t="shared" ca="1" si="11"/>
        <v>124</v>
      </c>
      <c r="L13" s="28">
        <f t="shared" ca="1" si="12"/>
        <v>22</v>
      </c>
      <c r="M13" s="28">
        <f t="shared" ca="1" si="13"/>
        <v>0</v>
      </c>
      <c r="N13" s="28">
        <f t="shared" ca="1" si="14"/>
        <v>22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 t="s">
        <v>3</v>
      </c>
      <c r="AE13" s="34"/>
      <c r="AF13" s="34"/>
      <c r="AG13" s="34"/>
      <c r="AH13" s="34"/>
      <c r="AI13" s="33"/>
      <c r="AJ13" s="33"/>
      <c r="AK13" s="34"/>
      <c r="AL13" s="34"/>
      <c r="AM13" s="34"/>
      <c r="AN13" s="33"/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1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0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>
        <f t="shared" ca="1" si="3"/>
        <v>22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>
        <f t="shared" ca="1" si="6"/>
        <v>0</v>
      </c>
    </row>
    <row r="14" spans="1:130" x14ac:dyDescent="0.25">
      <c r="A14" s="16">
        <v>10</v>
      </c>
      <c r="B14" s="26">
        <v>28</v>
      </c>
      <c r="C14" s="27">
        <v>7</v>
      </c>
      <c r="D14" s="40"/>
      <c r="E14" s="41">
        <f t="shared" ca="1" si="7"/>
        <v>17</v>
      </c>
      <c r="F14" s="41">
        <f t="shared" ca="1" si="0"/>
        <v>2</v>
      </c>
      <c r="G14" s="42">
        <f t="shared" ca="1" si="8"/>
        <v>0</v>
      </c>
      <c r="H14" s="43">
        <f t="shared" ca="1" si="9"/>
        <v>2</v>
      </c>
      <c r="I14" s="41"/>
      <c r="J14" s="43">
        <f t="shared" ca="1" si="10"/>
        <v>165</v>
      </c>
      <c r="K14" s="44">
        <f t="shared" ca="1" si="11"/>
        <v>141</v>
      </c>
      <c r="L14" s="44">
        <f t="shared" ca="1" si="12"/>
        <v>24</v>
      </c>
      <c r="M14" s="44">
        <f t="shared" ca="1" si="13"/>
        <v>0</v>
      </c>
      <c r="N14" s="44">
        <f t="shared" ca="1" si="14"/>
        <v>24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0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>
        <f t="shared" ca="1" si="3"/>
        <v>24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>
        <f t="shared" ca="1" si="6"/>
        <v>0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/>
      <c r="AS15" s="33"/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0</v>
      </c>
      <c r="CS15" s="25">
        <f t="shared" si="2"/>
        <v>0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/>
      <c r="AD16" s="34"/>
      <c r="AE16" s="34"/>
      <c r="AF16" s="33"/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 t="s">
        <v>3</v>
      </c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0</v>
      </c>
      <c r="CD16" s="25">
        <f t="shared" si="1"/>
        <v>0</v>
      </c>
      <c r="CE16" s="25">
        <f t="shared" si="1"/>
        <v>0</v>
      </c>
      <c r="CF16" s="25">
        <f t="shared" si="1"/>
        <v>0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1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10</v>
      </c>
      <c r="F17" s="50">
        <v>0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/>
      <c r="AN17" s="34"/>
      <c r="AO17" s="34"/>
      <c r="AP17" s="34"/>
      <c r="AQ17" s="33"/>
      <c r="AR17" s="34"/>
      <c r="AS17" s="34"/>
      <c r="AT17" s="34"/>
      <c r="AU17" s="33"/>
      <c r="AV17" s="34"/>
      <c r="AW17" s="33" t="s">
        <v>3</v>
      </c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0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1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0" t="str">
        <f>IF([1]Ergebnisse!C2="","",[1]Ergebnisse!C2)</f>
        <v>A</v>
      </c>
      <c r="F18" s="71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 t="s">
        <v>3</v>
      </c>
      <c r="AY18" s="39" t="s">
        <v>3</v>
      </c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1</v>
      </c>
      <c r="CY18" s="25">
        <f t="shared" si="2"/>
        <v>1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2">
        <f>IF([1]Ergebnisse!C8="","",[1]Ergebnisse!C8)</f>
        <v>44844</v>
      </c>
      <c r="F19" s="73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/>
      <c r="AG20" s="34"/>
      <c r="AH20" s="34"/>
      <c r="AI20" s="34"/>
      <c r="AJ20" s="33" t="s">
        <v>3</v>
      </c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0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1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10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/>
      <c r="AO21" s="34"/>
      <c r="AP21" s="34"/>
      <c r="AQ21" s="33" t="s">
        <v>3</v>
      </c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1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14.545454545454545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14.1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/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/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0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0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2.4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 t="s">
        <v>3</v>
      </c>
      <c r="AO24" s="34"/>
      <c r="AP24" s="34"/>
      <c r="AQ24" s="33"/>
      <c r="AR24" s="33"/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1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/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/>
      <c r="AS25" s="34"/>
      <c r="AT25" s="34"/>
      <c r="AU25" s="33"/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0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0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2.4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/>
      <c r="AP26" s="34"/>
      <c r="AQ26" s="33"/>
      <c r="AR26" s="34"/>
      <c r="AS26" s="34"/>
      <c r="AT26" s="34"/>
      <c r="AU26" s="33"/>
      <c r="AV26" s="34"/>
      <c r="AW26" s="34"/>
      <c r="AX26" s="33"/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0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0</v>
      </c>
      <c r="CV26" s="25">
        <f t="shared" si="2"/>
        <v>0</v>
      </c>
      <c r="CW26" s="25">
        <f t="shared" si="2"/>
        <v>0</v>
      </c>
      <c r="CX26" s="25">
        <f t="shared" si="2"/>
        <v>0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 t="s">
        <v>3</v>
      </c>
      <c r="AQ27" s="34"/>
      <c r="AR27" s="34"/>
      <c r="AS27" s="34"/>
      <c r="AT27" s="33" t="s">
        <v>3</v>
      </c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1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1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10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 t="s">
        <v>3</v>
      </c>
      <c r="AC28" s="34"/>
      <c r="AD28" s="34"/>
      <c r="AE28" s="34"/>
      <c r="AF28" s="34"/>
      <c r="AG28" s="34"/>
      <c r="AH28" s="33"/>
      <c r="AI28" s="34"/>
      <c r="AJ28" s="34"/>
      <c r="AK28" s="34"/>
      <c r="AL28" s="33" t="s">
        <v>3</v>
      </c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1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1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18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/>
      <c r="AL29" s="34"/>
      <c r="AM29" s="34"/>
      <c r="AN29" s="34"/>
      <c r="AO29" s="33"/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0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0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8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 t="s">
        <v>3</v>
      </c>
      <c r="AB30" s="34"/>
      <c r="AC30" s="34"/>
      <c r="AD30" s="34"/>
      <c r="AE30" s="33"/>
      <c r="AF30" s="33"/>
      <c r="AG30" s="34"/>
      <c r="AH30" s="34"/>
      <c r="AI30" s="34"/>
      <c r="AJ30" s="33"/>
      <c r="AK30" s="34"/>
      <c r="AL30" s="34"/>
      <c r="AM30" s="34"/>
      <c r="AN30" s="34"/>
      <c r="AO30" s="34"/>
      <c r="AP30" s="33"/>
      <c r="AQ30" s="34"/>
      <c r="AR30" s="34"/>
      <c r="AS30" s="34"/>
      <c r="AT30" s="33" t="s">
        <v>3</v>
      </c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1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0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0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1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/>
      <c r="AH31" s="34"/>
      <c r="AI31" s="34"/>
      <c r="AJ31" s="33"/>
      <c r="AK31" s="34"/>
      <c r="AL31" s="34"/>
      <c r="AM31" s="34"/>
      <c r="AN31" s="34"/>
      <c r="AO31" s="34"/>
      <c r="AP31" s="34"/>
      <c r="AQ31" s="34"/>
      <c r="AR31" s="33"/>
      <c r="AS31" s="34"/>
      <c r="AT31" s="34"/>
      <c r="AU31" s="34"/>
      <c r="AV31" s="34"/>
      <c r="AW31" s="33"/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0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0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0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2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2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/>
      <c r="AB33" s="34"/>
      <c r="AC33" s="34"/>
      <c r="AD33" s="34"/>
      <c r="AE33" s="33"/>
      <c r="AF33" s="34"/>
      <c r="AG33" s="34"/>
      <c r="AH33" s="33"/>
      <c r="AI33" s="34"/>
      <c r="AJ33" s="34"/>
      <c r="AK33" s="33"/>
      <c r="AL33" s="34"/>
      <c r="AM33" s="34"/>
      <c r="AN33" s="34"/>
      <c r="AO33" s="33"/>
      <c r="AP33" s="33"/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0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0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0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0</v>
      </c>
      <c r="CP33" s="25">
        <f t="shared" si="15"/>
        <v>0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2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/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0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2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0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/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0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2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2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/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0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2" customHeight="1" x14ac:dyDescent="0.25">
      <c r="A41" s="46"/>
      <c r="B41" s="74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/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0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2" customHeight="1" x14ac:dyDescent="0.25">
      <c r="A42" s="46"/>
      <c r="B42" s="74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2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42:X42"/>
    <mergeCell ref="B33:X33"/>
    <mergeCell ref="B34:X34"/>
    <mergeCell ref="B35:X35"/>
    <mergeCell ref="B37:X37"/>
    <mergeCell ref="B38:X38"/>
    <mergeCell ref="B41:X41"/>
    <mergeCell ref="B32:X32"/>
    <mergeCell ref="B2:F2"/>
    <mergeCell ref="L2:N2"/>
    <mergeCell ref="B3:C3"/>
    <mergeCell ref="E18:F18"/>
    <mergeCell ref="E19:F19"/>
  </mergeCells>
  <conditionalFormatting sqref="B5:B14">
    <cfRule type="cellIs" dxfId="7" priority="7" stopIfTrue="1" operator="between">
      <formula>0</formula>
      <formula>40</formula>
    </cfRule>
  </conditionalFormatting>
  <conditionalFormatting sqref="C5:C14">
    <cfRule type="cellIs" dxfId="6" priority="8" stopIfTrue="1" operator="between">
      <formula>0</formula>
      <formula>25</formula>
    </cfRule>
  </conditionalFormatting>
  <conditionalFormatting sqref="E17">
    <cfRule type="cellIs" dxfId="5" priority="1" stopIfTrue="1" operator="greaterThan">
      <formula>10</formula>
    </cfRule>
    <cfRule type="cellIs" dxfId="4" priority="2" stopIfTrue="1" operator="greaterThan">
      <formula>10</formula>
    </cfRule>
    <cfRule type="cellIs" dxfId="3" priority="6" stopIfTrue="1" operator="between">
      <formula>3</formula>
      <formula>10</formula>
    </cfRule>
  </conditionalFormatting>
  <conditionalFormatting sqref="E18:F18">
    <cfRule type="cellIs" dxfId="2" priority="3" stopIfTrue="1" operator="equal">
      <formula>"A"</formula>
    </cfRule>
    <cfRule type="cellIs" dxfId="1" priority="4" stopIfTrue="1" operator="equal">
      <formula>"B"</formula>
    </cfRule>
  </conditionalFormatting>
  <conditionalFormatting sqref="F17">
    <cfRule type="cellIs" dxfId="0" priority="5" stopIfTrue="1" operator="between">
      <formula>0</formula>
      <formula>59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1069-01C2-4571-A2C4-CD37281FBC8A}">
  <dimension ref="A1:Y39"/>
  <sheetViews>
    <sheetView tabSelected="1" zoomScale="50" workbookViewId="0">
      <selection activeCell="Y42" sqref="Y42"/>
    </sheetView>
  </sheetViews>
  <sheetFormatPr baseColWidth="10" defaultRowHeight="13.2" x14ac:dyDescent="0.25"/>
  <sheetData>
    <row r="1" spans="1:25" x14ac:dyDescent="0.25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 t="str">
        <f>T2B!AM5</f>
        <v>a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5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5">
      <c r="A3">
        <f>T2B!AA7</f>
        <v>0</v>
      </c>
      <c r="B3">
        <f>T2B!AB7</f>
        <v>0</v>
      </c>
      <c r="C3">
        <f>T2B!AC7</f>
        <v>0</v>
      </c>
      <c r="D3">
        <f>T2B!AD7</f>
        <v>0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 t="str">
        <f>T2B!AU7</f>
        <v>a</v>
      </c>
      <c r="V3">
        <f>T2B!AV7</f>
        <v>0</v>
      </c>
      <c r="W3">
        <f>T2B!AW7</f>
        <v>0</v>
      </c>
      <c r="X3">
        <f>T2B!AX7</f>
        <v>0</v>
      </c>
      <c r="Y3">
        <f>T2B!AY7</f>
        <v>0</v>
      </c>
    </row>
    <row r="4" spans="1:25" x14ac:dyDescent="0.25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>
        <f>T2B!AP8</f>
        <v>0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5">
      <c r="A5" t="str">
        <f>T2B!AA9</f>
        <v>a</v>
      </c>
      <c r="B5">
        <f>T2B!AB9</f>
        <v>0</v>
      </c>
      <c r="C5">
        <f>T2B!AC9</f>
        <v>0</v>
      </c>
      <c r="D5">
        <f>T2B!AD9</f>
        <v>0</v>
      </c>
      <c r="E5" t="str">
        <f>T2B!AE9</f>
        <v>a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 t="str">
        <f>T2B!AT9</f>
        <v>a</v>
      </c>
      <c r="U5" t="str">
        <f>T2B!AU9</f>
        <v>a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5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 t="str">
        <f>T2B!AI10</f>
        <v>a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5">
      <c r="A7">
        <f>T2B!AA11</f>
        <v>0</v>
      </c>
      <c r="B7">
        <f>T2B!AB11</f>
        <v>0</v>
      </c>
      <c r="C7" t="str">
        <f>T2B!AC11</f>
        <v>a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 t="str">
        <f>T2B!AO11</f>
        <v>a</v>
      </c>
      <c r="P7">
        <f>T2B!AP11</f>
        <v>0</v>
      </c>
      <c r="Q7">
        <f>T2B!AQ11</f>
        <v>0</v>
      </c>
      <c r="R7" t="str">
        <f>T2B!AR11</f>
        <v>a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5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5">
      <c r="A9">
        <f>T2B!AA13</f>
        <v>0</v>
      </c>
      <c r="B9">
        <f>T2B!AB13</f>
        <v>0</v>
      </c>
      <c r="C9">
        <f>T2B!AC13</f>
        <v>0</v>
      </c>
      <c r="D9" t="str">
        <f>T2B!AD13</f>
        <v>a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>
        <f>T2B!AN13</f>
        <v>0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5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5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>
        <f>T2B!AR15</f>
        <v>0</v>
      </c>
      <c r="S11">
        <f>T2B!AS15</f>
        <v>0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5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 t="str">
        <f>T2B!AW16</f>
        <v>a</v>
      </c>
      <c r="X12">
        <f>T2B!AX16</f>
        <v>0</v>
      </c>
      <c r="Y12">
        <f>T2B!AY16</f>
        <v>0</v>
      </c>
    </row>
    <row r="13" spans="1:25" x14ac:dyDescent="0.25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 t="str">
        <f>T2B!AW17</f>
        <v>a</v>
      </c>
      <c r="X13">
        <f>T2B!AX17</f>
        <v>0</v>
      </c>
      <c r="Y13">
        <f>T2B!AY17</f>
        <v>0</v>
      </c>
    </row>
    <row r="14" spans="1:25" x14ac:dyDescent="0.25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 t="str">
        <f>T2B!AX18</f>
        <v>a</v>
      </c>
      <c r="Y14" t="str">
        <f>T2B!AY18</f>
        <v>a</v>
      </c>
    </row>
    <row r="15" spans="1:25" x14ac:dyDescent="0.25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5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 t="str">
        <f>T2B!AJ20</f>
        <v>a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5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 t="str">
        <f>T2B!AQ21</f>
        <v>a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5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5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>
        <f>T2B!AE23</f>
        <v>0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>
        <f>T2B!AP23</f>
        <v>0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5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 t="str">
        <f>T2B!AN24</f>
        <v>a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5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5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>
        <f>T2B!AO26</f>
        <v>0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5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 t="str">
        <f>T2B!AP27</f>
        <v>a</v>
      </c>
      <c r="Q23">
        <f>T2B!AQ27</f>
        <v>0</v>
      </c>
      <c r="R23">
        <f>T2B!AR27</f>
        <v>0</v>
      </c>
      <c r="S23">
        <f>T2B!AS27</f>
        <v>0</v>
      </c>
      <c r="T23" t="str">
        <f>T2B!AT27</f>
        <v>a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5">
      <c r="A24">
        <f>T2B!AA28</f>
        <v>0</v>
      </c>
      <c r="B24" t="str">
        <f>T2B!AB28</f>
        <v>a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 t="str">
        <f>T2B!AL28</f>
        <v>a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5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>
        <f>T2B!AK29</f>
        <v>0</v>
      </c>
      <c r="L25">
        <f>T2B!AL29</f>
        <v>0</v>
      </c>
      <c r="M25">
        <f>T2B!AM29</f>
        <v>0</v>
      </c>
      <c r="N25">
        <f>T2B!AN29</f>
        <v>0</v>
      </c>
      <c r="O25">
        <f>T2B!AO29</f>
        <v>0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5">
      <c r="A26" t="str">
        <f>T2B!AA30</f>
        <v>a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>
        <f>T2B!AJ30</f>
        <v>0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 t="str">
        <f>T2B!AT30</f>
        <v>a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5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>
        <f>T2B!AW31</f>
        <v>0</v>
      </c>
      <c r="X27">
        <f>T2B!AX31</f>
        <v>0</v>
      </c>
      <c r="Y27">
        <f>T2B!AY31</f>
        <v>0</v>
      </c>
    </row>
    <row r="28" spans="1:25" x14ac:dyDescent="0.25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5">
      <c r="A29">
        <f>T2B!AA33</f>
        <v>0</v>
      </c>
      <c r="B29">
        <f>T2B!AB33</f>
        <v>0</v>
      </c>
      <c r="C29">
        <f>T2B!AC33</f>
        <v>0</v>
      </c>
      <c r="D29">
        <f>T2B!AD33</f>
        <v>0</v>
      </c>
      <c r="E29">
        <f>T2B!AE33</f>
        <v>0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>
        <f>T2B!AO33</f>
        <v>0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5">
      <c r="A30">
        <f>T2B!AA34</f>
        <v>0</v>
      </c>
      <c r="B30">
        <f>T2B!AB34</f>
        <v>0</v>
      </c>
      <c r="C30">
        <f>T2B!AC34</f>
        <v>0</v>
      </c>
      <c r="D30">
        <f>T2B!AD34</f>
        <v>0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5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>
        <f>T2B!AI35</f>
        <v>0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5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>
        <f>T2B!AX36</f>
        <v>0</v>
      </c>
      <c r="Y32">
        <f>T2B!AY36</f>
        <v>0</v>
      </c>
    </row>
    <row r="33" spans="1:25" x14ac:dyDescent="0.25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5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>
        <f>T2B!AK38</f>
        <v>0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5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5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5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5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5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2023-02-06T11:51:15Z</dcterms:created>
  <dcterms:modified xsi:type="dcterms:W3CDTF">2023-04-17T22:23:10Z</dcterms:modified>
</cp:coreProperties>
</file>