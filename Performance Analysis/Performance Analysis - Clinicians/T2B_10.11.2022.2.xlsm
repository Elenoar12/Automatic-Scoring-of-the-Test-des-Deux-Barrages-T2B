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33" documentId="8_{E987EB25-A4F1-4D86-80D1-7EDF0415D282}" xr6:coauthVersionLast="47" xr6:coauthVersionMax="47" xr10:uidLastSave="{7B9CF472-1088-4079-8098-4E3997829894}"/>
  <bookViews>
    <workbookView minimized="1" xWindow="1152" yWindow="1152" windowWidth="17280" windowHeight="9372" activeTab="1" xr2:uid="{00000000-000D-0000-FFFF-FFFF00000000}"/>
  </bookViews>
  <sheets>
    <sheet name="Ergebnisse" sheetId="1" r:id="rId1"/>
    <sheet name="T2B" sheetId="13" r:id="rId2"/>
    <sheet name="template" sheetId="14"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4" l="1"/>
  <c r="B1" i="14"/>
  <c r="C1" i="14"/>
  <c r="D1" i="14"/>
  <c r="E1" i="14"/>
  <c r="F1" i="14"/>
  <c r="G1" i="14"/>
  <c r="H1" i="14"/>
  <c r="I1" i="14"/>
  <c r="J1" i="14"/>
  <c r="K1" i="14"/>
  <c r="L1" i="14"/>
  <c r="M1" i="14"/>
  <c r="N1" i="14"/>
  <c r="O1" i="14"/>
  <c r="P1" i="14"/>
  <c r="Q1" i="14"/>
  <c r="R1" i="14"/>
  <c r="S1" i="14"/>
  <c r="T1" i="14"/>
  <c r="U1" i="14"/>
  <c r="V1" i="14"/>
  <c r="W1" i="14"/>
  <c r="X1" i="14"/>
  <c r="Y1" i="14"/>
  <c r="A2" i="14"/>
  <c r="B2" i="14"/>
  <c r="C2" i="14"/>
  <c r="D2" i="14"/>
  <c r="E2" i="14"/>
  <c r="F2" i="14"/>
  <c r="G2" i="14"/>
  <c r="H2" i="14"/>
  <c r="I2" i="14"/>
  <c r="J2" i="14"/>
  <c r="K2" i="14"/>
  <c r="L2" i="14"/>
  <c r="M2" i="14"/>
  <c r="N2" i="14"/>
  <c r="O2" i="14"/>
  <c r="P2" i="14"/>
  <c r="Q2" i="14"/>
  <c r="R2" i="14"/>
  <c r="S2" i="14"/>
  <c r="T2" i="14"/>
  <c r="U2" i="14"/>
  <c r="V2" i="14"/>
  <c r="W2" i="14"/>
  <c r="X2" i="14"/>
  <c r="Y2" i="14"/>
  <c r="A3" i="14"/>
  <c r="B3" i="14"/>
  <c r="C3" i="14"/>
  <c r="D3" i="14"/>
  <c r="E3" i="14"/>
  <c r="F3" i="14"/>
  <c r="G3" i="14"/>
  <c r="H3" i="14"/>
  <c r="I3" i="14"/>
  <c r="J3" i="14"/>
  <c r="K3" i="14"/>
  <c r="L3" i="14"/>
  <c r="M3" i="14"/>
  <c r="N3" i="14"/>
  <c r="O3" i="14"/>
  <c r="P3" i="14"/>
  <c r="Q3" i="14"/>
  <c r="R3" i="14"/>
  <c r="S3" i="14"/>
  <c r="T3" i="14"/>
  <c r="U3" i="14"/>
  <c r="V3" i="14"/>
  <c r="W3" i="14"/>
  <c r="X3" i="14"/>
  <c r="Y3" i="14"/>
  <c r="A4" i="14"/>
  <c r="B4" i="14"/>
  <c r="C4" i="14"/>
  <c r="D4" i="14"/>
  <c r="E4" i="14"/>
  <c r="F4" i="14"/>
  <c r="G4" i="14"/>
  <c r="H4" i="14"/>
  <c r="I4" i="14"/>
  <c r="J4" i="14"/>
  <c r="K4" i="14"/>
  <c r="L4" i="14"/>
  <c r="M4" i="14"/>
  <c r="N4" i="14"/>
  <c r="O4" i="14"/>
  <c r="P4" i="14"/>
  <c r="Q4" i="14"/>
  <c r="R4" i="14"/>
  <c r="S4" i="14"/>
  <c r="T4" i="14"/>
  <c r="U4" i="14"/>
  <c r="V4" i="14"/>
  <c r="W4" i="14"/>
  <c r="X4" i="14"/>
  <c r="Y4" i="14"/>
  <c r="A5" i="14"/>
  <c r="B5" i="14"/>
  <c r="C5" i="14"/>
  <c r="D5" i="14"/>
  <c r="E5" i="14"/>
  <c r="F5" i="14"/>
  <c r="G5" i="14"/>
  <c r="H5" i="14"/>
  <c r="I5" i="14"/>
  <c r="J5" i="14"/>
  <c r="K5" i="14"/>
  <c r="L5" i="14"/>
  <c r="M5" i="14"/>
  <c r="N5" i="14"/>
  <c r="O5" i="14"/>
  <c r="P5" i="14"/>
  <c r="Q5" i="14"/>
  <c r="R5" i="14"/>
  <c r="S5" i="14"/>
  <c r="T5" i="14"/>
  <c r="U5" i="14"/>
  <c r="V5" i="14"/>
  <c r="W5" i="14"/>
  <c r="X5" i="14"/>
  <c r="Y5" i="14"/>
  <c r="A6" i="14"/>
  <c r="B6" i="14"/>
  <c r="C6" i="14"/>
  <c r="D6" i="14"/>
  <c r="E6" i="14"/>
  <c r="F6" i="14"/>
  <c r="G6" i="14"/>
  <c r="H6" i="14"/>
  <c r="I6" i="14"/>
  <c r="J6" i="14"/>
  <c r="K6" i="14"/>
  <c r="L6" i="14"/>
  <c r="M6" i="14"/>
  <c r="N6" i="14"/>
  <c r="O6" i="14"/>
  <c r="P6" i="14"/>
  <c r="Q6" i="14"/>
  <c r="R6" i="14"/>
  <c r="S6" i="14"/>
  <c r="T6" i="14"/>
  <c r="U6" i="14"/>
  <c r="V6" i="14"/>
  <c r="W6" i="14"/>
  <c r="X6" i="14"/>
  <c r="Y6" i="14"/>
  <c r="A7" i="14"/>
  <c r="B7" i="14"/>
  <c r="C7" i="14"/>
  <c r="D7" i="14"/>
  <c r="E7" i="14"/>
  <c r="F7" i="14"/>
  <c r="G7" i="14"/>
  <c r="H7" i="14"/>
  <c r="I7" i="14"/>
  <c r="J7" i="14"/>
  <c r="K7" i="14"/>
  <c r="L7" i="14"/>
  <c r="M7" i="14"/>
  <c r="N7" i="14"/>
  <c r="O7" i="14"/>
  <c r="P7" i="14"/>
  <c r="Q7" i="14"/>
  <c r="R7" i="14"/>
  <c r="S7" i="14"/>
  <c r="T7" i="14"/>
  <c r="U7" i="14"/>
  <c r="V7" i="14"/>
  <c r="W7" i="14"/>
  <c r="X7" i="14"/>
  <c r="Y7" i="14"/>
  <c r="A8" i="14"/>
  <c r="B8" i="14"/>
  <c r="C8" i="14"/>
  <c r="D8" i="14"/>
  <c r="E8" i="14"/>
  <c r="F8" i="14"/>
  <c r="G8" i="14"/>
  <c r="H8" i="14"/>
  <c r="I8" i="14"/>
  <c r="J8" i="14"/>
  <c r="K8" i="14"/>
  <c r="L8" i="14"/>
  <c r="M8" i="14"/>
  <c r="N8" i="14"/>
  <c r="O8" i="14"/>
  <c r="P8" i="14"/>
  <c r="Q8" i="14"/>
  <c r="R8" i="14"/>
  <c r="S8" i="14"/>
  <c r="T8" i="14"/>
  <c r="U8" i="14"/>
  <c r="V8" i="14"/>
  <c r="W8" i="14"/>
  <c r="X8" i="14"/>
  <c r="Y8" i="14"/>
  <c r="A9" i="14"/>
  <c r="B9" i="14"/>
  <c r="C9" i="14"/>
  <c r="D9" i="14"/>
  <c r="E9" i="14"/>
  <c r="F9" i="14"/>
  <c r="G9" i="14"/>
  <c r="H9" i="14"/>
  <c r="I9" i="14"/>
  <c r="J9" i="14"/>
  <c r="K9" i="14"/>
  <c r="L9" i="14"/>
  <c r="M9" i="14"/>
  <c r="N9" i="14"/>
  <c r="O9" i="14"/>
  <c r="P9" i="14"/>
  <c r="Q9" i="14"/>
  <c r="R9" i="14"/>
  <c r="S9" i="14"/>
  <c r="T9" i="14"/>
  <c r="U9" i="14"/>
  <c r="V9" i="14"/>
  <c r="W9" i="14"/>
  <c r="X9" i="14"/>
  <c r="Y9" i="14"/>
  <c r="A10" i="14"/>
  <c r="B10" i="14"/>
  <c r="C10" i="14"/>
  <c r="D10" i="14"/>
  <c r="E10" i="14"/>
  <c r="F10" i="14"/>
  <c r="G10" i="14"/>
  <c r="H10" i="14"/>
  <c r="I10" i="14"/>
  <c r="J10" i="14"/>
  <c r="K10" i="14"/>
  <c r="L10" i="14"/>
  <c r="M10" i="14"/>
  <c r="N10" i="14"/>
  <c r="O10" i="14"/>
  <c r="P10" i="14"/>
  <c r="Q10" i="14"/>
  <c r="R10" i="14"/>
  <c r="S10" i="14"/>
  <c r="T10" i="14"/>
  <c r="U10" i="14"/>
  <c r="V10" i="14"/>
  <c r="W10" i="14"/>
  <c r="X10" i="14"/>
  <c r="Y10" i="14"/>
  <c r="A11" i="14"/>
  <c r="B11" i="14"/>
  <c r="C11" i="14"/>
  <c r="D11" i="14"/>
  <c r="E11" i="14"/>
  <c r="F11" i="14"/>
  <c r="G11" i="14"/>
  <c r="H11" i="14"/>
  <c r="I11" i="14"/>
  <c r="J11" i="14"/>
  <c r="K11" i="14"/>
  <c r="L11" i="14"/>
  <c r="M11" i="14"/>
  <c r="N11" i="14"/>
  <c r="O11" i="14"/>
  <c r="P11" i="14"/>
  <c r="Q11" i="14"/>
  <c r="R11" i="14"/>
  <c r="S11" i="14"/>
  <c r="T11" i="14"/>
  <c r="U11" i="14"/>
  <c r="V11" i="14"/>
  <c r="W11" i="14"/>
  <c r="X11" i="14"/>
  <c r="Y11" i="14"/>
  <c r="A12" i="14"/>
  <c r="B12" i="14"/>
  <c r="C12" i="14"/>
  <c r="D12" i="14"/>
  <c r="E12" i="14"/>
  <c r="F12" i="14"/>
  <c r="G12" i="14"/>
  <c r="H12" i="14"/>
  <c r="I12" i="14"/>
  <c r="J12" i="14"/>
  <c r="K12" i="14"/>
  <c r="L12" i="14"/>
  <c r="M12" i="14"/>
  <c r="N12" i="14"/>
  <c r="O12" i="14"/>
  <c r="P12" i="14"/>
  <c r="Q12" i="14"/>
  <c r="R12" i="14"/>
  <c r="S12" i="14"/>
  <c r="T12" i="14"/>
  <c r="U12" i="14"/>
  <c r="V12" i="14"/>
  <c r="W12" i="14"/>
  <c r="X12" i="14"/>
  <c r="Y12" i="14"/>
  <c r="A13" i="14"/>
  <c r="B13" i="14"/>
  <c r="C13" i="14"/>
  <c r="D13" i="14"/>
  <c r="E13" i="14"/>
  <c r="F13" i="14"/>
  <c r="G13" i="14"/>
  <c r="H13" i="14"/>
  <c r="I13" i="14"/>
  <c r="J13" i="14"/>
  <c r="K13" i="14"/>
  <c r="L13" i="14"/>
  <c r="M13" i="14"/>
  <c r="N13" i="14"/>
  <c r="O13" i="14"/>
  <c r="P13" i="14"/>
  <c r="Q13" i="14"/>
  <c r="R13" i="14"/>
  <c r="S13" i="14"/>
  <c r="T13" i="14"/>
  <c r="U13" i="14"/>
  <c r="V13" i="14"/>
  <c r="W13" i="14"/>
  <c r="X13" i="14"/>
  <c r="Y13" i="14"/>
  <c r="A14" i="14"/>
  <c r="B14" i="14"/>
  <c r="C14" i="14"/>
  <c r="D14" i="14"/>
  <c r="E14" i="14"/>
  <c r="F14" i="14"/>
  <c r="G14" i="14"/>
  <c r="H14" i="14"/>
  <c r="I14" i="14"/>
  <c r="J14" i="14"/>
  <c r="K14" i="14"/>
  <c r="L14" i="14"/>
  <c r="M14" i="14"/>
  <c r="N14" i="14"/>
  <c r="O14" i="14"/>
  <c r="P14" i="14"/>
  <c r="Q14" i="14"/>
  <c r="R14" i="14"/>
  <c r="S14" i="14"/>
  <c r="T14" i="14"/>
  <c r="U14" i="14"/>
  <c r="V14" i="14"/>
  <c r="W14" i="14"/>
  <c r="X14" i="14"/>
  <c r="Y14" i="14"/>
  <c r="A15" i="14"/>
  <c r="B15" i="14"/>
  <c r="C15" i="14"/>
  <c r="D15" i="14"/>
  <c r="E15" i="14"/>
  <c r="F15" i="14"/>
  <c r="G15" i="14"/>
  <c r="H15" i="14"/>
  <c r="I15" i="14"/>
  <c r="J15" i="14"/>
  <c r="K15" i="14"/>
  <c r="L15" i="14"/>
  <c r="M15" i="14"/>
  <c r="N15" i="14"/>
  <c r="O15" i="14"/>
  <c r="P15" i="14"/>
  <c r="Q15" i="14"/>
  <c r="R15" i="14"/>
  <c r="S15" i="14"/>
  <c r="T15" i="14"/>
  <c r="U15" i="14"/>
  <c r="V15" i="14"/>
  <c r="W15" i="14"/>
  <c r="X15" i="14"/>
  <c r="Y15" i="14"/>
  <c r="A16" i="14"/>
  <c r="B16" i="14"/>
  <c r="C16" i="14"/>
  <c r="D16" i="14"/>
  <c r="E16" i="14"/>
  <c r="F16" i="14"/>
  <c r="G16" i="14"/>
  <c r="H16" i="14"/>
  <c r="I16" i="14"/>
  <c r="J16" i="14"/>
  <c r="K16" i="14"/>
  <c r="L16" i="14"/>
  <c r="M16" i="14"/>
  <c r="N16" i="14"/>
  <c r="O16" i="14"/>
  <c r="P16" i="14"/>
  <c r="Q16" i="14"/>
  <c r="R16" i="14"/>
  <c r="S16" i="14"/>
  <c r="T16" i="14"/>
  <c r="U16" i="14"/>
  <c r="V16" i="14"/>
  <c r="W16" i="14"/>
  <c r="X16" i="14"/>
  <c r="Y16" i="14"/>
  <c r="A17" i="14"/>
  <c r="B17" i="14"/>
  <c r="C17" i="14"/>
  <c r="D17" i="14"/>
  <c r="E17" i="14"/>
  <c r="F17" i="14"/>
  <c r="G17" i="14"/>
  <c r="H17" i="14"/>
  <c r="I17" i="14"/>
  <c r="J17" i="14"/>
  <c r="K17" i="14"/>
  <c r="L17" i="14"/>
  <c r="M17" i="14"/>
  <c r="N17" i="14"/>
  <c r="O17" i="14"/>
  <c r="P17" i="14"/>
  <c r="Q17" i="14"/>
  <c r="R17" i="14"/>
  <c r="S17" i="14"/>
  <c r="T17" i="14"/>
  <c r="U17" i="14"/>
  <c r="V17" i="14"/>
  <c r="W17" i="14"/>
  <c r="X17" i="14"/>
  <c r="Y17" i="14"/>
  <c r="A18" i="14"/>
  <c r="B18" i="14"/>
  <c r="C18" i="14"/>
  <c r="D18" i="14"/>
  <c r="E18" i="14"/>
  <c r="F18" i="14"/>
  <c r="G18" i="14"/>
  <c r="H18" i="14"/>
  <c r="I18" i="14"/>
  <c r="J18" i="14"/>
  <c r="K18" i="14"/>
  <c r="L18" i="14"/>
  <c r="M18" i="14"/>
  <c r="N18" i="14"/>
  <c r="O18" i="14"/>
  <c r="P18" i="14"/>
  <c r="Q18" i="14"/>
  <c r="R18" i="14"/>
  <c r="S18" i="14"/>
  <c r="T18" i="14"/>
  <c r="U18" i="14"/>
  <c r="V18" i="14"/>
  <c r="W18" i="14"/>
  <c r="X18" i="14"/>
  <c r="Y18" i="14"/>
  <c r="A19" i="14"/>
  <c r="B19" i="14"/>
  <c r="C19" i="14"/>
  <c r="D19" i="14"/>
  <c r="E19" i="14"/>
  <c r="F19" i="14"/>
  <c r="G19" i="14"/>
  <c r="H19" i="14"/>
  <c r="I19" i="14"/>
  <c r="J19" i="14"/>
  <c r="K19" i="14"/>
  <c r="L19" i="14"/>
  <c r="M19" i="14"/>
  <c r="N19" i="14"/>
  <c r="O19" i="14"/>
  <c r="P19" i="14"/>
  <c r="Q19" i="14"/>
  <c r="R19" i="14"/>
  <c r="S19" i="14"/>
  <c r="T19" i="14"/>
  <c r="U19" i="14"/>
  <c r="V19" i="14"/>
  <c r="W19" i="14"/>
  <c r="X19" i="14"/>
  <c r="Y19" i="14"/>
  <c r="A20" i="14"/>
  <c r="B20" i="14"/>
  <c r="C20" i="14"/>
  <c r="D20" i="14"/>
  <c r="E20" i="14"/>
  <c r="F20" i="14"/>
  <c r="G20" i="14"/>
  <c r="H20" i="14"/>
  <c r="I20" i="14"/>
  <c r="J20" i="14"/>
  <c r="K20" i="14"/>
  <c r="L20" i="14"/>
  <c r="M20" i="14"/>
  <c r="N20" i="14"/>
  <c r="O20" i="14"/>
  <c r="P20" i="14"/>
  <c r="Q20" i="14"/>
  <c r="R20" i="14"/>
  <c r="S20" i="14"/>
  <c r="T20" i="14"/>
  <c r="U20" i="14"/>
  <c r="V20" i="14"/>
  <c r="W20" i="14"/>
  <c r="X20" i="14"/>
  <c r="Y20" i="14"/>
  <c r="A21" i="14"/>
  <c r="B21" i="14"/>
  <c r="C21" i="14"/>
  <c r="D21" i="14"/>
  <c r="E21" i="14"/>
  <c r="F21" i="14"/>
  <c r="G21" i="14"/>
  <c r="H21" i="14"/>
  <c r="I21" i="14"/>
  <c r="J21" i="14"/>
  <c r="K21" i="14"/>
  <c r="L21" i="14"/>
  <c r="M21" i="14"/>
  <c r="N21" i="14"/>
  <c r="O21" i="14"/>
  <c r="P21" i="14"/>
  <c r="Q21" i="14"/>
  <c r="R21" i="14"/>
  <c r="S21" i="14"/>
  <c r="T21" i="14"/>
  <c r="U21" i="14"/>
  <c r="V21" i="14"/>
  <c r="W21" i="14"/>
  <c r="X21" i="14"/>
  <c r="Y21" i="14"/>
  <c r="A22" i="14"/>
  <c r="B22" i="14"/>
  <c r="C22" i="14"/>
  <c r="D22" i="14"/>
  <c r="E22" i="14"/>
  <c r="F22" i="14"/>
  <c r="G22" i="14"/>
  <c r="H22" i="14"/>
  <c r="I22" i="14"/>
  <c r="J22" i="14"/>
  <c r="K22" i="14"/>
  <c r="L22" i="14"/>
  <c r="M22" i="14"/>
  <c r="N22" i="14"/>
  <c r="O22" i="14"/>
  <c r="P22" i="14"/>
  <c r="Q22" i="14"/>
  <c r="R22" i="14"/>
  <c r="S22" i="14"/>
  <c r="T22" i="14"/>
  <c r="U22" i="14"/>
  <c r="V22" i="14"/>
  <c r="W22" i="14"/>
  <c r="X22" i="14"/>
  <c r="Y22" i="14"/>
  <c r="A23" i="14"/>
  <c r="B23" i="14"/>
  <c r="C23" i="14"/>
  <c r="D23" i="14"/>
  <c r="E23" i="14"/>
  <c r="F23" i="14"/>
  <c r="G23" i="14"/>
  <c r="H23" i="14"/>
  <c r="I23" i="14"/>
  <c r="J23" i="14"/>
  <c r="K23" i="14"/>
  <c r="L23" i="14"/>
  <c r="M23" i="14"/>
  <c r="N23" i="14"/>
  <c r="O23" i="14"/>
  <c r="P23" i="14"/>
  <c r="Q23" i="14"/>
  <c r="R23" i="14"/>
  <c r="S23" i="14"/>
  <c r="T23" i="14"/>
  <c r="U23" i="14"/>
  <c r="V23" i="14"/>
  <c r="W23" i="14"/>
  <c r="X23" i="14"/>
  <c r="Y23" i="14"/>
  <c r="A24" i="14"/>
  <c r="B24" i="14"/>
  <c r="C24" i="14"/>
  <c r="D24" i="14"/>
  <c r="E24" i="14"/>
  <c r="F24" i="14"/>
  <c r="G24" i="14"/>
  <c r="H24" i="14"/>
  <c r="I24" i="14"/>
  <c r="J24" i="14"/>
  <c r="K24" i="14"/>
  <c r="L24" i="14"/>
  <c r="M24" i="14"/>
  <c r="N24" i="14"/>
  <c r="O24" i="14"/>
  <c r="P24" i="14"/>
  <c r="Q24" i="14"/>
  <c r="R24" i="14"/>
  <c r="S24" i="14"/>
  <c r="T24" i="14"/>
  <c r="U24" i="14"/>
  <c r="V24" i="14"/>
  <c r="W24" i="14"/>
  <c r="X24" i="14"/>
  <c r="Y24" i="14"/>
  <c r="A25" i="14"/>
  <c r="B25" i="14"/>
  <c r="C25" i="14"/>
  <c r="D25" i="14"/>
  <c r="E25" i="14"/>
  <c r="F25" i="14"/>
  <c r="G25" i="14"/>
  <c r="H25" i="14"/>
  <c r="I25" i="14"/>
  <c r="J25" i="14"/>
  <c r="K25" i="14"/>
  <c r="L25" i="14"/>
  <c r="M25" i="14"/>
  <c r="N25" i="14"/>
  <c r="O25" i="14"/>
  <c r="P25" i="14"/>
  <c r="Q25" i="14"/>
  <c r="R25" i="14"/>
  <c r="S25" i="14"/>
  <c r="T25" i="14"/>
  <c r="U25" i="14"/>
  <c r="V25" i="14"/>
  <c r="W25" i="14"/>
  <c r="X25" i="14"/>
  <c r="Y25" i="14"/>
  <c r="A26" i="14"/>
  <c r="B26" i="14"/>
  <c r="C26" i="14"/>
  <c r="D26" i="14"/>
  <c r="E26" i="14"/>
  <c r="F26" i="14"/>
  <c r="G26" i="14"/>
  <c r="H26" i="14"/>
  <c r="I26" i="14"/>
  <c r="J26" i="14"/>
  <c r="K26" i="14"/>
  <c r="L26" i="14"/>
  <c r="M26" i="14"/>
  <c r="N26" i="14"/>
  <c r="O26" i="14"/>
  <c r="P26" i="14"/>
  <c r="Q26" i="14"/>
  <c r="R26" i="14"/>
  <c r="S26" i="14"/>
  <c r="T26" i="14"/>
  <c r="U26" i="14"/>
  <c r="V26" i="14"/>
  <c r="W26" i="14"/>
  <c r="X26" i="14"/>
  <c r="Y26" i="14"/>
  <c r="A27" i="14"/>
  <c r="B27" i="14"/>
  <c r="C27" i="14"/>
  <c r="D27" i="14"/>
  <c r="E27" i="14"/>
  <c r="F27" i="14"/>
  <c r="G27" i="14"/>
  <c r="H27" i="14"/>
  <c r="I27" i="14"/>
  <c r="J27" i="14"/>
  <c r="K27" i="14"/>
  <c r="L27" i="14"/>
  <c r="M27" i="14"/>
  <c r="N27" i="14"/>
  <c r="O27" i="14"/>
  <c r="P27" i="14"/>
  <c r="Q27" i="14"/>
  <c r="R27" i="14"/>
  <c r="S27" i="14"/>
  <c r="T27" i="14"/>
  <c r="U27" i="14"/>
  <c r="V27" i="14"/>
  <c r="W27" i="14"/>
  <c r="X27" i="14"/>
  <c r="Y27" i="14"/>
  <c r="A28" i="14"/>
  <c r="B28" i="14"/>
  <c r="C28" i="14"/>
  <c r="D28" i="14"/>
  <c r="E28" i="14"/>
  <c r="F28" i="14"/>
  <c r="G28" i="14"/>
  <c r="H28" i="14"/>
  <c r="I28" i="14"/>
  <c r="J28" i="14"/>
  <c r="K28" i="14"/>
  <c r="L28" i="14"/>
  <c r="M28" i="14"/>
  <c r="N28" i="14"/>
  <c r="O28" i="14"/>
  <c r="P28" i="14"/>
  <c r="Q28" i="14"/>
  <c r="R28" i="14"/>
  <c r="S28" i="14"/>
  <c r="T28" i="14"/>
  <c r="U28" i="14"/>
  <c r="V28" i="14"/>
  <c r="W28" i="14"/>
  <c r="X28" i="14"/>
  <c r="Y28" i="14"/>
  <c r="A29" i="14"/>
  <c r="B29" i="14"/>
  <c r="C29" i="14"/>
  <c r="D29" i="14"/>
  <c r="E29" i="14"/>
  <c r="F29" i="14"/>
  <c r="G29" i="14"/>
  <c r="H29" i="14"/>
  <c r="I29" i="14"/>
  <c r="J29" i="14"/>
  <c r="K29" i="14"/>
  <c r="L29" i="14"/>
  <c r="M29" i="14"/>
  <c r="N29" i="14"/>
  <c r="O29" i="14"/>
  <c r="P29" i="14"/>
  <c r="Q29" i="14"/>
  <c r="R29" i="14"/>
  <c r="S29" i="14"/>
  <c r="T29" i="14"/>
  <c r="U29" i="14"/>
  <c r="V29" i="14"/>
  <c r="W29" i="14"/>
  <c r="X29" i="14"/>
  <c r="Y29" i="14"/>
  <c r="A30" i="14"/>
  <c r="B30" i="14"/>
  <c r="C30" i="14"/>
  <c r="D30" i="14"/>
  <c r="E30" i="14"/>
  <c r="F30" i="14"/>
  <c r="G30" i="14"/>
  <c r="H30" i="14"/>
  <c r="I30" i="14"/>
  <c r="J30" i="14"/>
  <c r="K30" i="14"/>
  <c r="L30" i="14"/>
  <c r="M30" i="14"/>
  <c r="N30" i="14"/>
  <c r="O30" i="14"/>
  <c r="P30" i="14"/>
  <c r="Q30" i="14"/>
  <c r="R30" i="14"/>
  <c r="S30" i="14"/>
  <c r="T30" i="14"/>
  <c r="U30" i="14"/>
  <c r="V30" i="14"/>
  <c r="W30" i="14"/>
  <c r="X30" i="14"/>
  <c r="Y30" i="14"/>
  <c r="A31" i="14"/>
  <c r="B31" i="14"/>
  <c r="C31" i="14"/>
  <c r="D31" i="14"/>
  <c r="E31" i="14"/>
  <c r="F31" i="14"/>
  <c r="G31" i="14"/>
  <c r="H31" i="14"/>
  <c r="I31" i="14"/>
  <c r="J31" i="14"/>
  <c r="K31" i="14"/>
  <c r="L31" i="14"/>
  <c r="M31" i="14"/>
  <c r="N31" i="14"/>
  <c r="O31" i="14"/>
  <c r="P31" i="14"/>
  <c r="Q31" i="14"/>
  <c r="R31" i="14"/>
  <c r="S31" i="14"/>
  <c r="T31" i="14"/>
  <c r="U31" i="14"/>
  <c r="V31" i="14"/>
  <c r="W31" i="14"/>
  <c r="X31" i="14"/>
  <c r="Y31" i="14"/>
  <c r="A32" i="14"/>
  <c r="B32" i="14"/>
  <c r="C32" i="14"/>
  <c r="D32" i="14"/>
  <c r="E32" i="14"/>
  <c r="F32" i="14"/>
  <c r="G32" i="14"/>
  <c r="H32" i="14"/>
  <c r="I32" i="14"/>
  <c r="J32" i="14"/>
  <c r="K32" i="14"/>
  <c r="L32" i="14"/>
  <c r="M32" i="14"/>
  <c r="N32" i="14"/>
  <c r="O32" i="14"/>
  <c r="P32" i="14"/>
  <c r="Q32" i="14"/>
  <c r="R32" i="14"/>
  <c r="S32" i="14"/>
  <c r="T32" i="14"/>
  <c r="U32" i="14"/>
  <c r="V32" i="14"/>
  <c r="W32" i="14"/>
  <c r="X32" i="14"/>
  <c r="Y32" i="14"/>
  <c r="A33" i="14"/>
  <c r="B33" i="14"/>
  <c r="C33" i="14"/>
  <c r="D33" i="14"/>
  <c r="E33" i="14"/>
  <c r="F33" i="14"/>
  <c r="G33" i="14"/>
  <c r="H33" i="14"/>
  <c r="I33" i="14"/>
  <c r="J33" i="14"/>
  <c r="K33" i="14"/>
  <c r="L33" i="14"/>
  <c r="M33" i="14"/>
  <c r="N33" i="14"/>
  <c r="O33" i="14"/>
  <c r="P33" i="14"/>
  <c r="Q33" i="14"/>
  <c r="R33" i="14"/>
  <c r="S33" i="14"/>
  <c r="T33" i="14"/>
  <c r="U33" i="14"/>
  <c r="V33" i="14"/>
  <c r="W33" i="14"/>
  <c r="X33" i="14"/>
  <c r="Y33" i="14"/>
  <c r="A34" i="14"/>
  <c r="B34" i="14"/>
  <c r="C34" i="14"/>
  <c r="D34" i="14"/>
  <c r="E34" i="14"/>
  <c r="F34" i="14"/>
  <c r="G34" i="14"/>
  <c r="H34" i="14"/>
  <c r="I34" i="14"/>
  <c r="J34" i="14"/>
  <c r="K34" i="14"/>
  <c r="L34" i="14"/>
  <c r="M34" i="14"/>
  <c r="N34" i="14"/>
  <c r="O34" i="14"/>
  <c r="P34" i="14"/>
  <c r="Q34" i="14"/>
  <c r="R34" i="14"/>
  <c r="S34" i="14"/>
  <c r="T34" i="14"/>
  <c r="U34" i="14"/>
  <c r="V34" i="14"/>
  <c r="W34" i="14"/>
  <c r="X34" i="14"/>
  <c r="Y34" i="14"/>
  <c r="A35" i="14"/>
  <c r="B35" i="14"/>
  <c r="C35" i="14"/>
  <c r="D35" i="14"/>
  <c r="E35" i="14"/>
  <c r="F35" i="14"/>
  <c r="G35" i="14"/>
  <c r="H35" i="14"/>
  <c r="I35" i="14"/>
  <c r="J35" i="14"/>
  <c r="K35" i="14"/>
  <c r="L35" i="14"/>
  <c r="M35" i="14"/>
  <c r="N35" i="14"/>
  <c r="O35" i="14"/>
  <c r="P35" i="14"/>
  <c r="Q35" i="14"/>
  <c r="R35" i="14"/>
  <c r="S35" i="14"/>
  <c r="T35" i="14"/>
  <c r="U35" i="14"/>
  <c r="V35" i="14"/>
  <c r="W35" i="14"/>
  <c r="X35" i="14"/>
  <c r="Y35" i="14"/>
  <c r="A36" i="14"/>
  <c r="B36" i="14"/>
  <c r="C36" i="14"/>
  <c r="D36" i="14"/>
  <c r="E36" i="14"/>
  <c r="F36" i="14"/>
  <c r="G36" i="14"/>
  <c r="H36" i="14"/>
  <c r="I36" i="14"/>
  <c r="J36" i="14"/>
  <c r="K36" i="14"/>
  <c r="L36" i="14"/>
  <c r="M36" i="14"/>
  <c r="N36" i="14"/>
  <c r="O36" i="14"/>
  <c r="P36" i="14"/>
  <c r="Q36" i="14"/>
  <c r="R36" i="14"/>
  <c r="S36" i="14"/>
  <c r="T36" i="14"/>
  <c r="U36" i="14"/>
  <c r="V36" i="14"/>
  <c r="W36" i="14"/>
  <c r="X36" i="14"/>
  <c r="Y36" i="14"/>
  <c r="A37" i="14"/>
  <c r="B37" i="14"/>
  <c r="C37" i="14"/>
  <c r="D37" i="14"/>
  <c r="E37" i="14"/>
  <c r="F37" i="14"/>
  <c r="G37" i="14"/>
  <c r="H37" i="14"/>
  <c r="I37" i="14"/>
  <c r="J37" i="14"/>
  <c r="K37" i="14"/>
  <c r="L37" i="14"/>
  <c r="M37" i="14"/>
  <c r="N37" i="14"/>
  <c r="O37" i="14"/>
  <c r="P37" i="14"/>
  <c r="Q37" i="14"/>
  <c r="R37" i="14"/>
  <c r="S37" i="14"/>
  <c r="T37" i="14"/>
  <c r="U37" i="14"/>
  <c r="V37" i="14"/>
  <c r="W37" i="14"/>
  <c r="X37" i="14"/>
  <c r="Y37" i="14"/>
  <c r="A38" i="14"/>
  <c r="B38" i="14"/>
  <c r="C38" i="14"/>
  <c r="D38" i="14"/>
  <c r="E38" i="14"/>
  <c r="F38" i="14"/>
  <c r="G38" i="14"/>
  <c r="H38" i="14"/>
  <c r="I38" i="14"/>
  <c r="J38" i="14"/>
  <c r="K38" i="14"/>
  <c r="L38" i="14"/>
  <c r="M38" i="14"/>
  <c r="N38" i="14"/>
  <c r="O38" i="14"/>
  <c r="P38" i="14"/>
  <c r="Q38" i="14"/>
  <c r="R38" i="14"/>
  <c r="S38" i="14"/>
  <c r="T38" i="14"/>
  <c r="U38" i="14"/>
  <c r="V38" i="14"/>
  <c r="W38" i="14"/>
  <c r="X38" i="14"/>
  <c r="Y38" i="14"/>
  <c r="A39" i="14"/>
  <c r="B39" i="14"/>
  <c r="C39" i="14"/>
  <c r="D39" i="14"/>
  <c r="E39" i="14"/>
  <c r="F39" i="14"/>
  <c r="G39" i="14"/>
  <c r="H39" i="14"/>
  <c r="I39" i="14"/>
  <c r="J39" i="14"/>
  <c r="K39" i="14"/>
  <c r="L39" i="14"/>
  <c r="M39" i="14"/>
  <c r="N39" i="14"/>
  <c r="O39" i="14"/>
  <c r="P39" i="14"/>
  <c r="Q39" i="14"/>
  <c r="R39" i="14"/>
  <c r="S39" i="14"/>
  <c r="T39" i="14"/>
  <c r="U39" i="14"/>
  <c r="V39" i="14"/>
  <c r="W39" i="14"/>
  <c r="X39" i="14"/>
  <c r="Y39" i="14"/>
  <c r="E9" i="1"/>
  <c r="E10" i="1" s="1"/>
  <c r="F40" i="1"/>
  <c r="F39" i="1"/>
  <c r="F38" i="1"/>
  <c r="H38" i="1" s="1"/>
  <c r="K38" i="1" s="1"/>
  <c r="F37" i="1"/>
  <c r="F35" i="1"/>
  <c r="F32" i="1"/>
  <c r="S1057" i="1" s="1"/>
  <c r="F26" i="1"/>
  <c r="F25" i="1"/>
  <c r="F24" i="1"/>
  <c r="F23" i="1"/>
  <c r="F22" i="1"/>
  <c r="F20" i="1"/>
  <c r="F19" i="1"/>
  <c r="F18" i="1"/>
  <c r="F17" i="1"/>
  <c r="F203" i="1"/>
  <c r="F202" i="1"/>
  <c r="L202" i="1" s="1"/>
  <c r="F201" i="1"/>
  <c r="K201" i="1" s="1"/>
  <c r="F200" i="1"/>
  <c r="K200" i="1" s="1"/>
  <c r="F244" i="1"/>
  <c r="J244" i="1"/>
  <c r="F243" i="1"/>
  <c r="K243" i="1" s="1"/>
  <c r="F242" i="1"/>
  <c r="L242" i="1" s="1"/>
  <c r="F241" i="1"/>
  <c r="F240" i="1"/>
  <c r="J240" i="1" s="1"/>
  <c r="K240" i="1"/>
  <c r="F239" i="1"/>
  <c r="L239" i="1" s="1"/>
  <c r="F238" i="1"/>
  <c r="F237" i="1"/>
  <c r="K237" i="1" s="1"/>
  <c r="F229" i="1"/>
  <c r="J229" i="1" s="1"/>
  <c r="F228" i="1"/>
  <c r="J228" i="1" s="1"/>
  <c r="L228" i="1"/>
  <c r="F227" i="1"/>
  <c r="K227" i="1" s="1"/>
  <c r="F221" i="1"/>
  <c r="F220" i="1"/>
  <c r="F219" i="1"/>
  <c r="K219" i="1" s="1"/>
  <c r="F218" i="1"/>
  <c r="F217" i="1"/>
  <c r="F214" i="1"/>
  <c r="L214" i="1" s="1"/>
  <c r="F213" i="1"/>
  <c r="J213" i="1" s="1"/>
  <c r="F212" i="1"/>
  <c r="J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S1045" i="1"/>
  <c r="J243" i="1"/>
  <c r="L243" i="1"/>
  <c r="L241" i="1"/>
  <c r="H37" i="1"/>
  <c r="L37" i="1" s="1"/>
  <c r="L204" i="1"/>
  <c r="H39" i="1"/>
  <c r="L39" i="1" s="1"/>
  <c r="E21" i="13"/>
  <c r="K244" i="1"/>
  <c r="K214" i="1"/>
  <c r="J214" i="1"/>
  <c r="L238" i="1"/>
  <c r="J238" i="1"/>
  <c r="K221" i="1"/>
  <c r="L221" i="1"/>
  <c r="J221" i="1"/>
  <c r="K203" i="1"/>
  <c r="K220" i="1"/>
  <c r="L220" i="1"/>
  <c r="K241" i="1"/>
  <c r="J241" i="1"/>
  <c r="L210" i="1"/>
  <c r="K210" i="1"/>
  <c r="J210" i="1"/>
  <c r="K211" i="1"/>
  <c r="J211" i="1"/>
  <c r="L203" i="1"/>
  <c r="J203" i="1"/>
  <c r="E7" i="1"/>
  <c r="DZ11" i="13"/>
  <c r="CZ14" i="13"/>
  <c r="CZ13" i="13"/>
  <c r="DZ7" i="13"/>
  <c r="CZ9" i="13"/>
  <c r="DZ13" i="13"/>
  <c r="DZ10" i="13"/>
  <c r="CZ12" i="13"/>
  <c r="DZ8" i="13"/>
  <c r="CZ5" i="13"/>
  <c r="CZ10" i="13"/>
  <c r="CZ8" i="13"/>
  <c r="CZ7" i="13"/>
  <c r="DZ6" i="13"/>
  <c r="CZ11" i="13"/>
  <c r="CZ6" i="13"/>
  <c r="DZ5" i="13"/>
  <c r="DZ12" i="13"/>
  <c r="J5" i="13"/>
  <c r="DZ14" i="13"/>
  <c r="DZ9" i="13"/>
  <c r="F187" i="1" l="1"/>
  <c r="J201" i="1"/>
  <c r="J239" i="1"/>
  <c r="L212" i="1"/>
  <c r="J204" i="1"/>
  <c r="L240" i="1"/>
  <c r="J200" i="1"/>
  <c r="J237" i="1"/>
  <c r="L227" i="1"/>
  <c r="J227" i="1"/>
  <c r="K213" i="1"/>
  <c r="K228" i="1"/>
  <c r="K212" i="1"/>
  <c r="K239" i="1"/>
  <c r="K202" i="1"/>
  <c r="F83" i="1"/>
  <c r="L201" i="1"/>
  <c r="F123" i="1"/>
  <c r="H14" i="13"/>
  <c r="H13" i="13"/>
  <c r="H12" i="13"/>
  <c r="H11" i="13"/>
  <c r="H10" i="13"/>
  <c r="H9" i="13"/>
  <c r="H8" i="13"/>
  <c r="H7" i="13"/>
  <c r="H6" i="13"/>
  <c r="H5" i="13"/>
  <c r="N5" i="13" s="1"/>
  <c r="H20" i="1"/>
  <c r="L20" i="1" s="1"/>
  <c r="H32" i="1"/>
  <c r="L32" i="1" s="1"/>
  <c r="H31" i="1"/>
  <c r="L31" i="1" s="1"/>
  <c r="R1031" i="1"/>
  <c r="Q1064" i="1" s="1"/>
  <c r="F125" i="1"/>
  <c r="T1138" i="1" s="1"/>
  <c r="S1138" i="1" s="1"/>
  <c r="H125" i="1" s="1"/>
  <c r="I125" i="1" s="1"/>
  <c r="F124" i="1"/>
  <c r="F87" i="1"/>
  <c r="T1108" i="1" s="1"/>
  <c r="S1108" i="1" s="1"/>
  <c r="H87" i="1" s="1"/>
  <c r="I87" i="1" s="1"/>
  <c r="F86" i="1"/>
  <c r="T1107" i="1" s="1"/>
  <c r="S1107" i="1" s="1"/>
  <c r="H86" i="1" s="1"/>
  <c r="F60" i="1"/>
  <c r="F75" i="1"/>
  <c r="S1097" i="1" s="1"/>
  <c r="F185" i="1"/>
  <c r="H185" i="1" s="1"/>
  <c r="L185" i="1" s="1"/>
  <c r="F146" i="1"/>
  <c r="P1155" i="1" s="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81"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J185" i="1"/>
  <c r="M185" i="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L60" i="1"/>
  <c r="K61" i="1"/>
  <c r="I60" i="1"/>
  <c r="S1086" i="1"/>
  <c r="M63" i="1"/>
  <c r="T1064" i="1"/>
  <c r="S1064" i="1" s="1"/>
  <c r="L61" i="1"/>
  <c r="T1061" i="1"/>
  <c r="S1061" i="1" s="1"/>
  <c r="J63" i="1"/>
  <c r="M61" i="1"/>
  <c r="P1150" i="1"/>
  <c r="T1150" i="1" s="1"/>
  <c r="S1150" i="1" s="1"/>
  <c r="H139" i="1" s="1"/>
  <c r="J139" i="1" s="1"/>
  <c r="K130" i="1"/>
  <c r="I172" i="1"/>
  <c r="J61" i="1"/>
  <c r="S1084" i="1"/>
  <c r="J70" i="1"/>
  <c r="I27" i="1"/>
  <c r="K27" i="1"/>
  <c r="J22" i="1"/>
  <c r="O1155" i="1"/>
  <c r="T1155" i="1" s="1"/>
  <c r="S1155" i="1" s="1"/>
  <c r="H75" i="1"/>
  <c r="K75" i="1" s="1"/>
  <c r="J27" i="1"/>
  <c r="I29" i="1"/>
  <c r="Q1106" i="1"/>
  <c r="R1106" i="1"/>
  <c r="K125" i="1"/>
  <c r="J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18" i="1"/>
  <c r="I28" i="1"/>
  <c r="J23" i="1"/>
  <c r="J17" i="1"/>
  <c r="K28" i="1"/>
  <c r="I17" i="1"/>
  <c r="I23" i="1"/>
  <c r="J87" i="1"/>
  <c r="J1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K137" i="1"/>
  <c r="P1101" i="1"/>
  <c r="O1101" i="1"/>
  <c r="S1175" i="1"/>
  <c r="H168" i="1" s="1"/>
  <c r="J52" i="1"/>
  <c r="K52" i="1"/>
  <c r="I52" i="1"/>
  <c r="L52" i="1"/>
  <c r="J50"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I188" i="1" l="1"/>
  <c r="L70" i="1"/>
  <c r="K188" i="1"/>
  <c r="I48" i="1"/>
  <c r="L48" i="1"/>
  <c r="L188" i="1"/>
  <c r="K48" i="1"/>
  <c r="K186" i="1"/>
  <c r="J182"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K115" i="1" l="1"/>
  <c r="I115" i="1"/>
  <c r="J115" i="1"/>
  <c r="L115" i="1"/>
  <c r="J114" i="1"/>
  <c r="K114" i="1"/>
  <c r="I114" i="1"/>
  <c r="L114" i="1"/>
  <c r="J111" i="1"/>
  <c r="K111" i="1"/>
  <c r="I111" i="1"/>
  <c r="L111" i="1"/>
  <c r="L113" i="1"/>
  <c r="I113" i="1"/>
  <c r="K113" i="1"/>
  <c r="J113" i="1"/>
  <c r="E29" i="13"/>
  <c r="E30" i="13" l="1"/>
  <c r="F116" i="1" s="1"/>
  <c r="T1131" i="1" s="1"/>
  <c r="S1131" i="1" s="1"/>
  <c r="H116" i="1" s="1"/>
  <c r="L116" i="1" s="1"/>
  <c r="I116" i="1" l="1"/>
  <c r="K116" i="1"/>
  <c r="J116" i="1"/>
</calcChain>
</file>

<file path=xl/sharedStrings.xml><?xml version="1.0" encoding="utf-8"?>
<sst xmlns="http://schemas.openxmlformats.org/spreadsheetml/2006/main" count="2043" uniqueCount="400">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</sst>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13395" y="1323975"/>
          <a:ext cx="1965960" cy="2990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38450" y="457200"/>
          <a:ext cx="1981200" cy="31432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Normal="100" workbookViewId="0">
      <pane ySplit="10" topLeftCell="A188"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100000000000001" customHeight="1" x14ac:dyDescent="0.25">
      <c r="B8" s="188" t="s">
        <v>8</v>
      </c>
      <c r="C8" s="189"/>
      <c r="D8" s="229"/>
      <c r="E8" s="229"/>
      <c r="F8" s="308"/>
      <c r="G8" s="308"/>
      <c r="H8" s="308"/>
      <c r="I8" s="5"/>
      <c r="J8" s="4" t="s">
        <v>9</v>
      </c>
      <c r="K8" s="3"/>
      <c r="L8" s="3"/>
      <c r="M8" s="82"/>
    </row>
    <row r="9" spans="2:16" ht="30" customHeight="1" x14ac:dyDescent="0.25">
      <c r="B9" s="112"/>
      <c r="C9" s="113"/>
      <c r="D9" s="113"/>
      <c r="E9" s="235">
        <f>(C8-C7)/365.25</f>
        <v>0</v>
      </c>
      <c r="F9" s="299" t="s">
        <v>395</v>
      </c>
      <c r="G9" s="300"/>
      <c r="H9" s="300"/>
      <c r="I9" s="300"/>
      <c r="J9" s="300"/>
      <c r="K9" s="300"/>
      <c r="L9" s="300"/>
      <c r="M9" s="301"/>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05" t="s">
        <v>394</v>
      </c>
      <c r="G12" s="298"/>
      <c r="H12" s="298"/>
      <c r="I12" s="298"/>
      <c r="J12" s="298"/>
      <c r="K12" s="298"/>
      <c r="L12" s="298"/>
      <c r="M12" s="306"/>
    </row>
    <row r="13" spans="2:16" x14ac:dyDescent="0.25">
      <c r="B13" s="134" t="s">
        <v>313</v>
      </c>
      <c r="C13" s="8"/>
      <c r="D13" s="8"/>
      <c r="E13" s="8"/>
      <c r="F13" s="292"/>
      <c r="G13" s="292"/>
      <c r="H13" s="292"/>
      <c r="I13" s="292"/>
      <c r="J13" s="292"/>
      <c r="K13" s="292"/>
      <c r="L13" s="292"/>
      <c r="M13" s="293"/>
    </row>
    <row r="14" spans="2:16"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x14ac:dyDescent="0.25">
      <c r="B15" s="62"/>
      <c r="C15" s="294" t="s">
        <v>20</v>
      </c>
      <c r="D15" s="295"/>
      <c r="E15" s="296"/>
      <c r="F15" s="242" t="e">
        <f>IF(#REF!="","",#REF!)</f>
        <v>#REF!</v>
      </c>
      <c r="G15" s="97"/>
      <c r="H15" s="100"/>
      <c r="I15" s="10"/>
      <c r="J15" s="11"/>
      <c r="K15" s="11"/>
      <c r="L15" s="10"/>
      <c r="M15" s="12"/>
      <c r="N15" s="236"/>
    </row>
    <row r="16" spans="2:16"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x14ac:dyDescent="0.25">
      <c r="B36" s="62"/>
      <c r="C36" s="294" t="s">
        <v>20</v>
      </c>
      <c r="D36" s="295"/>
      <c r="E36" s="296"/>
      <c r="F36" s="259" t="e">
        <f>IF(#REF!="","",#REF!)</f>
        <v>#REF!</v>
      </c>
      <c r="G36" s="97"/>
      <c r="H36" s="100"/>
      <c r="I36" s="10"/>
      <c r="J36" s="11"/>
      <c r="K36" s="11"/>
      <c r="L36" s="10"/>
      <c r="M36" s="66"/>
      <c r="N36" s="236"/>
    </row>
    <row r="37" spans="2:14"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x14ac:dyDescent="0.25">
      <c r="B44" s="62"/>
      <c r="C44" s="294" t="s">
        <v>20</v>
      </c>
      <c r="D44" s="295"/>
      <c r="E44" s="296"/>
      <c r="F44" s="259" t="e">
        <f>IF(#REF!="","",#REF!)</f>
        <v>#REF!</v>
      </c>
      <c r="G44" s="97"/>
      <c r="H44" s="100"/>
      <c r="I44" s="10"/>
      <c r="J44" s="11"/>
      <c r="K44" s="11"/>
      <c r="L44" s="10"/>
      <c r="M44" s="66"/>
      <c r="N44" s="236"/>
    </row>
    <row r="45" spans="2:14"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x14ac:dyDescent="0.25">
      <c r="B67" s="62"/>
      <c r="C67" s="294" t="s">
        <v>20</v>
      </c>
      <c r="D67" s="295"/>
      <c r="E67" s="296"/>
      <c r="F67" s="261" t="e">
        <f>IF(#REF!="","",#REF!)</f>
        <v>#REF!</v>
      </c>
      <c r="G67" s="97"/>
      <c r="H67" s="100"/>
      <c r="I67" s="10"/>
      <c r="J67" s="11"/>
      <c r="K67" s="11"/>
      <c r="L67" s="10"/>
      <c r="M67" s="66"/>
      <c r="N67" s="236"/>
    </row>
    <row r="68" spans="2:14"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x14ac:dyDescent="0.25">
      <c r="B84" s="62"/>
      <c r="C84" s="294" t="s">
        <v>20</v>
      </c>
      <c r="D84" s="295"/>
      <c r="E84" s="296"/>
      <c r="F84" s="261" t="e">
        <f>IF(#REF!="","",#REF!)</f>
        <v>#REF!</v>
      </c>
      <c r="G84" s="97"/>
      <c r="H84" s="100"/>
      <c r="I84" s="18"/>
      <c r="J84" s="10"/>
      <c r="K84" s="18"/>
      <c r="L84" s="65"/>
      <c r="M84" s="66"/>
      <c r="N84" s="236"/>
    </row>
    <row r="85" spans="2:14"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x14ac:dyDescent="0.25">
      <c r="B94" s="62"/>
      <c r="C94" s="294" t="s">
        <v>20</v>
      </c>
      <c r="D94" s="295"/>
      <c r="E94" s="296"/>
      <c r="F94" s="261" t="e">
        <f>IF(#REF!="","",#REF!)</f>
        <v>#REF!</v>
      </c>
      <c r="G94" s="97"/>
      <c r="H94" s="100"/>
      <c r="I94" s="18"/>
      <c r="J94" s="10"/>
      <c r="K94" s="18"/>
      <c r="L94" s="65"/>
      <c r="M94" s="66"/>
      <c r="N94" s="236"/>
    </row>
    <row r="95" spans="2:14"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x14ac:dyDescent="0.25">
      <c r="B105" s="62"/>
      <c r="C105" s="291" t="s">
        <v>20</v>
      </c>
      <c r="D105" s="292"/>
      <c r="E105" s="293"/>
      <c r="F105" s="261" t="str">
        <f>IF(T2B!E19="","",T2B!E19)</f>
        <v/>
      </c>
      <c r="G105" s="22"/>
      <c r="H105" s="100"/>
      <c r="I105" s="18"/>
      <c r="J105" s="10"/>
      <c r="K105" s="18"/>
      <c r="L105" s="65"/>
      <c r="M105" s="66"/>
      <c r="N105" s="236"/>
    </row>
    <row r="106" spans="2:14" x14ac:dyDescent="0.25">
      <c r="B106" s="62"/>
      <c r="C106" s="291" t="s">
        <v>55</v>
      </c>
      <c r="D106" s="292"/>
      <c r="E106" s="293"/>
      <c r="F106" s="260" t="str">
        <f ca="1">IF(OR(T2B!N14="",C5="",C6="",C7="",C8="",E7="")=TRUE,"",T2B!N14)</f>
        <v/>
      </c>
      <c r="G106" s="22" t="s">
        <v>22</v>
      </c>
      <c r="H106" s="106"/>
      <c r="I106" s="18"/>
      <c r="J106" s="10"/>
      <c r="K106" s="18"/>
      <c r="L106" s="65"/>
      <c r="M106" s="66"/>
      <c r="N106" s="236"/>
    </row>
    <row r="107" spans="2:14" x14ac:dyDescent="0.25">
      <c r="B107" s="62"/>
      <c r="C107" s="291" t="s">
        <v>56</v>
      </c>
      <c r="D107" s="292"/>
      <c r="E107" s="293"/>
      <c r="F107" s="260" t="str">
        <f ca="1">IF(OR(T2B!M14="",C5="",C6="",C7="",C8="",E7="")=TRUE,"",T2B!M14)</f>
        <v/>
      </c>
      <c r="G107" s="22" t="s">
        <v>22</v>
      </c>
      <c r="H107" s="106"/>
      <c r="I107" s="18"/>
      <c r="J107" s="10"/>
      <c r="K107" s="18"/>
      <c r="L107" s="65"/>
      <c r="M107" s="66"/>
      <c r="N107" s="236"/>
    </row>
    <row r="108" spans="2:14" x14ac:dyDescent="0.25">
      <c r="B108" s="62"/>
      <c r="C108" s="291" t="s">
        <v>57</v>
      </c>
      <c r="D108" s="292"/>
      <c r="E108" s="293"/>
      <c r="F108" s="260" t="str">
        <f ca="1">IF(OR(T2B!L14="",C5="",C6="",C7="",C8="",E7="")=TRUE,"",T2B!L14)</f>
        <v/>
      </c>
      <c r="G108" s="22" t="s">
        <v>22</v>
      </c>
      <c r="H108" s="106"/>
      <c r="I108" s="18"/>
      <c r="J108" s="10"/>
      <c r="K108" s="18"/>
      <c r="L108" s="65"/>
      <c r="M108" s="66"/>
      <c r="N108" s="236"/>
    </row>
    <row r="109" spans="2:14" x14ac:dyDescent="0.25">
      <c r="B109" s="62"/>
      <c r="C109" s="294" t="s">
        <v>58</v>
      </c>
      <c r="D109" s="295"/>
      <c r="E109" s="296"/>
      <c r="F109" s="260" t="str">
        <f ca="1">IF(OR(T2B!K14="",C5="",C6="",C7="",C8="",E7="")=TRUE,"",T2B!K14)</f>
        <v/>
      </c>
      <c r="G109" s="22" t="s">
        <v>22</v>
      </c>
      <c r="H109" s="107"/>
      <c r="I109" s="18"/>
      <c r="J109" s="10"/>
      <c r="K109" s="18"/>
      <c r="L109" s="65"/>
      <c r="M109" s="66"/>
      <c r="N109" s="236"/>
    </row>
    <row r="110" spans="2:14"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x14ac:dyDescent="0.25">
      <c r="B122" s="62"/>
      <c r="C122" s="294" t="s">
        <v>20</v>
      </c>
      <c r="D122" s="295"/>
      <c r="E122" s="296"/>
      <c r="F122" s="261" t="e">
        <f>IF(#REF!="","",#REF!)</f>
        <v>#REF!</v>
      </c>
      <c r="G122" s="97"/>
      <c r="H122" s="100"/>
      <c r="I122" s="18"/>
      <c r="J122" s="10"/>
      <c r="K122" s="18"/>
      <c r="L122" s="65"/>
      <c r="M122" s="66"/>
      <c r="N122" s="236"/>
    </row>
    <row r="123" spans="2:14"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x14ac:dyDescent="0.25">
      <c r="B129" s="62"/>
      <c r="C129" s="294" t="s">
        <v>20</v>
      </c>
      <c r="D129" s="295"/>
      <c r="E129" s="296"/>
      <c r="F129" s="261" t="e">
        <f>IF(#REF!="","",#REF!)</f>
        <v>#REF!</v>
      </c>
      <c r="G129" s="97"/>
      <c r="H129" s="100"/>
      <c r="I129" s="18"/>
      <c r="J129" s="10"/>
      <c r="K129" s="18"/>
      <c r="L129" s="65"/>
      <c r="M129" s="66"/>
      <c r="N129" s="236"/>
    </row>
    <row r="130" spans="2:14"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x14ac:dyDescent="0.25">
      <c r="B145" s="62"/>
      <c r="C145" s="294" t="s">
        <v>20</v>
      </c>
      <c r="D145" s="295"/>
      <c r="E145" s="296"/>
      <c r="F145" s="261" t="e">
        <f>IF(#REF!="","",#REF!)</f>
        <v>#REF!</v>
      </c>
      <c r="G145" s="97"/>
      <c r="H145" s="100"/>
      <c r="I145" s="18"/>
      <c r="J145" s="10"/>
      <c r="K145" s="18"/>
      <c r="L145" s="65"/>
      <c r="M145" s="66"/>
      <c r="N145" s="236"/>
    </row>
    <row r="146" spans="2:14"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x14ac:dyDescent="0.25">
      <c r="B158" s="62"/>
      <c r="C158" s="294" t="s">
        <v>20</v>
      </c>
      <c r="D158" s="295"/>
      <c r="E158" s="296"/>
      <c r="F158" s="261" t="e">
        <f>IF(#REF!="","",#REF!)</f>
        <v>#REF!</v>
      </c>
      <c r="G158" s="97"/>
      <c r="H158" s="100"/>
      <c r="I158" s="18"/>
      <c r="J158" s="10"/>
      <c r="K158" s="18"/>
      <c r="L158" s="65"/>
      <c r="M158" s="66"/>
      <c r="N158" s="236"/>
    </row>
    <row r="159" spans="2:14"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x14ac:dyDescent="0.25">
      <c r="B166" s="62"/>
      <c r="C166" s="294" t="s">
        <v>20</v>
      </c>
      <c r="D166" s="295"/>
      <c r="E166" s="296"/>
      <c r="F166" s="261" t="e">
        <f>IF(#REF!="","",#REF!)</f>
        <v>#REF!</v>
      </c>
      <c r="G166" s="97"/>
      <c r="H166" s="100"/>
      <c r="I166" s="10"/>
      <c r="J166" s="10"/>
      <c r="K166" s="18"/>
      <c r="L166" s="65"/>
      <c r="M166" s="66"/>
      <c r="N166" s="236"/>
    </row>
    <row r="167" spans="2:14"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x14ac:dyDescent="0.25">
      <c r="B179" s="62"/>
      <c r="C179" s="294" t="s">
        <v>20</v>
      </c>
      <c r="D179" s="295"/>
      <c r="E179" s="296"/>
      <c r="F179" s="261" t="e">
        <f>IF(#REF!="","",#REF!)</f>
        <v>#REF!</v>
      </c>
      <c r="G179" s="97"/>
      <c r="H179" s="100"/>
      <c r="I179" s="10"/>
      <c r="J179" s="10"/>
      <c r="K179" s="18"/>
      <c r="L179" s="65"/>
      <c r="M179" s="66"/>
      <c r="N179" s="236"/>
    </row>
    <row r="180" spans="2:14"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x14ac:dyDescent="0.25">
      <c r="B199" s="62"/>
      <c r="C199" s="294" t="s">
        <v>20</v>
      </c>
      <c r="D199" s="295"/>
      <c r="E199" s="295"/>
      <c r="F199" s="274" t="str">
        <f>IF($C$8="","",$C$8)</f>
        <v/>
      </c>
      <c r="G199" s="22"/>
      <c r="H199" s="100"/>
      <c r="I199" s="237"/>
      <c r="J199" s="10"/>
      <c r="K199" s="18"/>
      <c r="L199" s="65"/>
      <c r="M199" s="66"/>
      <c r="N199" s="236"/>
    </row>
    <row r="200" spans="2:14"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x14ac:dyDescent="0.25">
      <c r="B208" s="62"/>
      <c r="C208" s="294" t="s">
        <v>20</v>
      </c>
      <c r="D208" s="295"/>
      <c r="E208" s="295"/>
      <c r="F208" s="274" t="str">
        <f>IF($C$8="","",$C$8)</f>
        <v/>
      </c>
      <c r="G208" s="22"/>
      <c r="H208" s="100"/>
      <c r="I208" s="18"/>
      <c r="J208" s="10"/>
      <c r="K208" s="18"/>
      <c r="L208" s="65"/>
      <c r="M208" s="66"/>
      <c r="N208" s="236"/>
    </row>
    <row r="209" spans="2:14"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x14ac:dyDescent="0.25">
      <c r="B218" s="62"/>
      <c r="C218" s="294" t="s">
        <v>20</v>
      </c>
      <c r="D218" s="295"/>
      <c r="E218" s="295"/>
      <c r="F218" s="274" t="str">
        <f>IF($C$8="","",$C$8)</f>
        <v/>
      </c>
      <c r="G218" s="22"/>
      <c r="H218" s="100"/>
      <c r="I218" s="18"/>
      <c r="J218" s="10"/>
      <c r="K218" s="18"/>
      <c r="L218" s="65"/>
      <c r="M218" s="66"/>
      <c r="N218" s="236"/>
    </row>
    <row r="219" spans="2:14"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x14ac:dyDescent="0.25">
      <c r="B226" s="194"/>
      <c r="C226" s="316" t="s">
        <v>20</v>
      </c>
      <c r="D226" s="317"/>
      <c r="E226" s="317"/>
      <c r="F226" s="274"/>
      <c r="G226" s="268"/>
      <c r="H226" s="215"/>
      <c r="I226" s="216"/>
      <c r="J226" s="212"/>
      <c r="K226" s="216"/>
      <c r="L226" s="217"/>
      <c r="M226" s="214"/>
      <c r="N226" s="278"/>
    </row>
    <row r="227" spans="2:14" s="70" customFormat="1"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x14ac:dyDescent="0.25">
      <c r="B236" s="194"/>
      <c r="C236" s="316" t="s">
        <v>20</v>
      </c>
      <c r="D236" s="317"/>
      <c r="E236" s="317"/>
      <c r="F236" s="274"/>
      <c r="G236" s="270"/>
      <c r="H236" s="215"/>
      <c r="I236" s="216"/>
      <c r="J236" s="212"/>
      <c r="K236" s="216"/>
      <c r="L236" s="217"/>
      <c r="M236" s="214"/>
      <c r="N236" s="278"/>
    </row>
    <row r="237" spans="2:14" s="70" customFormat="1"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3" zoomScale="80" zoomScaleNormal="80"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4</v>
      </c>
      <c r="C5" s="39">
        <v>25</v>
      </c>
      <c r="D5" s="22"/>
      <c r="E5" s="126">
        <f ca="1">IF(C5="","",J5-H5)</f>
        <v>21</v>
      </c>
      <c r="F5" s="126">
        <f t="shared" ref="F5:F14" ca="1" si="0">IF(E5="","",G5+H5)</f>
        <v>1</v>
      </c>
      <c r="G5" s="128">
        <f ca="1">IF(E5="","",DZ5)</f>
        <v>0</v>
      </c>
      <c r="H5" s="129">
        <f ca="1">IF(C5="","",CZ5)</f>
        <v>1</v>
      </c>
      <c r="I5" s="126"/>
      <c r="J5" s="126">
        <f ca="1">IF(AND($B5&gt;=1,$B5&lt;=40,$C5&gt;=1,$C5&lt;=25),IF($B5&gt;1,SUM(INDIRECT("BA4:BY"&amp;($B5+2))),0)+SUM(INDIRECT("BA"&amp;($B5+3)&amp;":B"&amp;CHAR(64+$C5)&amp;($B5+3))),0)</f>
        <v>22</v>
      </c>
      <c r="K5" s="126">
        <f ca="1">$E5</f>
        <v>21</v>
      </c>
      <c r="L5" s="126">
        <f ca="1">$F5</f>
        <v>1</v>
      </c>
      <c r="M5" s="126">
        <f ca="1">$G5</f>
        <v>0</v>
      </c>
      <c r="N5" s="126">
        <f ca="1">$H5</f>
        <v>1</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1</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10</v>
      </c>
      <c r="D6" s="22"/>
      <c r="E6" s="22">
        <f t="shared" ref="E6:E14" ca="1" si="53">IF(J6=J5,"",(J6-J5)-H6)</f>
        <v>26</v>
      </c>
      <c r="F6" s="22">
        <f t="shared" ca="1" si="0"/>
        <v>2</v>
      </c>
      <c r="G6" s="130">
        <f t="shared" ref="G6:G14" ca="1" si="54">IF(E6="","",DZ6-DZ5)</f>
        <v>0</v>
      </c>
      <c r="H6" s="131">
        <f t="shared" ref="H6:H14" ca="1" si="55">IF(C6="","",CZ6-CZ5)</f>
        <v>2</v>
      </c>
      <c r="I6" s="22"/>
      <c r="J6" s="22">
        <f t="shared" ref="J6:J14" ca="1" si="56">IF(AND($B6&gt;=1,$B6&lt;=40,$C6&gt;=1,$C6&lt;=25),IF($B6&gt;1,SUM(INDIRECT("BA4:BY" &amp; ($B6 +2))),0)+SUM(INDIRECT("BA" &amp; ($B6+3) &amp; ":B" &amp; CHAR(64+$C6) &amp; ($B6+3))),J5)</f>
        <v>50</v>
      </c>
      <c r="K6" s="22">
        <f t="shared" ref="K6:K14" ca="1" si="57">IF(E6="",K5,K5+$E6)</f>
        <v>47</v>
      </c>
      <c r="L6" s="22">
        <f t="shared" ref="L6:L14" ca="1" si="58">IF(F6="",L5,L5+$F6)</f>
        <v>3</v>
      </c>
      <c r="M6" s="22">
        <f t="shared" ref="M6:M14" ca="1" si="59">IF(G6="",M5,M5+$G6)</f>
        <v>0</v>
      </c>
      <c r="N6" s="22">
        <f t="shared" ref="N6:N14" ca="1" si="60">IF(H6="",N5,N5+$H6)</f>
        <v>3</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3</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25</v>
      </c>
      <c r="D7" s="22"/>
      <c r="E7" s="22">
        <f t="shared" ca="1" si="53"/>
        <v>23</v>
      </c>
      <c r="F7" s="22">
        <f t="shared" ca="1" si="0"/>
        <v>3</v>
      </c>
      <c r="G7" s="130">
        <f t="shared" ca="1" si="54"/>
        <v>0</v>
      </c>
      <c r="H7" s="131">
        <f t="shared" ca="1" si="55"/>
        <v>3</v>
      </c>
      <c r="I7" s="22"/>
      <c r="J7" s="22">
        <f t="shared" ca="1" si="56"/>
        <v>76</v>
      </c>
      <c r="K7" s="22">
        <f t="shared" ca="1" si="57"/>
        <v>70</v>
      </c>
      <c r="L7" s="22">
        <f t="shared" ca="1" si="58"/>
        <v>6</v>
      </c>
      <c r="M7" s="22">
        <f t="shared" ca="1" si="59"/>
        <v>0</v>
      </c>
      <c r="N7" s="22">
        <f t="shared" ca="1" si="60"/>
        <v>6</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t="s">
        <v>397</v>
      </c>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1</v>
      </c>
      <c r="CV7" s="36">
        <f t="shared" si="22"/>
        <v>0</v>
      </c>
      <c r="CW7" s="36">
        <f t="shared" si="23"/>
        <v>0</v>
      </c>
      <c r="CX7" s="36">
        <f t="shared" si="24"/>
        <v>0</v>
      </c>
      <c r="CY7" s="36">
        <f t="shared" si="25"/>
        <v>0</v>
      </c>
      <c r="CZ7" s="36">
        <f t="shared" ca="1" si="26"/>
        <v>6</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18</v>
      </c>
      <c r="C8" s="39">
        <v>20</v>
      </c>
      <c r="D8" s="22"/>
      <c r="E8" s="22">
        <f t="shared" ca="1" si="53"/>
        <v>23</v>
      </c>
      <c r="F8" s="22">
        <f t="shared" ca="1" si="0"/>
        <v>3</v>
      </c>
      <c r="G8" s="130">
        <f t="shared" ca="1" si="54"/>
        <v>1</v>
      </c>
      <c r="H8" s="131">
        <f t="shared" ca="1" si="55"/>
        <v>2</v>
      </c>
      <c r="I8" s="22"/>
      <c r="J8" s="22">
        <f t="shared" ca="1" si="56"/>
        <v>101</v>
      </c>
      <c r="K8" s="22">
        <f t="shared" ca="1" si="57"/>
        <v>93</v>
      </c>
      <c r="L8" s="22">
        <f t="shared" ca="1" si="58"/>
        <v>9</v>
      </c>
      <c r="M8" s="22">
        <f t="shared" ca="1" si="59"/>
        <v>1</v>
      </c>
      <c r="N8" s="22">
        <f t="shared" ca="1" si="60"/>
        <v>8</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t="s">
        <v>397</v>
      </c>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1</v>
      </c>
      <c r="CT8" s="36">
        <f t="shared" si="20"/>
        <v>0</v>
      </c>
      <c r="CU8" s="36">
        <f t="shared" si="21"/>
        <v>0</v>
      </c>
      <c r="CV8" s="36">
        <f t="shared" si="22"/>
        <v>0</v>
      </c>
      <c r="CW8" s="36">
        <f t="shared" si="23"/>
        <v>0</v>
      </c>
      <c r="CX8" s="36">
        <f t="shared" si="24"/>
        <v>0</v>
      </c>
      <c r="CY8" s="36">
        <f t="shared" si="25"/>
        <v>0</v>
      </c>
      <c r="CZ8" s="36">
        <f t="shared" ca="1" si="26"/>
        <v>8</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1</v>
      </c>
    </row>
    <row r="9" spans="1:130" x14ac:dyDescent="0.25">
      <c r="A9" s="37">
        <v>5</v>
      </c>
      <c r="B9" s="38">
        <v>22</v>
      </c>
      <c r="C9" s="39">
        <v>20</v>
      </c>
      <c r="D9" s="22"/>
      <c r="E9" s="22">
        <f t="shared" ca="1" si="53"/>
        <v>19</v>
      </c>
      <c r="F9" s="22">
        <f t="shared" ca="1" si="0"/>
        <v>7</v>
      </c>
      <c r="G9" s="130">
        <f t="shared" ca="1" si="54"/>
        <v>0</v>
      </c>
      <c r="H9" s="131">
        <f t="shared" ca="1" si="55"/>
        <v>7</v>
      </c>
      <c r="I9" s="22"/>
      <c r="J9" s="22">
        <f t="shared" ca="1" si="56"/>
        <v>127</v>
      </c>
      <c r="K9" s="22">
        <f t="shared" ca="1" si="57"/>
        <v>112</v>
      </c>
      <c r="L9" s="22">
        <f t="shared" ca="1" si="58"/>
        <v>16</v>
      </c>
      <c r="M9" s="22">
        <f t="shared" ca="1" si="59"/>
        <v>1</v>
      </c>
      <c r="N9" s="22">
        <f t="shared" ca="1" si="60"/>
        <v>15</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15</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1</v>
      </c>
    </row>
    <row r="10" spans="1:130" x14ac:dyDescent="0.25">
      <c r="A10" s="37">
        <v>6</v>
      </c>
      <c r="B10" s="38">
        <v>27</v>
      </c>
      <c r="C10" s="39">
        <v>3</v>
      </c>
      <c r="D10" s="22"/>
      <c r="E10" s="22">
        <f t="shared" ca="1" si="53"/>
        <v>23</v>
      </c>
      <c r="F10" s="22">
        <f t="shared" ca="1" si="0"/>
        <v>5</v>
      </c>
      <c r="G10" s="130">
        <f t="shared" ca="1" si="54"/>
        <v>0</v>
      </c>
      <c r="H10" s="131">
        <f t="shared" ca="1" si="55"/>
        <v>5</v>
      </c>
      <c r="I10" s="22"/>
      <c r="J10" s="22">
        <f t="shared" ca="1" si="56"/>
        <v>155</v>
      </c>
      <c r="K10" s="22">
        <f t="shared" ca="1" si="57"/>
        <v>135</v>
      </c>
      <c r="L10" s="22">
        <f t="shared" ca="1" si="58"/>
        <v>21</v>
      </c>
      <c r="M10" s="22">
        <f t="shared" ca="1" si="59"/>
        <v>1</v>
      </c>
      <c r="N10" s="22">
        <f t="shared" ca="1" si="60"/>
        <v>20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20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1</v>
      </c>
    </row>
    <row r="11" spans="1:130" x14ac:dyDescent="0.25">
      <c r="A11" s="37">
        <v>7</v>
      </c>
      <c r="B11" s="38">
        <v>31</v>
      </c>
      <c r="C11" s="39">
        <v>22</v>
      </c>
      <c r="D11" s="22"/>
      <c r="E11" s="22">
        <f t="shared" ca="1" si="53"/>
        <v>25</v>
      </c>
      <c r="F11" s="22">
        <f t="shared" ca="1" si="0"/>
        <v>3</v>
      </c>
      <c r="G11" s="130">
        <f t="shared" ca="1" si="54"/>
        <v>0</v>
      </c>
      <c r="H11" s="131">
        <f t="shared" ca="1" si="55"/>
        <v>3</v>
      </c>
      <c r="I11" s="22"/>
      <c r="J11" s="22">
        <f t="shared" ca="1" si="56"/>
        <v>183</v>
      </c>
      <c r="K11" s="22">
        <f t="shared" ca="1" si="57"/>
        <v>160</v>
      </c>
      <c r="L11" s="22">
        <f t="shared" ca="1" si="58"/>
        <v>24</v>
      </c>
      <c r="M11" s="22">
        <f t="shared" ca="1" si="59"/>
        <v>1</v>
      </c>
      <c r="N11" s="22">
        <f t="shared" ca="1" si="60"/>
        <v>23</v>
      </c>
      <c r="O11" s="6"/>
      <c r="P11" s="6"/>
      <c r="Q11" s="6"/>
      <c r="R11" s="6"/>
      <c r="S11" s="6"/>
      <c r="T11" s="6"/>
      <c r="U11" s="6"/>
      <c r="V11" s="6"/>
      <c r="W11" s="6"/>
      <c r="X11" s="6"/>
      <c r="Y11" s="119"/>
      <c r="Z11" s="34">
        <v>8</v>
      </c>
      <c r="AA11" s="40"/>
      <c r="AB11" s="42"/>
      <c r="AC11" s="41" t="s">
        <v>397</v>
      </c>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1</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23</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1</v>
      </c>
    </row>
    <row r="12" spans="1:130" x14ac:dyDescent="0.25">
      <c r="A12" s="37">
        <v>8</v>
      </c>
      <c r="B12" s="38">
        <v>35</v>
      </c>
      <c r="C12" s="39">
        <v>25</v>
      </c>
      <c r="D12" s="22"/>
      <c r="E12" s="22">
        <f t="shared" ca="1" si="53"/>
        <v>26</v>
      </c>
      <c r="F12" s="22">
        <f t="shared" ca="1" si="0"/>
        <v>3</v>
      </c>
      <c r="G12" s="130">
        <f t="shared" ca="1" si="54"/>
        <v>1</v>
      </c>
      <c r="H12" s="131">
        <f t="shared" ca="1" si="55"/>
        <v>2</v>
      </c>
      <c r="I12" s="22"/>
      <c r="J12" s="22">
        <f t="shared" ca="1" si="56"/>
        <v>211</v>
      </c>
      <c r="K12" s="22">
        <f t="shared" ca="1" si="57"/>
        <v>186</v>
      </c>
      <c r="L12" s="22">
        <f t="shared" ca="1" si="58"/>
        <v>27</v>
      </c>
      <c r="M12" s="22">
        <f t="shared" ca="1" si="59"/>
        <v>2</v>
      </c>
      <c r="N12" s="22">
        <f t="shared" ca="1" si="60"/>
        <v>25</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25</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2</v>
      </c>
    </row>
    <row r="13" spans="1:130" x14ac:dyDescent="0.25">
      <c r="A13" s="37">
        <v>9</v>
      </c>
      <c r="B13" s="38">
        <v>40</v>
      </c>
      <c r="C13" s="39">
        <v>22</v>
      </c>
      <c r="D13" s="22"/>
      <c r="E13" s="22">
        <f t="shared" ca="1" si="53"/>
        <v>28</v>
      </c>
      <c r="F13" s="22">
        <f t="shared" ca="1" si="0"/>
        <v>1</v>
      </c>
      <c r="G13" s="130">
        <f t="shared" ca="1" si="54"/>
        <v>0</v>
      </c>
      <c r="H13" s="131">
        <f t="shared" ca="1" si="55"/>
        <v>1</v>
      </c>
      <c r="I13" s="22"/>
      <c r="J13" s="22">
        <f t="shared" ca="1" si="56"/>
        <v>240</v>
      </c>
      <c r="K13" s="22">
        <f t="shared" ca="1" si="57"/>
        <v>214</v>
      </c>
      <c r="L13" s="22">
        <f t="shared" ca="1" si="58"/>
        <v>28</v>
      </c>
      <c r="M13" s="22">
        <f t="shared" ca="1" si="59"/>
        <v>2</v>
      </c>
      <c r="N13" s="22">
        <f t="shared" ca="1" si="60"/>
        <v>26</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t="s">
        <v>397</v>
      </c>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1</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26</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2</v>
      </c>
    </row>
    <row r="14" spans="1:130" x14ac:dyDescent="0.25">
      <c r="A14" s="37">
        <v>10</v>
      </c>
      <c r="B14" s="38">
        <v>40</v>
      </c>
      <c r="C14" s="39">
        <v>25</v>
      </c>
      <c r="D14" s="46"/>
      <c r="E14" s="47">
        <f t="shared" ca="1" si="53"/>
        <v>1</v>
      </c>
      <c r="F14" s="47">
        <f t="shared" ca="1" si="0"/>
        <v>0</v>
      </c>
      <c r="G14" s="48">
        <f t="shared" ca="1" si="54"/>
        <v>0</v>
      </c>
      <c r="H14" s="49">
        <f t="shared" ca="1" si="55"/>
        <v>0</v>
      </c>
      <c r="I14" s="47"/>
      <c r="J14" s="49">
        <f t="shared" ca="1" si="56"/>
        <v>241</v>
      </c>
      <c r="K14" s="127">
        <f t="shared" ca="1" si="57"/>
        <v>215</v>
      </c>
      <c r="L14" s="127">
        <f t="shared" ca="1" si="58"/>
        <v>28</v>
      </c>
      <c r="M14" s="127">
        <f t="shared" ca="1" si="59"/>
        <v>2</v>
      </c>
      <c r="N14" s="127">
        <f t="shared" ca="1" si="60"/>
        <v>26</v>
      </c>
      <c r="O14" s="15"/>
      <c r="P14" s="15"/>
      <c r="Q14" s="15"/>
      <c r="R14" s="15"/>
      <c r="S14" s="15"/>
      <c r="T14" s="15"/>
      <c r="U14" s="15"/>
      <c r="V14" s="15"/>
      <c r="W14" s="15"/>
      <c r="X14" s="15"/>
      <c r="Y14" s="119"/>
      <c r="Z14" s="34">
        <v>11</v>
      </c>
      <c r="AA14" s="44" t="s">
        <v>397</v>
      </c>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1</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26</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2</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t="s">
        <v>397</v>
      </c>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1</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4</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t="s">
        <v>396</v>
      </c>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1</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t="s">
        <v>397</v>
      </c>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1</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9.0666666666666664</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t="s">
        <v>397</v>
      </c>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1</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11.618257261410788</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23.713235294117649</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t="s">
        <v>397</v>
      </c>
      <c r="AU23" s="41" t="s">
        <v>397</v>
      </c>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1</v>
      </c>
      <c r="CU23" s="36">
        <f t="shared" si="21"/>
        <v>1</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3.0882352941176472</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0.22058823529411764</v>
      </c>
      <c r="F25" s="50"/>
      <c r="G25" s="50"/>
      <c r="H25" s="50"/>
      <c r="I25" s="22"/>
      <c r="J25" s="50"/>
      <c r="K25" s="50"/>
      <c r="L25" s="50"/>
      <c r="M25" s="50"/>
      <c r="N25" s="22"/>
      <c r="O25" s="6"/>
      <c r="P25" s="6"/>
      <c r="Q25" s="6"/>
      <c r="R25" s="6"/>
      <c r="S25" s="6"/>
      <c r="T25" s="6"/>
      <c r="U25" s="6"/>
      <c r="V25" s="6"/>
      <c r="W25" s="6"/>
      <c r="X25" s="6"/>
      <c r="Y25" s="119"/>
      <c r="Z25" s="34">
        <v>22</v>
      </c>
      <c r="AA25" s="44" t="s">
        <v>397</v>
      </c>
      <c r="AB25" s="42"/>
      <c r="AC25" s="42"/>
      <c r="AD25" s="42"/>
      <c r="AE25" s="41"/>
      <c r="AF25" s="42"/>
      <c r="AG25" s="42"/>
      <c r="AH25" s="42"/>
      <c r="AI25" s="42"/>
      <c r="AJ25" s="42"/>
      <c r="AK25" s="42"/>
      <c r="AL25" s="42"/>
      <c r="AM25" s="42"/>
      <c r="AN25" s="41" t="s">
        <v>397</v>
      </c>
      <c r="AO25" s="41" t="s">
        <v>397</v>
      </c>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1</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1</v>
      </c>
      <c r="CO25" s="36">
        <f t="shared" si="15"/>
        <v>1</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2.8676470588235294</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t="s">
        <v>397</v>
      </c>
      <c r="AV26" s="42"/>
      <c r="AW26" s="42"/>
      <c r="AX26" s="41" t="s">
        <v>397</v>
      </c>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1</v>
      </c>
      <c r="CV26" s="36">
        <f t="shared" si="22"/>
        <v>0</v>
      </c>
      <c r="CW26" s="36">
        <f t="shared" si="23"/>
        <v>0</v>
      </c>
      <c r="CX26" s="36">
        <f t="shared" si="24"/>
        <v>1</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t="s">
        <v>397</v>
      </c>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1</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19</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t="s">
        <v>397</v>
      </c>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1</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9</v>
      </c>
      <c r="F30" s="50"/>
      <c r="G30" s="50"/>
      <c r="H30" s="50"/>
      <c r="I30" s="22"/>
      <c r="J30" s="50"/>
      <c r="K30" s="50"/>
      <c r="L30" s="50"/>
      <c r="M30" s="50"/>
      <c r="N30" s="22"/>
      <c r="O30" s="6"/>
      <c r="P30" s="6"/>
      <c r="Q30" s="6"/>
      <c r="R30" s="6"/>
      <c r="S30" s="6"/>
      <c r="T30" s="6"/>
      <c r="U30" s="6"/>
      <c r="V30" s="6"/>
      <c r="W30" s="6"/>
      <c r="X30" s="6"/>
      <c r="Y30" s="119"/>
      <c r="Z30" s="34">
        <v>27</v>
      </c>
      <c r="AA30" s="44" t="s">
        <v>397</v>
      </c>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1</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t="s">
        <v>397</v>
      </c>
      <c r="AB33" s="42"/>
      <c r="AC33" s="42"/>
      <c r="AD33" s="42"/>
      <c r="AE33" s="41"/>
      <c r="AF33" s="42"/>
      <c r="AG33" s="42"/>
      <c r="AH33" s="41"/>
      <c r="AI33" s="42"/>
      <c r="AJ33" s="42"/>
      <c r="AK33" s="41"/>
      <c r="AL33" s="42"/>
      <c r="AM33" s="42"/>
      <c r="AN33" s="42"/>
      <c r="AO33" s="41"/>
      <c r="AP33" s="41"/>
      <c r="AQ33" s="42"/>
      <c r="AR33" s="41"/>
      <c r="AS33" s="42"/>
      <c r="AT33" s="42"/>
      <c r="AU33" s="41" t="s">
        <v>397</v>
      </c>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1</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1</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t="s">
        <v>397</v>
      </c>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1</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t="s">
        <v>397</v>
      </c>
      <c r="AB35" s="42"/>
      <c r="AC35" s="42"/>
      <c r="AD35" s="42"/>
      <c r="AE35" s="42"/>
      <c r="AF35" s="42"/>
      <c r="AG35" s="42"/>
      <c r="AH35" s="42"/>
      <c r="AI35" s="41"/>
      <c r="AJ35" s="42"/>
      <c r="AK35" s="42"/>
      <c r="AL35" s="41"/>
      <c r="AM35" s="42"/>
      <c r="AN35" s="42"/>
      <c r="AO35" s="41" t="s">
        <v>397</v>
      </c>
      <c r="AP35" s="42"/>
      <c r="AQ35" s="42"/>
      <c r="AR35" s="42"/>
      <c r="AS35" s="41"/>
      <c r="AT35" s="42"/>
      <c r="AU35" s="41"/>
      <c r="AV35" s="41"/>
      <c r="AW35" s="41"/>
      <c r="AX35" s="42"/>
      <c r="AY35" s="43" t="s">
        <v>396</v>
      </c>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1</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1</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1</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t="s">
        <v>397</v>
      </c>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1</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2E5EA-F74B-4C1E-9D04-71CFB34103CC}">
  <dimension ref="A1:Y39"/>
  <sheetViews>
    <sheetView zoomScale="41" workbookViewId="0">
      <selection activeCell="R48" sqref="R48"/>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t="str">
        <f>T2B!AU7</f>
        <v>a</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t="str">
        <f>T2B!AS8</f>
        <v>a</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t="str">
        <f>T2B!AC11</f>
        <v>a</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t="str">
        <f>T2B!AN13</f>
        <v>a</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t="str">
        <f>T2B!AA14</f>
        <v>a</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t="str">
        <f>T2B!AP15</f>
        <v>a</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t="str">
        <f>T2B!AN19</f>
        <v>f</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t="str">
        <f>T2B!AJ20</f>
        <v>a</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t="str">
        <f>T2B!AN21</f>
        <v>a</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t="str">
        <f>T2B!AV22</f>
        <v>a</v>
      </c>
      <c r="W18" t="str">
        <f>T2B!AW22</f>
        <v>a</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t="str">
        <f>T2B!AT23</f>
        <v>a</v>
      </c>
      <c r="U19" t="str">
        <f>T2B!AU23</f>
        <v>a</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t="str">
        <f>T2B!AA25</f>
        <v>a</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t="str">
        <f>T2B!AN25</f>
        <v>a</v>
      </c>
      <c r="O21" t="str">
        <f>T2B!AO25</f>
        <v>a</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t="str">
        <f>T2B!AU26</f>
        <v>a</v>
      </c>
      <c r="V22">
        <f>T2B!AV26</f>
        <v>0</v>
      </c>
      <c r="W22">
        <f>T2B!AW26</f>
        <v>0</v>
      </c>
      <c r="X22" t="str">
        <f>T2B!AX26</f>
        <v>a</v>
      </c>
      <c r="Y22">
        <f>T2B!AY26</f>
        <v>0</v>
      </c>
    </row>
    <row r="23" spans="1:25" x14ac:dyDescent="0.25">
      <c r="A23">
        <f>T2B!AA27</f>
        <v>0</v>
      </c>
      <c r="B23" t="str">
        <f>T2B!AB27</f>
        <v>a</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t="str">
        <f>T2B!AS28</f>
        <v>a</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t="str">
        <f>T2B!AA30</f>
        <v>a</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t="str">
        <f>T2B!AA33</f>
        <v>a</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t="str">
        <f>T2B!AU33</f>
        <v>a</v>
      </c>
      <c r="V29">
        <f>T2B!AV33</f>
        <v>0</v>
      </c>
      <c r="W29">
        <f>T2B!AW33</f>
        <v>0</v>
      </c>
      <c r="X29">
        <f>T2B!AX33</f>
        <v>0</v>
      </c>
      <c r="Y29">
        <f>T2B!AY33</f>
        <v>0</v>
      </c>
    </row>
    <row r="30" spans="1:25" x14ac:dyDescent="0.25">
      <c r="A30">
        <f>T2B!AA34</f>
        <v>0</v>
      </c>
      <c r="B30">
        <f>T2B!AB34</f>
        <v>0</v>
      </c>
      <c r="C30">
        <f>T2B!AC34</f>
        <v>0</v>
      </c>
      <c r="D30">
        <f>T2B!AD34</f>
        <v>0</v>
      </c>
      <c r="E30">
        <f>T2B!AE34</f>
        <v>0</v>
      </c>
      <c r="F30" t="str">
        <f>T2B!AF34</f>
        <v>a</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t="str">
        <f>T2B!AA35</f>
        <v>a</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t="str">
        <f>T2B!AO35</f>
        <v>a</v>
      </c>
      <c r="P31">
        <f>T2B!AP35</f>
        <v>0</v>
      </c>
      <c r="Q31">
        <f>T2B!AQ35</f>
        <v>0</v>
      </c>
      <c r="R31">
        <f>T2B!AR35</f>
        <v>0</v>
      </c>
      <c r="S31">
        <f>T2B!AS35</f>
        <v>0</v>
      </c>
      <c r="T31">
        <f>T2B!AT35</f>
        <v>0</v>
      </c>
      <c r="U31">
        <f>T2B!AU35</f>
        <v>0</v>
      </c>
      <c r="V31">
        <f>T2B!AV35</f>
        <v>0</v>
      </c>
      <c r="W31">
        <f>T2B!AW35</f>
        <v>0</v>
      </c>
      <c r="X31">
        <f>T2B!AX35</f>
        <v>0</v>
      </c>
      <c r="Y31" t="str">
        <f>T2B!AY35</f>
        <v>f</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t="str">
        <f>T2B!AF41</f>
        <v>a</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2023-02-22T10:31:21Z</dcterms:modified>
</cp:coreProperties>
</file>