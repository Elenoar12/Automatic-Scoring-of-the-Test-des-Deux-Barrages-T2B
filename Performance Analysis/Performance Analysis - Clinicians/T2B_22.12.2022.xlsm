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2" documentId="8_{B032A9D4-BF7D-4DD4-B7C7-2F82ACDC4F39}" xr6:coauthVersionLast="47" xr6:coauthVersionMax="47" xr10:uidLastSave="{5937F395-4E00-4751-9633-2AF67B62D9D1}"/>
  <bookViews>
    <workbookView xWindow="-113" yWindow="-113" windowWidth="24267" windowHeight="13749" activeTab="1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CZ10" i="1"/>
  <c r="J10" i="1"/>
  <c r="J13" i="1"/>
  <c r="CZ8" i="1"/>
  <c r="CZ11" i="1"/>
  <c r="DZ11" i="1"/>
  <c r="J8" i="1"/>
  <c r="DZ6" i="1"/>
  <c r="DZ9" i="1"/>
  <c r="J11" i="1"/>
  <c r="J6" i="1"/>
  <c r="J9" i="1"/>
  <c r="CZ6" i="1"/>
  <c r="CZ5" i="1"/>
  <c r="CZ13" i="1"/>
  <c r="CZ9" i="1"/>
  <c r="DZ14" i="1"/>
  <c r="J5" i="1"/>
  <c r="CZ7" i="1"/>
  <c r="DZ13" i="1"/>
  <c r="DZ8" i="1"/>
  <c r="DZ7" i="1"/>
  <c r="J14" i="1"/>
  <c r="CZ14" i="1"/>
  <c r="DZ5" i="1"/>
  <c r="CZ12" i="1"/>
  <c r="DZ12" i="1"/>
  <c r="J12" i="1"/>
  <c r="DZ10" i="1"/>
  <c r="J7" i="1"/>
  <c r="H7" i="1" l="1"/>
  <c r="H11" i="1"/>
  <c r="H14" i="1"/>
  <c r="E14" i="1" s="1"/>
  <c r="H8" i="1"/>
  <c r="E8" i="1" s="1"/>
  <c r="H12" i="1"/>
  <c r="E12" i="1" s="1"/>
  <c r="H6" i="1"/>
  <c r="E6" i="1" s="1"/>
  <c r="H10" i="1"/>
  <c r="E10" i="1" s="1"/>
  <c r="H5" i="1"/>
  <c r="N5" i="1" s="1"/>
  <c r="H9" i="1"/>
  <c r="E9" i="1" s="1"/>
  <c r="H13" i="1"/>
  <c r="G9" i="1" l="1"/>
  <c r="F9" i="1"/>
  <c r="G14" i="1"/>
  <c r="G6" i="1"/>
  <c r="F6" i="1" s="1"/>
  <c r="E11" i="1"/>
  <c r="E5" i="1"/>
  <c r="G8" i="1"/>
  <c r="F8" i="1" s="1"/>
  <c r="G10" i="1"/>
  <c r="F10" i="1" s="1"/>
  <c r="E7" i="1"/>
  <c r="N6" i="1"/>
  <c r="N7" i="1" s="1"/>
  <c r="N8" i="1" s="1"/>
  <c r="N9" i="1" s="1"/>
  <c r="N10" i="1" s="1"/>
  <c r="N11" i="1" s="1"/>
  <c r="N12" i="1" s="1"/>
  <c r="N13" i="1" s="1"/>
  <c r="N14" i="1" s="1"/>
  <c r="E26" i="1" s="1"/>
  <c r="E13" i="1"/>
  <c r="G12" i="1"/>
  <c r="F12" i="1" s="1"/>
  <c r="G13" i="1" l="1"/>
  <c r="F13" i="1" s="1"/>
  <c r="F14" i="1"/>
  <c r="G11" i="1"/>
  <c r="F11" i="1" s="1"/>
  <c r="G5" i="1"/>
  <c r="M5" i="1" s="1"/>
  <c r="M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F5" i="1"/>
  <c r="L5" i="1" s="1"/>
  <c r="L6" i="1" s="1"/>
  <c r="G7" i="1"/>
  <c r="M7" i="1" l="1"/>
  <c r="M8" i="1" s="1"/>
  <c r="M9" i="1" s="1"/>
  <c r="M10" i="1" s="1"/>
  <c r="M11" i="1" s="1"/>
  <c r="M12" i="1" s="1"/>
  <c r="M13" i="1" s="1"/>
  <c r="M14" i="1" s="1"/>
  <c r="E25" i="1" s="1"/>
  <c r="F7" i="1"/>
  <c r="L7" i="1" s="1"/>
  <c r="L8" i="1" s="1"/>
  <c r="L9" i="1" s="1"/>
  <c r="L10" i="1" s="1"/>
  <c r="L11" i="1" s="1"/>
  <c r="L12" i="1" s="1"/>
  <c r="L13" i="1" s="1"/>
  <c r="L14" i="1" s="1"/>
  <c r="E29" i="1"/>
  <c r="E28" i="1"/>
  <c r="E30" i="1" l="1"/>
  <c r="E24" i="1"/>
  <c r="E22" i="1"/>
</calcChain>
</file>

<file path=xl/sharedStrings.xml><?xml version="1.0" encoding="utf-8"?>
<sst xmlns="http://schemas.openxmlformats.org/spreadsheetml/2006/main" count="70" uniqueCount="41">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</sst>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Fantner%20Erich%20(65,%20NP,%20cf)/Fantner%20Erich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A</v>
          </cell>
        </row>
        <row r="8">
          <cell r="C8">
            <v>44914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opLeftCell="A11" workbookViewId="0">
      <selection activeCell="AA5" sqref="AA5:AY43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5</v>
      </c>
      <c r="C5" s="27">
        <v>1</v>
      </c>
      <c r="D5" s="28"/>
      <c r="E5" s="29">
        <f ca="1">IF(C5="","",J5-H5)</f>
        <v>18</v>
      </c>
      <c r="F5" s="29">
        <f t="shared" ref="F5:F14" ca="1" si="0">IF(E5="","",G5+H5)</f>
        <v>4</v>
      </c>
      <c r="G5" s="30">
        <f ca="1">IF(E5="","",DZ5)</f>
        <v>0</v>
      </c>
      <c r="H5" s="31">
        <f ca="1">IF(C5="","",CZ5)</f>
        <v>4</v>
      </c>
      <c r="I5" s="29"/>
      <c r="J5" s="29">
        <f ca="1">IF(AND($B5&gt;=1,$B5&lt;=40,$C5&gt;=1,$C5&lt;=25),IF($B5&gt;1,SUM(INDIRECT("BA4:BY"&amp;($B5+2))),0)+SUM(INDIRECT("BA"&amp;($B5+3)&amp;":B"&amp;CHAR(64+$C5)&amp;($B5+3))),0)</f>
        <v>22</v>
      </c>
      <c r="K5" s="29">
        <f ca="1">$E5</f>
        <v>18</v>
      </c>
      <c r="L5" s="29">
        <f ca="1">$F5</f>
        <v>4</v>
      </c>
      <c r="M5" s="29">
        <f ca="1">$G5</f>
        <v>0</v>
      </c>
      <c r="N5" s="29">
        <f ca="1">$H5</f>
        <v>4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 t="s">
        <v>3</v>
      </c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1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4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7</v>
      </c>
      <c r="C6" s="27">
        <v>20</v>
      </c>
      <c r="D6" s="28"/>
      <c r="E6" s="28">
        <f t="shared" ref="E6:E14" ca="1" si="7">IF(J6=J5,"",(J6-J5)-H6)</f>
        <v>17</v>
      </c>
      <c r="F6" s="28">
        <f t="shared" ca="1" si="0"/>
        <v>2</v>
      </c>
      <c r="G6" s="36">
        <f t="shared" ref="G6:G14" ca="1" si="8">IF(E6="","",DZ6-DZ5)</f>
        <v>0</v>
      </c>
      <c r="H6" s="37">
        <f t="shared" ref="H6:H14" ca="1" si="9">IF(C6="","",CZ6-CZ5)</f>
        <v>2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41</v>
      </c>
      <c r="K6" s="28">
        <f t="shared" ref="K6:K14" ca="1" si="11">IF(E6="",K5,K5+$E6)</f>
        <v>35</v>
      </c>
      <c r="L6" s="28">
        <f t="shared" ref="L6:L14" ca="1" si="12">IF(F6="",L5,L5+$F6)</f>
        <v>6</v>
      </c>
      <c r="M6" s="28">
        <f t="shared" ref="M6:M14" ca="1" si="13">IF(G6="",M5,M5+$G6)</f>
        <v>0</v>
      </c>
      <c r="N6" s="28">
        <f t="shared" ref="N6:N14" ca="1" si="14">IF(H6="",N5,N5+$H6)</f>
        <v>6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/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0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6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10</v>
      </c>
      <c r="C7" s="27">
        <v>25</v>
      </c>
      <c r="D7" s="28"/>
      <c r="E7" s="28">
        <f t="shared" ca="1" si="7"/>
        <v>15</v>
      </c>
      <c r="F7" s="28">
        <f t="shared" ca="1" si="0"/>
        <v>1</v>
      </c>
      <c r="G7" s="36">
        <f t="shared" ca="1" si="8"/>
        <v>0</v>
      </c>
      <c r="H7" s="37">
        <f t="shared" ca="1" si="9"/>
        <v>1</v>
      </c>
      <c r="I7" s="28"/>
      <c r="J7" s="28">
        <f t="shared" ca="1" si="10"/>
        <v>57</v>
      </c>
      <c r="K7" s="28">
        <f t="shared" ca="1" si="11"/>
        <v>50</v>
      </c>
      <c r="L7" s="28">
        <f t="shared" ca="1" si="12"/>
        <v>7</v>
      </c>
      <c r="M7" s="28">
        <f t="shared" ca="1" si="13"/>
        <v>0</v>
      </c>
      <c r="N7" s="28">
        <f t="shared" ca="1" si="14"/>
        <v>7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 t="s">
        <v>3</v>
      </c>
      <c r="AE7" s="33" t="s">
        <v>3</v>
      </c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/>
      <c r="AY7" s="39" t="s">
        <v>3</v>
      </c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1</v>
      </c>
      <c r="CE7" s="25">
        <f t="shared" si="1"/>
        <v>1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0</v>
      </c>
      <c r="CY7" s="25">
        <f t="shared" si="2"/>
        <v>1</v>
      </c>
      <c r="CZ7" s="25">
        <f t="shared" ca="1" si="3"/>
        <v>7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14</v>
      </c>
      <c r="C8" s="27">
        <v>13</v>
      </c>
      <c r="D8" s="28"/>
      <c r="E8" s="28">
        <f t="shared" ca="1" si="7"/>
        <v>19</v>
      </c>
      <c r="F8" s="28">
        <f t="shared" ca="1" si="0"/>
        <v>2</v>
      </c>
      <c r="G8" s="36">
        <f t="shared" ca="1" si="8"/>
        <v>0</v>
      </c>
      <c r="H8" s="37">
        <f t="shared" ca="1" si="9"/>
        <v>2</v>
      </c>
      <c r="I8" s="28"/>
      <c r="J8" s="28">
        <f t="shared" ca="1" si="10"/>
        <v>78</v>
      </c>
      <c r="K8" s="28">
        <f t="shared" ca="1" si="11"/>
        <v>69</v>
      </c>
      <c r="L8" s="28">
        <f t="shared" ca="1" si="12"/>
        <v>9</v>
      </c>
      <c r="M8" s="28">
        <f t="shared" ca="1" si="13"/>
        <v>0</v>
      </c>
      <c r="N8" s="28">
        <f t="shared" ca="1" si="14"/>
        <v>9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/>
      <c r="AC8" s="34"/>
      <c r="AD8" s="34"/>
      <c r="AE8" s="34"/>
      <c r="AF8" s="34"/>
      <c r="AG8" s="34"/>
      <c r="AH8" s="34"/>
      <c r="AI8" s="33"/>
      <c r="AJ8" s="34"/>
      <c r="AK8" s="34"/>
      <c r="AL8" s="33"/>
      <c r="AM8" s="34"/>
      <c r="AN8" s="34"/>
      <c r="AO8" s="34"/>
      <c r="AP8" s="33" t="s">
        <v>3</v>
      </c>
      <c r="AQ8" s="34"/>
      <c r="AR8" s="34"/>
      <c r="AS8" s="33"/>
      <c r="AT8" s="34"/>
      <c r="AU8" s="34"/>
      <c r="AV8" s="33"/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0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0</v>
      </c>
      <c r="CJ8" s="25">
        <f t="shared" si="1"/>
        <v>0</v>
      </c>
      <c r="CK8" s="25">
        <f t="shared" si="1"/>
        <v>0</v>
      </c>
      <c r="CL8" s="25">
        <f t="shared" si="1"/>
        <v>0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1</v>
      </c>
      <c r="CQ8" s="25">
        <f t="shared" si="2"/>
        <v>0</v>
      </c>
      <c r="CR8" s="25">
        <f t="shared" si="2"/>
        <v>0</v>
      </c>
      <c r="CS8" s="25">
        <f t="shared" si="2"/>
        <v>0</v>
      </c>
      <c r="CT8" s="25">
        <f t="shared" si="2"/>
        <v>0</v>
      </c>
      <c r="CU8" s="25">
        <f t="shared" si="2"/>
        <v>0</v>
      </c>
      <c r="CV8" s="25">
        <f t="shared" si="2"/>
        <v>0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9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17</v>
      </c>
      <c r="C9" s="27">
        <v>15</v>
      </c>
      <c r="D9" s="28"/>
      <c r="E9" s="28">
        <f t="shared" ca="1" si="7"/>
        <v>16</v>
      </c>
      <c r="F9" s="28">
        <f t="shared" ca="1" si="0"/>
        <v>1</v>
      </c>
      <c r="G9" s="36">
        <f t="shared" ca="1" si="8"/>
        <v>0</v>
      </c>
      <c r="H9" s="37">
        <f t="shared" ca="1" si="9"/>
        <v>1</v>
      </c>
      <c r="I9" s="28"/>
      <c r="J9" s="28">
        <f t="shared" ca="1" si="10"/>
        <v>95</v>
      </c>
      <c r="K9" s="28">
        <f t="shared" ca="1" si="11"/>
        <v>85</v>
      </c>
      <c r="L9" s="28">
        <f t="shared" ca="1" si="12"/>
        <v>10</v>
      </c>
      <c r="M9" s="28">
        <f t="shared" ca="1" si="13"/>
        <v>0</v>
      </c>
      <c r="N9" s="28">
        <f t="shared" ca="1" si="14"/>
        <v>10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/>
      <c r="AU9" s="33"/>
      <c r="AV9" s="34"/>
      <c r="AW9" s="34"/>
      <c r="AX9" s="34"/>
      <c r="AY9" s="39" t="s">
        <v>3</v>
      </c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0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1</v>
      </c>
      <c r="CZ9" s="25">
        <f t="shared" ca="1" si="3"/>
        <v>10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21</v>
      </c>
      <c r="C10" s="27">
        <v>7</v>
      </c>
      <c r="D10" s="28"/>
      <c r="E10" s="28">
        <f t="shared" ca="1" si="7"/>
        <v>20</v>
      </c>
      <c r="F10" s="28">
        <f t="shared" ca="1" si="0"/>
        <v>2</v>
      </c>
      <c r="G10" s="36">
        <f t="shared" ca="1" si="8"/>
        <v>0</v>
      </c>
      <c r="H10" s="37">
        <f t="shared" ca="1" si="9"/>
        <v>2</v>
      </c>
      <c r="I10" s="28"/>
      <c r="J10" s="28">
        <f t="shared" ca="1" si="10"/>
        <v>117</v>
      </c>
      <c r="K10" s="28">
        <f t="shared" ca="1" si="11"/>
        <v>105</v>
      </c>
      <c r="L10" s="28">
        <f t="shared" ca="1" si="12"/>
        <v>12</v>
      </c>
      <c r="M10" s="28">
        <f t="shared" ca="1" si="13"/>
        <v>0</v>
      </c>
      <c r="N10" s="28">
        <f t="shared" ca="1" si="14"/>
        <v>12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12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0</v>
      </c>
    </row>
    <row r="11" spans="1:130" x14ac:dyDescent="0.25">
      <c r="A11" s="16">
        <v>7</v>
      </c>
      <c r="B11" s="26">
        <v>24</v>
      </c>
      <c r="C11" s="27">
        <v>25</v>
      </c>
      <c r="D11" s="28"/>
      <c r="E11" s="28">
        <f t="shared" ca="1" si="7"/>
        <v>21</v>
      </c>
      <c r="F11" s="28">
        <f t="shared" ca="1" si="0"/>
        <v>4</v>
      </c>
      <c r="G11" s="36">
        <f t="shared" ca="1" si="8"/>
        <v>1</v>
      </c>
      <c r="H11" s="37">
        <f t="shared" ca="1" si="9"/>
        <v>3</v>
      </c>
      <c r="I11" s="28"/>
      <c r="J11" s="28">
        <f t="shared" ca="1" si="10"/>
        <v>141</v>
      </c>
      <c r="K11" s="28">
        <f t="shared" ca="1" si="11"/>
        <v>126</v>
      </c>
      <c r="L11" s="28">
        <f t="shared" ca="1" si="12"/>
        <v>16</v>
      </c>
      <c r="M11" s="28">
        <f t="shared" ca="1" si="13"/>
        <v>1</v>
      </c>
      <c r="N11" s="28">
        <f t="shared" ca="1" si="14"/>
        <v>15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/>
      <c r="AN11" s="34"/>
      <c r="AO11" s="33"/>
      <c r="AP11" s="34"/>
      <c r="AQ11" s="34"/>
      <c r="AR11" s="33"/>
      <c r="AS11" s="34"/>
      <c r="AT11" s="34"/>
      <c r="AU11" s="34"/>
      <c r="AV11" s="34"/>
      <c r="AW11" s="33"/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0</v>
      </c>
      <c r="CN11" s="25">
        <f t="shared" si="1"/>
        <v>0</v>
      </c>
      <c r="CO11" s="25">
        <f t="shared" si="1"/>
        <v>0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0</v>
      </c>
      <c r="CX11" s="25">
        <f t="shared" si="2"/>
        <v>0</v>
      </c>
      <c r="CY11" s="25">
        <f t="shared" si="2"/>
        <v>0</v>
      </c>
      <c r="CZ11" s="25">
        <f t="shared" ca="1" si="3"/>
        <v>15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1</v>
      </c>
    </row>
    <row r="12" spans="1:130" x14ac:dyDescent="0.25">
      <c r="A12" s="16">
        <v>8</v>
      </c>
      <c r="B12" s="26">
        <v>28</v>
      </c>
      <c r="C12" s="27">
        <v>16</v>
      </c>
      <c r="D12" s="28"/>
      <c r="E12" s="28">
        <f t="shared" ca="1" si="7"/>
        <v>19</v>
      </c>
      <c r="F12" s="28">
        <f t="shared" ca="1" si="0"/>
        <v>8</v>
      </c>
      <c r="G12" s="36">
        <f t="shared" ca="1" si="8"/>
        <v>2</v>
      </c>
      <c r="H12" s="37">
        <f t="shared" ca="1" si="9"/>
        <v>6</v>
      </c>
      <c r="I12" s="28"/>
      <c r="J12" s="28">
        <f t="shared" ca="1" si="10"/>
        <v>166</v>
      </c>
      <c r="K12" s="28">
        <f t="shared" ca="1" si="11"/>
        <v>145</v>
      </c>
      <c r="L12" s="28">
        <f t="shared" ca="1" si="12"/>
        <v>24</v>
      </c>
      <c r="M12" s="28">
        <f t="shared" ca="1" si="13"/>
        <v>3</v>
      </c>
      <c r="N12" s="28">
        <f t="shared" ca="1" si="14"/>
        <v>21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21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3</v>
      </c>
    </row>
    <row r="13" spans="1:130" x14ac:dyDescent="0.25">
      <c r="A13" s="16">
        <v>9</v>
      </c>
      <c r="B13" s="26">
        <v>32</v>
      </c>
      <c r="C13" s="27">
        <v>8</v>
      </c>
      <c r="D13" s="28"/>
      <c r="E13" s="28">
        <f t="shared" ca="1" si="7"/>
        <v>15</v>
      </c>
      <c r="F13" s="28">
        <f t="shared" ca="1" si="0"/>
        <v>4</v>
      </c>
      <c r="G13" s="36">
        <f t="shared" ca="1" si="8"/>
        <v>0</v>
      </c>
      <c r="H13" s="37">
        <f t="shared" ca="1" si="9"/>
        <v>4</v>
      </c>
      <c r="I13" s="28"/>
      <c r="J13" s="28">
        <f t="shared" ca="1" si="10"/>
        <v>185</v>
      </c>
      <c r="K13" s="28">
        <f t="shared" ca="1" si="11"/>
        <v>160</v>
      </c>
      <c r="L13" s="28">
        <f t="shared" ca="1" si="12"/>
        <v>28</v>
      </c>
      <c r="M13" s="28">
        <f t="shared" ca="1" si="13"/>
        <v>3</v>
      </c>
      <c r="N13" s="28">
        <f t="shared" ca="1" si="14"/>
        <v>25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 t="s">
        <v>3</v>
      </c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1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25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3</v>
      </c>
    </row>
    <row r="14" spans="1:130" x14ac:dyDescent="0.25">
      <c r="A14" s="16">
        <v>10</v>
      </c>
      <c r="B14" s="26">
        <v>35</v>
      </c>
      <c r="C14" s="27">
        <v>15</v>
      </c>
      <c r="D14" s="40"/>
      <c r="E14" s="41">
        <f t="shared" ca="1" si="7"/>
        <v>24</v>
      </c>
      <c r="F14" s="41">
        <f t="shared" ca="1" si="0"/>
        <v>1</v>
      </c>
      <c r="G14" s="42">
        <f t="shared" ca="1" si="8"/>
        <v>0</v>
      </c>
      <c r="H14" s="43">
        <f t="shared" ca="1" si="9"/>
        <v>1</v>
      </c>
      <c r="I14" s="41"/>
      <c r="J14" s="43">
        <f t="shared" ca="1" si="10"/>
        <v>210</v>
      </c>
      <c r="K14" s="44">
        <f t="shared" ca="1" si="11"/>
        <v>184</v>
      </c>
      <c r="L14" s="44">
        <f t="shared" ca="1" si="12"/>
        <v>29</v>
      </c>
      <c r="M14" s="44">
        <f t="shared" ca="1" si="13"/>
        <v>3</v>
      </c>
      <c r="N14" s="44">
        <f t="shared" ca="1" si="14"/>
        <v>26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 t="s">
        <v>3</v>
      </c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1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26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3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/>
      <c r="AS15" s="33"/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0</v>
      </c>
      <c r="CS15" s="25">
        <f t="shared" si="2"/>
        <v>0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 t="s">
        <v>3</v>
      </c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1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 t="s">
        <v>3</v>
      </c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1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A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44914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/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/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0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0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13.80952380952381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 t="s">
        <v>3</v>
      </c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1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18.399999999999999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 t="s">
        <v>3</v>
      </c>
      <c r="AF23" s="34"/>
      <c r="AG23" s="34"/>
      <c r="AH23" s="33"/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1</v>
      </c>
      <c r="CF23" s="25">
        <f t="shared" si="17"/>
        <v>0</v>
      </c>
      <c r="CG23" s="25">
        <f t="shared" si="17"/>
        <v>0</v>
      </c>
      <c r="CH23" s="25">
        <f t="shared" si="17"/>
        <v>0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2.9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 t="s">
        <v>3</v>
      </c>
      <c r="AS24" s="34"/>
      <c r="AT24" s="34"/>
      <c r="AU24" s="34"/>
      <c r="AV24" s="33"/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1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0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0.3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 t="s">
        <v>3</v>
      </c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1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2.6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/>
      <c r="AP26" s="34"/>
      <c r="AQ26" s="33"/>
      <c r="AR26" s="34"/>
      <c r="AS26" s="34"/>
      <c r="AT26" s="34"/>
      <c r="AU26" s="33"/>
      <c r="AV26" s="34"/>
      <c r="AW26" s="34"/>
      <c r="AX26" s="33"/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0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0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 t="s">
        <v>2</v>
      </c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/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0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1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15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 t="s">
        <v>3</v>
      </c>
      <c r="AM28" s="34"/>
      <c r="AN28" s="34"/>
      <c r="AO28" s="34"/>
      <c r="AP28" s="34"/>
      <c r="AQ28" s="34"/>
      <c r="AR28" s="34"/>
      <c r="AS28" s="33" t="s">
        <v>3</v>
      </c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1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1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24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 t="s">
        <v>3</v>
      </c>
      <c r="AE29" s="34"/>
      <c r="AF29" s="34"/>
      <c r="AG29" s="34"/>
      <c r="AH29" s="33"/>
      <c r="AI29" s="34"/>
      <c r="AJ29" s="34"/>
      <c r="AK29" s="33"/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1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0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9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/>
      <c r="AF30" s="33"/>
      <c r="AG30" s="34"/>
      <c r="AH30" s="34"/>
      <c r="AI30" s="34"/>
      <c r="AJ30" s="33" t="s">
        <v>3</v>
      </c>
      <c r="AK30" s="34"/>
      <c r="AL30" s="34"/>
      <c r="AM30" s="34"/>
      <c r="AN30" s="34"/>
      <c r="AO30" s="34"/>
      <c r="AP30" s="33" t="s">
        <v>3</v>
      </c>
      <c r="AQ30" s="34"/>
      <c r="AR30" s="34"/>
      <c r="AS30" s="34"/>
      <c r="AT30" s="33"/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0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1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1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0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 t="s">
        <v>3</v>
      </c>
      <c r="AH31" s="34"/>
      <c r="AI31" s="34"/>
      <c r="AJ31" s="33"/>
      <c r="AK31" s="34"/>
      <c r="AL31" s="34" t="s">
        <v>2</v>
      </c>
      <c r="AM31" s="34" t="s">
        <v>2</v>
      </c>
      <c r="AN31" s="34"/>
      <c r="AO31" s="34"/>
      <c r="AP31" s="34"/>
      <c r="AQ31" s="34"/>
      <c r="AR31" s="33" t="s">
        <v>3</v>
      </c>
      <c r="AS31" s="34"/>
      <c r="AT31" s="34"/>
      <c r="AU31" s="34"/>
      <c r="AV31" s="34"/>
      <c r="AW31" s="33"/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1</v>
      </c>
      <c r="CH31" s="25">
        <f t="shared" si="17"/>
        <v>0</v>
      </c>
      <c r="CI31" s="25">
        <f t="shared" si="17"/>
        <v>0</v>
      </c>
      <c r="CJ31" s="25">
        <f t="shared" si="17"/>
        <v>0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1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0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1</v>
      </c>
      <c r="DM31" s="25">
        <f t="shared" si="18"/>
        <v>1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 t="s">
        <v>3</v>
      </c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1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 t="s">
        <v>3</v>
      </c>
      <c r="AB33" s="34"/>
      <c r="AC33" s="34"/>
      <c r="AD33" s="34"/>
      <c r="AE33" s="33"/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1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0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 t="s">
        <v>3</v>
      </c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1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 t="s">
        <v>3</v>
      </c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1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0BAE-358F-4AF3-9C80-7545AE0B1030}">
  <dimension ref="A1:Y39"/>
  <sheetViews>
    <sheetView tabSelected="1" zoomScale="75" workbookViewId="0">
      <selection sqref="A1:Y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 t="str">
        <f>T2B!AC5</f>
        <v>a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>
        <f>T2B!AK6</f>
        <v>0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 t="str">
        <f>T2B!AD7</f>
        <v>a</v>
      </c>
      <c r="E3" t="str">
        <f>T2B!AE7</f>
        <v>a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>
        <f>T2B!AX7</f>
        <v>0</v>
      </c>
      <c r="Y3" t="str">
        <f>T2B!AY7</f>
        <v>a</v>
      </c>
    </row>
    <row r="4" spans="1:25" x14ac:dyDescent="0.2">
      <c r="A4">
        <f>T2B!AA8</f>
        <v>0</v>
      </c>
      <c r="B4">
        <f>T2B!AB8</f>
        <v>0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>
        <f>T2B!AI8</f>
        <v>0</v>
      </c>
      <c r="J4">
        <f>T2B!AJ8</f>
        <v>0</v>
      </c>
      <c r="K4">
        <f>T2B!AK8</f>
        <v>0</v>
      </c>
      <c r="L4">
        <f>T2B!AL8</f>
        <v>0</v>
      </c>
      <c r="M4">
        <f>T2B!AM8</f>
        <v>0</v>
      </c>
      <c r="N4">
        <f>T2B!AN8</f>
        <v>0</v>
      </c>
      <c r="O4">
        <f>T2B!AO8</f>
        <v>0</v>
      </c>
      <c r="P4" t="str">
        <f>T2B!AP8</f>
        <v>a</v>
      </c>
      <c r="Q4">
        <f>T2B!AQ8</f>
        <v>0</v>
      </c>
      <c r="R4">
        <f>T2B!AR8</f>
        <v>0</v>
      </c>
      <c r="S4">
        <f>T2B!AS8</f>
        <v>0</v>
      </c>
      <c r="T4">
        <f>T2B!AT8</f>
        <v>0</v>
      </c>
      <c r="U4">
        <f>T2B!AU8</f>
        <v>0</v>
      </c>
      <c r="V4">
        <f>T2B!AV8</f>
        <v>0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>
        <f>T2B!AT9</f>
        <v>0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 t="str">
        <f>T2B!AY9</f>
        <v>a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>
        <f>T2B!AM11</f>
        <v>0</v>
      </c>
      <c r="N7">
        <f>T2B!AN11</f>
        <v>0</v>
      </c>
      <c r="O7">
        <f>T2B!AO11</f>
        <v>0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>
        <f>T2B!AW11</f>
        <v>0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 t="str">
        <f>T2B!AN13</f>
        <v>a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 t="str">
        <f>T2B!AO14</f>
        <v>a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>
        <f>T2B!AR15</f>
        <v>0</v>
      </c>
      <c r="S11">
        <f>T2B!AS15</f>
        <v>0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 t="str">
        <f>T2B!AC16</f>
        <v>a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 t="str">
        <f>T2B!AW17</f>
        <v>a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>
        <f>T2B!AH21</f>
        <v>0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>
        <f>T2B!AV21</f>
        <v>0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 t="str">
        <f>T2B!AW22</f>
        <v>a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 t="str">
        <f>T2B!AE23</f>
        <v>a</v>
      </c>
      <c r="F19">
        <f>T2B!AF23</f>
        <v>0</v>
      </c>
      <c r="G19">
        <f>T2B!AG23</f>
        <v>0</v>
      </c>
      <c r="H19">
        <f>T2B!AH23</f>
        <v>0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 t="str">
        <f>T2B!AR24</f>
        <v>a</v>
      </c>
      <c r="S20">
        <f>T2B!AS24</f>
        <v>0</v>
      </c>
      <c r="T20">
        <f>T2B!AT24</f>
        <v>0</v>
      </c>
      <c r="U20">
        <f>T2B!AU24</f>
        <v>0</v>
      </c>
      <c r="V20">
        <f>T2B!AV24</f>
        <v>0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 t="str">
        <f>T2B!AR25</f>
        <v>a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>
        <f>T2B!AO26</f>
        <v>0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>
        <f>T2B!AX26</f>
        <v>0</v>
      </c>
      <c r="Y22">
        <f>T2B!AY26</f>
        <v>0</v>
      </c>
    </row>
    <row r="23" spans="1:25" x14ac:dyDescent="0.2">
      <c r="A23" t="str">
        <f>T2B!AA27</f>
        <v>f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>
        <f>T2B!AP27</f>
        <v>0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 t="str">
        <f>T2B!AL28</f>
        <v>a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 t="str">
        <f>T2B!AS28</f>
        <v>a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 t="str">
        <f>T2B!AD29</f>
        <v>a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>
        <f>T2B!AK29</f>
        <v>0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>
        <f>T2B!AE30</f>
        <v>0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 t="str">
        <f>T2B!AJ30</f>
        <v>a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 t="str">
        <f>T2B!AP30</f>
        <v>a</v>
      </c>
      <c r="Q26">
        <f>T2B!AQ30</f>
        <v>0</v>
      </c>
      <c r="R26">
        <f>T2B!AR30</f>
        <v>0</v>
      </c>
      <c r="S26">
        <f>T2B!AS30</f>
        <v>0</v>
      </c>
      <c r="T26">
        <f>T2B!AT30</f>
        <v>0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 t="str">
        <f>T2B!AG31</f>
        <v>a</v>
      </c>
      <c r="H27">
        <f>T2B!AH31</f>
        <v>0</v>
      </c>
      <c r="I27">
        <f>T2B!AI31</f>
        <v>0</v>
      </c>
      <c r="J27">
        <f>T2B!AJ31</f>
        <v>0</v>
      </c>
      <c r="K27">
        <f>T2B!AK31</f>
        <v>0</v>
      </c>
      <c r="L27" t="str">
        <f>T2B!AL31</f>
        <v>f</v>
      </c>
      <c r="M27" t="str">
        <f>T2B!AM31</f>
        <v>f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 t="str">
        <f>T2B!AR31</f>
        <v>a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>
        <f>T2B!AW31</f>
        <v>0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 t="str">
        <f>T2B!AH32</f>
        <v>a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 t="str">
        <f>T2B!AA33</f>
        <v>a</v>
      </c>
      <c r="B29">
        <f>T2B!AB33</f>
        <v>0</v>
      </c>
      <c r="C29">
        <f>T2B!AC33</f>
        <v>0</v>
      </c>
      <c r="D29">
        <f>T2B!AD33</f>
        <v>0</v>
      </c>
      <c r="E29">
        <f>T2B!AE33</f>
        <v>0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 t="str">
        <f>T2B!AQ34</f>
        <v>a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 t="str">
        <f>T2B!AX36</f>
        <v>a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2023-02-06T13:04:01Z</dcterms:created>
  <dcterms:modified xsi:type="dcterms:W3CDTF">2023-03-17T15:00:40Z</dcterms:modified>
</cp:coreProperties>
</file>