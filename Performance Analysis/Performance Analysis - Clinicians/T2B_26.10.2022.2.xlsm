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14" documentId="8_{53B713BC-22C6-407D-B0A6-EA254AEB0D83}" xr6:coauthVersionLast="47" xr6:coauthVersionMax="47" xr10:uidLastSave="{C0BE7BEE-65A2-4C3E-8A2A-2C0FBB913F71}"/>
  <bookViews>
    <workbookView xWindow="2892" yWindow="2892" windowWidth="17280" windowHeight="9372"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DZ7" i="13"/>
  <c r="CZ13" i="13"/>
  <c r="DZ8" i="13"/>
  <c r="CZ5" i="13"/>
  <c r="DZ13" i="13"/>
  <c r="J5" i="13"/>
  <c r="CZ10" i="13"/>
  <c r="DZ12" i="13"/>
  <c r="DZ5" i="13"/>
  <c r="CZ7" i="13"/>
  <c r="CZ8" i="13"/>
  <c r="DZ14" i="13"/>
  <c r="DZ11" i="13"/>
  <c r="DZ10" i="13"/>
  <c r="CZ11" i="13"/>
  <c r="CZ6" i="13"/>
  <c r="CZ9" i="13"/>
  <c r="DZ6" i="13"/>
  <c r="DZ9" i="13"/>
  <c r="CZ14" i="13"/>
  <c r="CZ12"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J185" i="1"/>
  <c r="M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S1157" i="1"/>
  <c r="H148" i="1" s="1"/>
  <c r="S1144" i="1"/>
  <c r="H132" i="1" s="1"/>
  <c r="H73" i="1"/>
  <c r="S1095" i="1"/>
  <c r="J7" i="13"/>
  <c r="J187" i="1" l="1"/>
  <c r="I18" i="1"/>
  <c r="I60" i="1"/>
  <c r="I188" i="1"/>
  <c r="J125" i="1"/>
  <c r="K137" i="1"/>
  <c r="K188" i="1"/>
  <c r="K125" i="1"/>
  <c r="L60" i="1"/>
  <c r="L189" i="1"/>
  <c r="L188" i="1"/>
  <c r="J182"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I116" i="1" l="1"/>
  <c r="J116" i="1"/>
  <c r="K116" i="1"/>
</calcChain>
</file>

<file path=xl/sharedStrings.xml><?xml version="1.0" encoding="utf-8"?>
<sst xmlns="http://schemas.openxmlformats.org/spreadsheetml/2006/main" count="2022" uniqueCount="400">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</sst>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33171" y="451003"/>
          <a:ext cx="1971790" cy="31409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3" zoomScale="83"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25</v>
      </c>
      <c r="D5" s="22"/>
      <c r="E5" s="126">
        <f ca="1">IF(C5="","",J5-H5)</f>
        <v>28</v>
      </c>
      <c r="F5" s="126">
        <f t="shared" ref="F5:F14" ca="1" si="0">IF(E5="","",G5+H5)</f>
        <v>0</v>
      </c>
      <c r="G5" s="128">
        <f ca="1">IF(E5="","",DZ5)</f>
        <v>0</v>
      </c>
      <c r="H5" s="129">
        <f ca="1">IF(C5="","",CZ5)</f>
        <v>0</v>
      </c>
      <c r="I5" s="126"/>
      <c r="J5" s="126">
        <f ca="1">IF(AND($B5&gt;=1,$B5&lt;=40,$C5&gt;=1,$C5&lt;=25),IF($B5&gt;1,SUM(INDIRECT("BA4:BY"&amp;($B5+2))),0)+SUM(INDIRECT("BA"&amp;($B5+3)&amp;":B"&amp;CHAR(64+$C5)&amp;($B5+3))),0)</f>
        <v>28</v>
      </c>
      <c r="K5" s="126">
        <f ca="1">$E5</f>
        <v>28</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10</v>
      </c>
      <c r="D6" s="22"/>
      <c r="E6" s="22">
        <f t="shared" ref="E6:E14" ca="1" si="53">IF(J6=J5,"",(J6-J5)-H6)</f>
        <v>22</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50</v>
      </c>
      <c r="K6" s="22">
        <f t="shared" ref="K6:K14" ca="1" si="57">IF(E6="",K5,K5+$E6)</f>
        <v>50</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10</v>
      </c>
      <c r="D7" s="22"/>
      <c r="E7" s="22">
        <f t="shared" ca="1" si="53"/>
        <v>21</v>
      </c>
      <c r="F7" s="22">
        <f t="shared" ca="1" si="0"/>
        <v>1</v>
      </c>
      <c r="G7" s="130">
        <f t="shared" ca="1" si="54"/>
        <v>0</v>
      </c>
      <c r="H7" s="131">
        <f t="shared" ca="1" si="55"/>
        <v>1</v>
      </c>
      <c r="I7" s="22"/>
      <c r="J7" s="22">
        <f t="shared" ca="1" si="56"/>
        <v>72</v>
      </c>
      <c r="K7" s="22">
        <f t="shared" ca="1" si="57"/>
        <v>71</v>
      </c>
      <c r="L7" s="22">
        <f t="shared" ca="1" si="58"/>
        <v>1</v>
      </c>
      <c r="M7" s="22">
        <f t="shared" ca="1" si="59"/>
        <v>0</v>
      </c>
      <c r="N7" s="22">
        <f t="shared" ca="1" si="60"/>
        <v>1</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1</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16</v>
      </c>
      <c r="C8" s="39">
        <v>25</v>
      </c>
      <c r="D8" s="22"/>
      <c r="E8" s="22">
        <f t="shared" ca="1" si="53"/>
        <v>19</v>
      </c>
      <c r="F8" s="22">
        <f t="shared" ca="1" si="0"/>
        <v>0</v>
      </c>
      <c r="G8" s="130">
        <f t="shared" ca="1" si="54"/>
        <v>0</v>
      </c>
      <c r="H8" s="131">
        <f t="shared" ca="1" si="55"/>
        <v>0</v>
      </c>
      <c r="I8" s="22"/>
      <c r="J8" s="22">
        <f t="shared" ca="1" si="56"/>
        <v>91</v>
      </c>
      <c r="K8" s="22">
        <f t="shared" ca="1" si="57"/>
        <v>90</v>
      </c>
      <c r="L8" s="22">
        <f t="shared" ca="1" si="58"/>
        <v>1</v>
      </c>
      <c r="M8" s="22">
        <f t="shared" ca="1" si="59"/>
        <v>0</v>
      </c>
      <c r="N8" s="22">
        <f t="shared" ca="1" si="60"/>
        <v>1</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1</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21</v>
      </c>
      <c r="C9" s="39">
        <v>5</v>
      </c>
      <c r="D9" s="22"/>
      <c r="E9" s="22">
        <f t="shared" ca="1" si="53"/>
        <v>24</v>
      </c>
      <c r="F9" s="22">
        <f t="shared" ca="1" si="0"/>
        <v>1</v>
      </c>
      <c r="G9" s="130">
        <f t="shared" ca="1" si="54"/>
        <v>0</v>
      </c>
      <c r="H9" s="131">
        <f t="shared" ca="1" si="55"/>
        <v>1</v>
      </c>
      <c r="I9" s="22"/>
      <c r="J9" s="22">
        <f t="shared" ca="1" si="56"/>
        <v>116</v>
      </c>
      <c r="K9" s="22">
        <f t="shared" ca="1" si="57"/>
        <v>114</v>
      </c>
      <c r="L9" s="22">
        <f t="shared" ca="1" si="58"/>
        <v>2</v>
      </c>
      <c r="M9" s="22">
        <f t="shared" ca="1" si="59"/>
        <v>0</v>
      </c>
      <c r="N9" s="22">
        <f t="shared" ca="1" si="60"/>
        <v>2</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2</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25</v>
      </c>
      <c r="C10" s="39">
        <v>22</v>
      </c>
      <c r="D10" s="22"/>
      <c r="E10" s="22">
        <f t="shared" ca="1" si="53"/>
        <v>27</v>
      </c>
      <c r="F10" s="22">
        <f t="shared" ca="1" si="0"/>
        <v>3</v>
      </c>
      <c r="G10" s="130">
        <f t="shared" ca="1" si="54"/>
        <v>0</v>
      </c>
      <c r="H10" s="131">
        <f t="shared" ca="1" si="55"/>
        <v>3</v>
      </c>
      <c r="I10" s="22"/>
      <c r="J10" s="22">
        <f t="shared" ca="1" si="56"/>
        <v>146</v>
      </c>
      <c r="K10" s="22">
        <f t="shared" ca="1" si="57"/>
        <v>141</v>
      </c>
      <c r="L10" s="22">
        <f t="shared" ca="1" si="58"/>
        <v>5</v>
      </c>
      <c r="M10" s="22">
        <f t="shared" ca="1" si="59"/>
        <v>0</v>
      </c>
      <c r="N10" s="22">
        <f t="shared" ca="1" si="60"/>
        <v>5</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5</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29</v>
      </c>
      <c r="C11" s="39">
        <v>17</v>
      </c>
      <c r="D11" s="22"/>
      <c r="E11" s="22">
        <f t="shared" ca="1" si="53"/>
        <v>24</v>
      </c>
      <c r="F11" s="22">
        <f t="shared" ca="1" si="0"/>
        <v>0</v>
      </c>
      <c r="G11" s="130">
        <f t="shared" ca="1" si="54"/>
        <v>0</v>
      </c>
      <c r="H11" s="131">
        <f t="shared" ca="1" si="55"/>
        <v>0</v>
      </c>
      <c r="I11" s="22"/>
      <c r="J11" s="22">
        <f t="shared" ca="1" si="56"/>
        <v>170</v>
      </c>
      <c r="K11" s="22">
        <f t="shared" ca="1" si="57"/>
        <v>165</v>
      </c>
      <c r="L11" s="22">
        <f t="shared" ca="1" si="58"/>
        <v>5</v>
      </c>
      <c r="M11" s="22">
        <f t="shared" ca="1" si="59"/>
        <v>0</v>
      </c>
      <c r="N11" s="22">
        <f t="shared" ca="1" si="60"/>
        <v>5</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5</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33</v>
      </c>
      <c r="C12" s="39">
        <v>5</v>
      </c>
      <c r="D12" s="22"/>
      <c r="E12" s="22">
        <f t="shared" ca="1" si="53"/>
        <v>24</v>
      </c>
      <c r="F12" s="22">
        <f t="shared" ca="1" si="0"/>
        <v>0</v>
      </c>
      <c r="G12" s="130">
        <f t="shared" ca="1" si="54"/>
        <v>0</v>
      </c>
      <c r="H12" s="131">
        <f t="shared" ca="1" si="55"/>
        <v>0</v>
      </c>
      <c r="I12" s="22"/>
      <c r="J12" s="22">
        <f t="shared" ca="1" si="56"/>
        <v>194</v>
      </c>
      <c r="K12" s="22">
        <f t="shared" ca="1" si="57"/>
        <v>189</v>
      </c>
      <c r="L12" s="22">
        <f t="shared" ca="1" si="58"/>
        <v>5</v>
      </c>
      <c r="M12" s="22">
        <f t="shared" ca="1" si="59"/>
        <v>0</v>
      </c>
      <c r="N12" s="22">
        <f t="shared" ca="1" si="60"/>
        <v>5</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5</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37</v>
      </c>
      <c r="C13" s="39">
        <v>25</v>
      </c>
      <c r="D13" s="22"/>
      <c r="E13" s="22">
        <f t="shared" ca="1" si="53"/>
        <v>24</v>
      </c>
      <c r="F13" s="22">
        <f t="shared" ca="1" si="0"/>
        <v>1</v>
      </c>
      <c r="G13" s="130">
        <f t="shared" ca="1" si="54"/>
        <v>0</v>
      </c>
      <c r="H13" s="131">
        <f t="shared" ca="1" si="55"/>
        <v>1</v>
      </c>
      <c r="I13" s="22"/>
      <c r="J13" s="22">
        <f t="shared" ca="1" si="56"/>
        <v>219</v>
      </c>
      <c r="K13" s="22">
        <f t="shared" ca="1" si="57"/>
        <v>213</v>
      </c>
      <c r="L13" s="22">
        <f t="shared" ca="1" si="58"/>
        <v>6</v>
      </c>
      <c r="M13" s="22">
        <f t="shared" ca="1" si="59"/>
        <v>0</v>
      </c>
      <c r="N13" s="22">
        <f t="shared" ca="1" si="60"/>
        <v>6</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6</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21</v>
      </c>
      <c r="F14" s="47">
        <f t="shared" ca="1" si="0"/>
        <v>1</v>
      </c>
      <c r="G14" s="48">
        <f t="shared" ca="1" si="54"/>
        <v>0</v>
      </c>
      <c r="H14" s="49">
        <f t="shared" ca="1" si="55"/>
        <v>1</v>
      </c>
      <c r="I14" s="47"/>
      <c r="J14" s="49">
        <f t="shared" ca="1" si="56"/>
        <v>241</v>
      </c>
      <c r="K14" s="127">
        <f t="shared" ca="1" si="57"/>
        <v>234</v>
      </c>
      <c r="L14" s="127">
        <f t="shared" ca="1" si="58"/>
        <v>7</v>
      </c>
      <c r="M14" s="127">
        <f t="shared" ca="1" si="59"/>
        <v>0</v>
      </c>
      <c r="N14" s="127">
        <f t="shared" ca="1" si="60"/>
        <v>7</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7</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t="s">
        <v>397</v>
      </c>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1</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t="s">
        <v>397</v>
      </c>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1</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2.904564315352697</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23.4</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0.7</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t="s">
        <v>397</v>
      </c>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1</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0.7</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t="s">
        <v>397</v>
      </c>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1</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t="s">
        <v>397</v>
      </c>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1</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19</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28</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9</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t="s">
        <v>397</v>
      </c>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1</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t="s">
        <v>397</v>
      </c>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1</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D146D-6D01-417A-8164-E54D6A4FE404}">
  <dimension ref="A1:Y39"/>
  <sheetViews>
    <sheetView zoomScale="33" workbookViewId="0">
      <selection activeCell="W59" sqref="W5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t="str">
        <f>T2B!AC16</f>
        <v>a</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t="str">
        <f>T2B!AJ20</f>
        <v>a</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t="str">
        <f>T2B!AU25</f>
        <v>a</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t="str">
        <f>T2B!AO26</f>
        <v>a</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t="str">
        <f>T2B!AP27</f>
        <v>a</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t="str">
        <f>T2B!AK38</f>
        <v>a</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t="str">
        <f>T2B!AE42</f>
        <v>a</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2023-02-22T10:31:40Z</dcterms:modified>
</cp:coreProperties>
</file>