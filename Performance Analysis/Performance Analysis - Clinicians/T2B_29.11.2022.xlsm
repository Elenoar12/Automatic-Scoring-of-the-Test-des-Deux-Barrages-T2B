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 clinicians/"/>
    </mc:Choice>
  </mc:AlternateContent>
  <xr:revisionPtr revIDLastSave="57" documentId="8_{CE4BAFD1-D932-4357-9A9B-767394E7E7C3}" xr6:coauthVersionLast="47" xr6:coauthVersionMax="47" xr10:uidLastSave="{647C8F9D-AE02-4F63-A04A-59FE8C43536C}"/>
  <bookViews>
    <workbookView xWindow="-108" yWindow="-108" windowWidth="23256" windowHeight="13176" firstSheet="1" activeTab="2" xr2:uid="{00000000-000D-0000-FFFF-FFFF00000000}"/>
  </bookViews>
  <sheets>
    <sheet name="Ergebnisse" sheetId="1" r:id="rId1"/>
    <sheet name="T2B" sheetId="13" r:id="rId2"/>
    <sheet name="template" sheetId="24"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4" l="1"/>
  <c r="B1" i="24"/>
  <c r="C1" i="24"/>
  <c r="D1" i="24"/>
  <c r="E1" i="24"/>
  <c r="F1" i="24"/>
  <c r="G1" i="24"/>
  <c r="H1" i="24"/>
  <c r="I1" i="24"/>
  <c r="J1" i="24"/>
  <c r="K1" i="24"/>
  <c r="L1" i="24"/>
  <c r="M1" i="24"/>
  <c r="N1" i="24"/>
  <c r="O1" i="24"/>
  <c r="P1" i="24"/>
  <c r="Q1" i="24"/>
  <c r="R1" i="24"/>
  <c r="S1" i="24"/>
  <c r="T1" i="24"/>
  <c r="U1" i="24"/>
  <c r="V1" i="24"/>
  <c r="W1" i="24"/>
  <c r="X1" i="24"/>
  <c r="Y1" i="24"/>
  <c r="A2" i="24"/>
  <c r="B2" i="24"/>
  <c r="C2" i="24"/>
  <c r="D2" i="24"/>
  <c r="E2" i="24"/>
  <c r="F2" i="24"/>
  <c r="G2" i="24"/>
  <c r="H2" i="24"/>
  <c r="I2" i="24"/>
  <c r="J2" i="24"/>
  <c r="K2" i="24"/>
  <c r="L2" i="24"/>
  <c r="M2" i="24"/>
  <c r="N2" i="24"/>
  <c r="O2" i="24"/>
  <c r="P2" i="24"/>
  <c r="Q2" i="24"/>
  <c r="R2" i="24"/>
  <c r="S2" i="24"/>
  <c r="T2" i="24"/>
  <c r="U2" i="24"/>
  <c r="V2" i="24"/>
  <c r="W2" i="24"/>
  <c r="X2" i="24"/>
  <c r="Y2" i="24"/>
  <c r="A3" i="24"/>
  <c r="B3" i="24"/>
  <c r="C3" i="24"/>
  <c r="D3" i="24"/>
  <c r="E3" i="24"/>
  <c r="F3" i="24"/>
  <c r="G3" i="24"/>
  <c r="H3" i="24"/>
  <c r="I3" i="24"/>
  <c r="J3" i="24"/>
  <c r="K3" i="24"/>
  <c r="L3" i="24"/>
  <c r="M3" i="24"/>
  <c r="N3" i="24"/>
  <c r="O3" i="24"/>
  <c r="P3" i="24"/>
  <c r="Q3" i="24"/>
  <c r="R3" i="24"/>
  <c r="S3" i="24"/>
  <c r="T3" i="24"/>
  <c r="U3" i="24"/>
  <c r="V3" i="24"/>
  <c r="W3" i="24"/>
  <c r="X3" i="24"/>
  <c r="Y3" i="24"/>
  <c r="A4" i="24"/>
  <c r="B4" i="24"/>
  <c r="C4" i="24"/>
  <c r="D4" i="24"/>
  <c r="E4" i="24"/>
  <c r="F4" i="24"/>
  <c r="G4" i="24"/>
  <c r="H4" i="24"/>
  <c r="I4" i="24"/>
  <c r="J4" i="24"/>
  <c r="K4" i="24"/>
  <c r="L4" i="24"/>
  <c r="M4" i="24"/>
  <c r="N4" i="24"/>
  <c r="O4" i="24"/>
  <c r="P4" i="24"/>
  <c r="Q4" i="24"/>
  <c r="R4" i="24"/>
  <c r="S4" i="24"/>
  <c r="T4" i="24"/>
  <c r="U4" i="24"/>
  <c r="V4" i="24"/>
  <c r="W4" i="24"/>
  <c r="X4" i="24"/>
  <c r="Y4" i="24"/>
  <c r="A5" i="24"/>
  <c r="B5" i="24"/>
  <c r="C5" i="24"/>
  <c r="D5" i="24"/>
  <c r="E5" i="24"/>
  <c r="F5" i="24"/>
  <c r="G5" i="24"/>
  <c r="H5" i="24"/>
  <c r="I5" i="24"/>
  <c r="J5" i="24"/>
  <c r="K5" i="24"/>
  <c r="L5" i="24"/>
  <c r="M5" i="24"/>
  <c r="N5" i="24"/>
  <c r="O5" i="24"/>
  <c r="P5" i="24"/>
  <c r="Q5" i="24"/>
  <c r="R5" i="24"/>
  <c r="S5" i="24"/>
  <c r="T5" i="24"/>
  <c r="U5" i="24"/>
  <c r="V5" i="24"/>
  <c r="W5" i="24"/>
  <c r="X5" i="24"/>
  <c r="Y5" i="24"/>
  <c r="A6" i="24"/>
  <c r="B6" i="24"/>
  <c r="C6" i="24"/>
  <c r="D6" i="24"/>
  <c r="E6" i="24"/>
  <c r="F6" i="24"/>
  <c r="G6" i="24"/>
  <c r="H6" i="24"/>
  <c r="I6" i="24"/>
  <c r="J6" i="24"/>
  <c r="K6" i="24"/>
  <c r="L6" i="24"/>
  <c r="M6" i="24"/>
  <c r="N6" i="24"/>
  <c r="O6" i="24"/>
  <c r="P6" i="24"/>
  <c r="Q6" i="24"/>
  <c r="R6" i="24"/>
  <c r="S6" i="24"/>
  <c r="T6" i="24"/>
  <c r="U6" i="24"/>
  <c r="V6" i="24"/>
  <c r="W6" i="24"/>
  <c r="X6" i="24"/>
  <c r="Y6" i="24"/>
  <c r="A7" i="24"/>
  <c r="B7" i="24"/>
  <c r="C7" i="24"/>
  <c r="D7" i="24"/>
  <c r="E7" i="24"/>
  <c r="F7" i="24"/>
  <c r="G7" i="24"/>
  <c r="H7" i="24"/>
  <c r="I7" i="24"/>
  <c r="J7" i="24"/>
  <c r="K7" i="24"/>
  <c r="L7" i="24"/>
  <c r="M7" i="24"/>
  <c r="N7" i="24"/>
  <c r="O7" i="24"/>
  <c r="P7" i="24"/>
  <c r="Q7" i="24"/>
  <c r="R7" i="24"/>
  <c r="S7" i="24"/>
  <c r="T7" i="24"/>
  <c r="U7" i="24"/>
  <c r="V7" i="24"/>
  <c r="W7" i="24"/>
  <c r="X7" i="24"/>
  <c r="Y7" i="24"/>
  <c r="A8" i="24"/>
  <c r="B8" i="24"/>
  <c r="C8" i="24"/>
  <c r="D8" i="24"/>
  <c r="E8" i="24"/>
  <c r="F8" i="24"/>
  <c r="G8" i="24"/>
  <c r="H8" i="24"/>
  <c r="I8" i="24"/>
  <c r="J8" i="24"/>
  <c r="K8" i="24"/>
  <c r="L8" i="24"/>
  <c r="M8" i="24"/>
  <c r="N8" i="24"/>
  <c r="O8" i="24"/>
  <c r="P8" i="24"/>
  <c r="Q8" i="24"/>
  <c r="R8" i="24"/>
  <c r="S8" i="24"/>
  <c r="T8" i="24"/>
  <c r="U8" i="24"/>
  <c r="V8" i="24"/>
  <c r="W8" i="24"/>
  <c r="X8" i="24"/>
  <c r="Y8" i="24"/>
  <c r="A9" i="24"/>
  <c r="B9" i="24"/>
  <c r="C9" i="24"/>
  <c r="D9" i="24"/>
  <c r="E9" i="24"/>
  <c r="F9" i="24"/>
  <c r="G9" i="24"/>
  <c r="H9" i="24"/>
  <c r="I9" i="24"/>
  <c r="J9" i="24"/>
  <c r="K9" i="24"/>
  <c r="L9" i="24"/>
  <c r="M9" i="24"/>
  <c r="N9" i="24"/>
  <c r="O9" i="24"/>
  <c r="P9" i="24"/>
  <c r="Q9" i="24"/>
  <c r="R9" i="24"/>
  <c r="S9" i="24"/>
  <c r="T9" i="24"/>
  <c r="U9" i="24"/>
  <c r="V9" i="24"/>
  <c r="W9" i="24"/>
  <c r="X9" i="24"/>
  <c r="Y9" i="24"/>
  <c r="A10" i="24"/>
  <c r="B10" i="24"/>
  <c r="C10" i="24"/>
  <c r="D10" i="24"/>
  <c r="E10" i="24"/>
  <c r="F10" i="24"/>
  <c r="G10" i="24"/>
  <c r="H10" i="24"/>
  <c r="I10" i="24"/>
  <c r="J10" i="24"/>
  <c r="K10" i="24"/>
  <c r="L10" i="24"/>
  <c r="M10" i="24"/>
  <c r="N10" i="24"/>
  <c r="O10" i="24"/>
  <c r="P10" i="24"/>
  <c r="Q10" i="24"/>
  <c r="R10" i="24"/>
  <c r="S10" i="24"/>
  <c r="T10" i="24"/>
  <c r="U10" i="24"/>
  <c r="V10" i="24"/>
  <c r="W10" i="24"/>
  <c r="X10" i="24"/>
  <c r="Y10" i="24"/>
  <c r="A11" i="24"/>
  <c r="B11" i="24"/>
  <c r="C11" i="24"/>
  <c r="D11" i="24"/>
  <c r="E11" i="24"/>
  <c r="F11" i="24"/>
  <c r="G11" i="24"/>
  <c r="H11" i="24"/>
  <c r="I11" i="24"/>
  <c r="J11" i="24"/>
  <c r="K11" i="24"/>
  <c r="L11" i="24"/>
  <c r="M11" i="24"/>
  <c r="N11" i="24"/>
  <c r="O11" i="24"/>
  <c r="P11" i="24"/>
  <c r="Q11" i="24"/>
  <c r="R11" i="24"/>
  <c r="S11" i="24"/>
  <c r="T11" i="24"/>
  <c r="U11" i="24"/>
  <c r="V11" i="24"/>
  <c r="W11" i="24"/>
  <c r="X11" i="24"/>
  <c r="Y11" i="24"/>
  <c r="A12" i="24"/>
  <c r="B12" i="24"/>
  <c r="C12" i="24"/>
  <c r="D12" i="24"/>
  <c r="E12" i="24"/>
  <c r="F12" i="24"/>
  <c r="G12" i="24"/>
  <c r="H12" i="24"/>
  <c r="I12" i="24"/>
  <c r="J12" i="24"/>
  <c r="K12" i="24"/>
  <c r="L12" i="24"/>
  <c r="M12" i="24"/>
  <c r="N12" i="24"/>
  <c r="O12" i="24"/>
  <c r="P12" i="24"/>
  <c r="Q12" i="24"/>
  <c r="R12" i="24"/>
  <c r="S12" i="24"/>
  <c r="T12" i="24"/>
  <c r="U12" i="24"/>
  <c r="V12" i="24"/>
  <c r="W12" i="24"/>
  <c r="X12" i="24"/>
  <c r="Y12" i="24"/>
  <c r="A13" i="24"/>
  <c r="B13" i="24"/>
  <c r="C13" i="24"/>
  <c r="D13" i="24"/>
  <c r="E13" i="24"/>
  <c r="F13" i="24"/>
  <c r="G13" i="24"/>
  <c r="H13" i="24"/>
  <c r="I13" i="24"/>
  <c r="J13" i="24"/>
  <c r="K13" i="24"/>
  <c r="L13" i="24"/>
  <c r="M13" i="24"/>
  <c r="N13" i="24"/>
  <c r="O13" i="24"/>
  <c r="P13" i="24"/>
  <c r="Q13" i="24"/>
  <c r="R13" i="24"/>
  <c r="S13" i="24"/>
  <c r="T13" i="24"/>
  <c r="U13" i="24"/>
  <c r="V13" i="24"/>
  <c r="W13" i="24"/>
  <c r="X13" i="24"/>
  <c r="Y13" i="24"/>
  <c r="A14" i="24"/>
  <c r="B14" i="24"/>
  <c r="C14" i="24"/>
  <c r="D14" i="24"/>
  <c r="E14" i="24"/>
  <c r="F14" i="24"/>
  <c r="G14" i="24"/>
  <c r="H14" i="24"/>
  <c r="I14" i="24"/>
  <c r="J14" i="24"/>
  <c r="K14" i="24"/>
  <c r="L14" i="24"/>
  <c r="M14" i="24"/>
  <c r="N14" i="24"/>
  <c r="O14" i="24"/>
  <c r="P14" i="24"/>
  <c r="Q14" i="24"/>
  <c r="R14" i="24"/>
  <c r="S14" i="24"/>
  <c r="T14" i="24"/>
  <c r="U14" i="24"/>
  <c r="V14" i="24"/>
  <c r="W14" i="24"/>
  <c r="X14" i="24"/>
  <c r="Y14" i="24"/>
  <c r="A15" i="24"/>
  <c r="B15" i="24"/>
  <c r="C15" i="24"/>
  <c r="D15" i="24"/>
  <c r="E15" i="24"/>
  <c r="F15" i="24"/>
  <c r="G15" i="24"/>
  <c r="H15" i="24"/>
  <c r="I15" i="24"/>
  <c r="J15" i="24"/>
  <c r="K15" i="24"/>
  <c r="L15" i="24"/>
  <c r="M15" i="24"/>
  <c r="N15" i="24"/>
  <c r="O15" i="24"/>
  <c r="P15" i="24"/>
  <c r="Q15" i="24"/>
  <c r="R15" i="24"/>
  <c r="S15" i="24"/>
  <c r="T15" i="24"/>
  <c r="U15" i="24"/>
  <c r="V15" i="24"/>
  <c r="W15" i="24"/>
  <c r="X15" i="24"/>
  <c r="Y15" i="24"/>
  <c r="A16" i="24"/>
  <c r="B16" i="24"/>
  <c r="C16" i="24"/>
  <c r="D16" i="24"/>
  <c r="E16" i="24"/>
  <c r="F16" i="24"/>
  <c r="G16" i="24"/>
  <c r="H16" i="24"/>
  <c r="I16" i="24"/>
  <c r="J16" i="24"/>
  <c r="K16" i="24"/>
  <c r="L16" i="24"/>
  <c r="M16" i="24"/>
  <c r="N16" i="24"/>
  <c r="O16" i="24"/>
  <c r="P16" i="24"/>
  <c r="Q16" i="24"/>
  <c r="R16" i="24"/>
  <c r="S16" i="24"/>
  <c r="T16" i="24"/>
  <c r="U16" i="24"/>
  <c r="V16" i="24"/>
  <c r="W16" i="24"/>
  <c r="X16" i="24"/>
  <c r="Y16" i="24"/>
  <c r="A17" i="24"/>
  <c r="B17" i="24"/>
  <c r="C17" i="24"/>
  <c r="D17" i="24"/>
  <c r="E17" i="24"/>
  <c r="F17" i="24"/>
  <c r="G17" i="24"/>
  <c r="H17" i="24"/>
  <c r="I17" i="24"/>
  <c r="J17" i="24"/>
  <c r="K17" i="24"/>
  <c r="L17" i="24"/>
  <c r="M17" i="24"/>
  <c r="N17" i="24"/>
  <c r="O17" i="24"/>
  <c r="P17" i="24"/>
  <c r="Q17" i="24"/>
  <c r="R17" i="24"/>
  <c r="S17" i="24"/>
  <c r="T17" i="24"/>
  <c r="U17" i="24"/>
  <c r="V17" i="24"/>
  <c r="W17" i="24"/>
  <c r="X17" i="24"/>
  <c r="Y17" i="24"/>
  <c r="A18" i="24"/>
  <c r="B18" i="24"/>
  <c r="C18" i="24"/>
  <c r="D18" i="24"/>
  <c r="E18" i="24"/>
  <c r="F18" i="24"/>
  <c r="G18" i="24"/>
  <c r="H18" i="24"/>
  <c r="I18" i="24"/>
  <c r="J18" i="24"/>
  <c r="K18" i="24"/>
  <c r="L18" i="24"/>
  <c r="M18" i="24"/>
  <c r="N18" i="24"/>
  <c r="O18" i="24"/>
  <c r="P18" i="24"/>
  <c r="Q18" i="24"/>
  <c r="R18" i="24"/>
  <c r="S18" i="24"/>
  <c r="T18" i="24"/>
  <c r="U18" i="24"/>
  <c r="V18" i="24"/>
  <c r="W18" i="24"/>
  <c r="X18" i="24"/>
  <c r="Y18" i="24"/>
  <c r="A19" i="24"/>
  <c r="B19" i="24"/>
  <c r="C19" i="24"/>
  <c r="D19" i="24"/>
  <c r="E19" i="24"/>
  <c r="F19" i="24"/>
  <c r="G19" i="24"/>
  <c r="H19" i="24"/>
  <c r="I19" i="24"/>
  <c r="J19" i="24"/>
  <c r="K19" i="24"/>
  <c r="L19" i="24"/>
  <c r="M19" i="24"/>
  <c r="N19" i="24"/>
  <c r="O19" i="24"/>
  <c r="P19" i="24"/>
  <c r="Q19" i="24"/>
  <c r="R19" i="24"/>
  <c r="S19" i="24"/>
  <c r="T19" i="24"/>
  <c r="U19" i="24"/>
  <c r="V19" i="24"/>
  <c r="W19" i="24"/>
  <c r="X19" i="24"/>
  <c r="Y19" i="24"/>
  <c r="A20" i="24"/>
  <c r="B20" i="24"/>
  <c r="C20" i="24"/>
  <c r="D20" i="24"/>
  <c r="E20" i="24"/>
  <c r="F20" i="24"/>
  <c r="G20" i="24"/>
  <c r="H20" i="24"/>
  <c r="I20" i="24"/>
  <c r="J20" i="24"/>
  <c r="K20" i="24"/>
  <c r="L20" i="24"/>
  <c r="M20" i="24"/>
  <c r="N20" i="24"/>
  <c r="O20" i="24"/>
  <c r="P20" i="24"/>
  <c r="Q20" i="24"/>
  <c r="R20" i="24"/>
  <c r="S20" i="24"/>
  <c r="T20" i="24"/>
  <c r="U20" i="24"/>
  <c r="V20" i="24"/>
  <c r="W20" i="24"/>
  <c r="X20" i="24"/>
  <c r="Y20" i="24"/>
  <c r="A21" i="24"/>
  <c r="B21" i="24"/>
  <c r="C21" i="24"/>
  <c r="D21" i="24"/>
  <c r="E21" i="24"/>
  <c r="F21" i="24"/>
  <c r="G21" i="24"/>
  <c r="H21" i="24"/>
  <c r="I21" i="24"/>
  <c r="J21" i="24"/>
  <c r="K21" i="24"/>
  <c r="L21" i="24"/>
  <c r="M21" i="24"/>
  <c r="N21" i="24"/>
  <c r="O21" i="24"/>
  <c r="P21" i="24"/>
  <c r="Q21" i="24"/>
  <c r="R21" i="24"/>
  <c r="S21" i="24"/>
  <c r="T21" i="24"/>
  <c r="U21" i="24"/>
  <c r="V21" i="24"/>
  <c r="W21" i="24"/>
  <c r="X21" i="24"/>
  <c r="Y21" i="24"/>
  <c r="A22" i="24"/>
  <c r="B22" i="24"/>
  <c r="C22" i="24"/>
  <c r="D22" i="24"/>
  <c r="E22" i="24"/>
  <c r="F22" i="24"/>
  <c r="G22" i="24"/>
  <c r="H22" i="24"/>
  <c r="I22" i="24"/>
  <c r="J22" i="24"/>
  <c r="K22" i="24"/>
  <c r="L22" i="24"/>
  <c r="M22" i="24"/>
  <c r="N22" i="24"/>
  <c r="O22" i="24"/>
  <c r="P22" i="24"/>
  <c r="Q22" i="24"/>
  <c r="R22" i="24"/>
  <c r="S22" i="24"/>
  <c r="T22" i="24"/>
  <c r="U22" i="24"/>
  <c r="V22" i="24"/>
  <c r="W22" i="24"/>
  <c r="X22" i="24"/>
  <c r="Y22" i="24"/>
  <c r="A23" i="24"/>
  <c r="B23" i="24"/>
  <c r="C23" i="24"/>
  <c r="D23" i="24"/>
  <c r="E23" i="24"/>
  <c r="F23" i="24"/>
  <c r="G23" i="24"/>
  <c r="H23" i="24"/>
  <c r="I23" i="24"/>
  <c r="J23" i="24"/>
  <c r="K23" i="24"/>
  <c r="L23" i="24"/>
  <c r="M23" i="24"/>
  <c r="N23" i="24"/>
  <c r="O23" i="24"/>
  <c r="P23" i="24"/>
  <c r="Q23" i="24"/>
  <c r="R23" i="24"/>
  <c r="S23" i="24"/>
  <c r="T23" i="24"/>
  <c r="U23" i="24"/>
  <c r="V23" i="24"/>
  <c r="W23" i="24"/>
  <c r="X23" i="24"/>
  <c r="Y23" i="24"/>
  <c r="A24" i="24"/>
  <c r="B24" i="24"/>
  <c r="C24" i="24"/>
  <c r="D24" i="24"/>
  <c r="E24" i="24"/>
  <c r="F24" i="24"/>
  <c r="G24" i="24"/>
  <c r="H24" i="24"/>
  <c r="I24" i="24"/>
  <c r="J24" i="24"/>
  <c r="K24" i="24"/>
  <c r="L24" i="24"/>
  <c r="M24" i="24"/>
  <c r="N24" i="24"/>
  <c r="O24" i="24"/>
  <c r="P24" i="24"/>
  <c r="Q24" i="24"/>
  <c r="R24" i="24"/>
  <c r="S24" i="24"/>
  <c r="T24" i="24"/>
  <c r="U24" i="24"/>
  <c r="V24" i="24"/>
  <c r="W24" i="24"/>
  <c r="X24" i="24"/>
  <c r="Y24" i="24"/>
  <c r="A25" i="24"/>
  <c r="B25" i="24"/>
  <c r="C25" i="24"/>
  <c r="D25" i="24"/>
  <c r="E25" i="24"/>
  <c r="F25" i="24"/>
  <c r="G25" i="24"/>
  <c r="H25" i="24"/>
  <c r="I25" i="24"/>
  <c r="J25" i="24"/>
  <c r="K25" i="24"/>
  <c r="L25" i="24"/>
  <c r="M25" i="24"/>
  <c r="N25" i="24"/>
  <c r="O25" i="24"/>
  <c r="P25" i="24"/>
  <c r="Q25" i="24"/>
  <c r="R25" i="24"/>
  <c r="S25" i="24"/>
  <c r="T25" i="24"/>
  <c r="U25" i="24"/>
  <c r="V25" i="24"/>
  <c r="W25" i="24"/>
  <c r="X25" i="24"/>
  <c r="Y25" i="24"/>
  <c r="A26" i="24"/>
  <c r="B26" i="24"/>
  <c r="C26" i="24"/>
  <c r="D26" i="24"/>
  <c r="E26" i="24"/>
  <c r="F26" i="24"/>
  <c r="G26" i="24"/>
  <c r="H26" i="24"/>
  <c r="I26" i="24"/>
  <c r="J26" i="24"/>
  <c r="K26" i="24"/>
  <c r="L26" i="24"/>
  <c r="M26" i="24"/>
  <c r="N26" i="24"/>
  <c r="O26" i="24"/>
  <c r="P26" i="24"/>
  <c r="Q26" i="24"/>
  <c r="R26" i="24"/>
  <c r="S26" i="24"/>
  <c r="T26" i="24"/>
  <c r="U26" i="24"/>
  <c r="V26" i="24"/>
  <c r="W26" i="24"/>
  <c r="X26" i="24"/>
  <c r="Y26" i="24"/>
  <c r="A27" i="24"/>
  <c r="B27" i="24"/>
  <c r="C27" i="24"/>
  <c r="D27" i="24"/>
  <c r="E27" i="24"/>
  <c r="F27" i="24"/>
  <c r="G27" i="24"/>
  <c r="H27" i="24"/>
  <c r="I27" i="24"/>
  <c r="J27" i="24"/>
  <c r="K27" i="24"/>
  <c r="L27" i="24"/>
  <c r="M27" i="24"/>
  <c r="N27" i="24"/>
  <c r="O27" i="24"/>
  <c r="P27" i="24"/>
  <c r="Q27" i="24"/>
  <c r="R27" i="24"/>
  <c r="S27" i="24"/>
  <c r="T27" i="24"/>
  <c r="U27" i="24"/>
  <c r="V27" i="24"/>
  <c r="W27" i="24"/>
  <c r="X27" i="24"/>
  <c r="Y27" i="24"/>
  <c r="A28" i="24"/>
  <c r="B28" i="24"/>
  <c r="C28" i="24"/>
  <c r="D28" i="24"/>
  <c r="E28" i="24"/>
  <c r="F28" i="24"/>
  <c r="G28" i="24"/>
  <c r="H28" i="24"/>
  <c r="I28" i="24"/>
  <c r="J28" i="24"/>
  <c r="K28" i="24"/>
  <c r="L28" i="24"/>
  <c r="M28" i="24"/>
  <c r="N28" i="24"/>
  <c r="O28" i="24"/>
  <c r="P28" i="24"/>
  <c r="Q28" i="24"/>
  <c r="R28" i="24"/>
  <c r="S28" i="24"/>
  <c r="T28" i="24"/>
  <c r="U28" i="24"/>
  <c r="V28" i="24"/>
  <c r="W28" i="24"/>
  <c r="X28" i="24"/>
  <c r="Y28" i="24"/>
  <c r="A29" i="24"/>
  <c r="B29" i="24"/>
  <c r="C29" i="24"/>
  <c r="D29" i="24"/>
  <c r="E29" i="24"/>
  <c r="F29" i="24"/>
  <c r="G29" i="24"/>
  <c r="H29" i="24"/>
  <c r="I29" i="24"/>
  <c r="J29" i="24"/>
  <c r="K29" i="24"/>
  <c r="L29" i="24"/>
  <c r="M29" i="24"/>
  <c r="N29" i="24"/>
  <c r="O29" i="24"/>
  <c r="P29" i="24"/>
  <c r="Q29" i="24"/>
  <c r="R29" i="24"/>
  <c r="S29" i="24"/>
  <c r="T29" i="24"/>
  <c r="U29" i="24"/>
  <c r="V29" i="24"/>
  <c r="W29" i="24"/>
  <c r="X29" i="24"/>
  <c r="Y29" i="24"/>
  <c r="A30" i="24"/>
  <c r="B30" i="24"/>
  <c r="C30" i="24"/>
  <c r="D30" i="24"/>
  <c r="E30" i="24"/>
  <c r="F30" i="24"/>
  <c r="G30" i="24"/>
  <c r="H30" i="24"/>
  <c r="I30" i="24"/>
  <c r="J30" i="24"/>
  <c r="K30" i="24"/>
  <c r="L30" i="24"/>
  <c r="M30" i="24"/>
  <c r="N30" i="24"/>
  <c r="O30" i="24"/>
  <c r="P30" i="24"/>
  <c r="Q30" i="24"/>
  <c r="R30" i="24"/>
  <c r="S30" i="24"/>
  <c r="T30" i="24"/>
  <c r="U30" i="24"/>
  <c r="V30" i="24"/>
  <c r="W30" i="24"/>
  <c r="X30" i="24"/>
  <c r="Y30" i="24"/>
  <c r="A31" i="24"/>
  <c r="B31" i="24"/>
  <c r="C31" i="24"/>
  <c r="D31" i="24"/>
  <c r="E31" i="24"/>
  <c r="F31" i="24"/>
  <c r="G31" i="24"/>
  <c r="H31" i="24"/>
  <c r="I31" i="24"/>
  <c r="J31" i="24"/>
  <c r="K31" i="24"/>
  <c r="L31" i="24"/>
  <c r="M31" i="24"/>
  <c r="N31" i="24"/>
  <c r="O31" i="24"/>
  <c r="P31" i="24"/>
  <c r="Q31" i="24"/>
  <c r="R31" i="24"/>
  <c r="S31" i="24"/>
  <c r="T31" i="24"/>
  <c r="U31" i="24"/>
  <c r="V31" i="24"/>
  <c r="W31" i="24"/>
  <c r="X31" i="24"/>
  <c r="Y31" i="24"/>
  <c r="A32" i="24"/>
  <c r="B32" i="24"/>
  <c r="C32" i="24"/>
  <c r="D32" i="24"/>
  <c r="E32" i="24"/>
  <c r="F32" i="24"/>
  <c r="G32" i="24"/>
  <c r="H32" i="24"/>
  <c r="I32" i="24"/>
  <c r="J32" i="24"/>
  <c r="K32" i="24"/>
  <c r="L32" i="24"/>
  <c r="M32" i="24"/>
  <c r="N32" i="24"/>
  <c r="O32" i="24"/>
  <c r="P32" i="24"/>
  <c r="Q32" i="24"/>
  <c r="R32" i="24"/>
  <c r="S32" i="24"/>
  <c r="T32" i="24"/>
  <c r="U32" i="24"/>
  <c r="V32" i="24"/>
  <c r="W32" i="24"/>
  <c r="X32" i="24"/>
  <c r="Y32" i="24"/>
  <c r="A33" i="24"/>
  <c r="B33" i="24"/>
  <c r="C33" i="24"/>
  <c r="D33" i="24"/>
  <c r="E33" i="24"/>
  <c r="F33" i="24"/>
  <c r="G33" i="24"/>
  <c r="H33" i="24"/>
  <c r="I33" i="24"/>
  <c r="J33" i="24"/>
  <c r="K33" i="24"/>
  <c r="L33" i="24"/>
  <c r="M33" i="24"/>
  <c r="N33" i="24"/>
  <c r="O33" i="24"/>
  <c r="P33" i="24"/>
  <c r="Q33" i="24"/>
  <c r="R33" i="24"/>
  <c r="S33" i="24"/>
  <c r="T33" i="24"/>
  <c r="U33" i="24"/>
  <c r="V33" i="24"/>
  <c r="W33" i="24"/>
  <c r="X33" i="24"/>
  <c r="Y33" i="24"/>
  <c r="A34" i="24"/>
  <c r="B34" i="24"/>
  <c r="C34" i="24"/>
  <c r="D34" i="24"/>
  <c r="E34" i="24"/>
  <c r="F34" i="24"/>
  <c r="G34" i="24"/>
  <c r="H34" i="24"/>
  <c r="I34" i="24"/>
  <c r="J34" i="24"/>
  <c r="K34" i="24"/>
  <c r="L34" i="24"/>
  <c r="M34" i="24"/>
  <c r="N34" i="24"/>
  <c r="O34" i="24"/>
  <c r="P34" i="24"/>
  <c r="Q34" i="24"/>
  <c r="R34" i="24"/>
  <c r="S34" i="24"/>
  <c r="T34" i="24"/>
  <c r="U34" i="24"/>
  <c r="V34" i="24"/>
  <c r="W34" i="24"/>
  <c r="X34" i="24"/>
  <c r="Y34" i="24"/>
  <c r="A35" i="24"/>
  <c r="B35" i="24"/>
  <c r="C35" i="24"/>
  <c r="D35" i="24"/>
  <c r="E35" i="24"/>
  <c r="F35" i="24"/>
  <c r="G35" i="24"/>
  <c r="H35" i="24"/>
  <c r="I35" i="24"/>
  <c r="J35" i="24"/>
  <c r="K35" i="24"/>
  <c r="L35" i="24"/>
  <c r="M35" i="24"/>
  <c r="N35" i="24"/>
  <c r="O35" i="24"/>
  <c r="P35" i="24"/>
  <c r="Q35" i="24"/>
  <c r="R35" i="24"/>
  <c r="S35" i="24"/>
  <c r="T35" i="24"/>
  <c r="U35" i="24"/>
  <c r="V35" i="24"/>
  <c r="W35" i="24"/>
  <c r="X35" i="24"/>
  <c r="Y35" i="24"/>
  <c r="A36" i="24"/>
  <c r="B36" i="24"/>
  <c r="C36" i="24"/>
  <c r="D36" i="24"/>
  <c r="E36" i="24"/>
  <c r="F36" i="24"/>
  <c r="G36" i="24"/>
  <c r="H36" i="24"/>
  <c r="I36" i="24"/>
  <c r="J36" i="24"/>
  <c r="K36" i="24"/>
  <c r="L36" i="24"/>
  <c r="M36" i="24"/>
  <c r="N36" i="24"/>
  <c r="O36" i="24"/>
  <c r="P36" i="24"/>
  <c r="Q36" i="24"/>
  <c r="R36" i="24"/>
  <c r="S36" i="24"/>
  <c r="T36" i="24"/>
  <c r="U36" i="24"/>
  <c r="V36" i="24"/>
  <c r="W36" i="24"/>
  <c r="X36" i="24"/>
  <c r="Y36" i="24"/>
  <c r="A37" i="24"/>
  <c r="B37" i="24"/>
  <c r="C37" i="24"/>
  <c r="D37" i="24"/>
  <c r="E37" i="24"/>
  <c r="F37" i="24"/>
  <c r="G37" i="24"/>
  <c r="H37" i="24"/>
  <c r="I37" i="24"/>
  <c r="J37" i="24"/>
  <c r="K37" i="24"/>
  <c r="L37" i="24"/>
  <c r="M37" i="24"/>
  <c r="N37" i="24"/>
  <c r="O37" i="24"/>
  <c r="P37" i="24"/>
  <c r="Q37" i="24"/>
  <c r="R37" i="24"/>
  <c r="S37" i="24"/>
  <c r="T37" i="24"/>
  <c r="U37" i="24"/>
  <c r="V37" i="24"/>
  <c r="W37" i="24"/>
  <c r="X37" i="24"/>
  <c r="Y37" i="24"/>
  <c r="A38" i="24"/>
  <c r="B38" i="24"/>
  <c r="C38" i="24"/>
  <c r="D38" i="24"/>
  <c r="E38" i="24"/>
  <c r="F38" i="24"/>
  <c r="G38" i="24"/>
  <c r="H38" i="24"/>
  <c r="I38" i="24"/>
  <c r="J38" i="24"/>
  <c r="K38" i="24"/>
  <c r="L38" i="24"/>
  <c r="M38" i="24"/>
  <c r="N38" i="24"/>
  <c r="O38" i="24"/>
  <c r="P38" i="24"/>
  <c r="Q38" i="24"/>
  <c r="R38" i="24"/>
  <c r="S38" i="24"/>
  <c r="T38" i="24"/>
  <c r="U38" i="24"/>
  <c r="V38" i="24"/>
  <c r="W38" i="24"/>
  <c r="X38" i="24"/>
  <c r="Y38" i="24"/>
  <c r="A39" i="24"/>
  <c r="B39" i="24"/>
  <c r="C39" i="24"/>
  <c r="D39" i="24"/>
  <c r="E39" i="24"/>
  <c r="F39" i="24"/>
  <c r="G39" i="24"/>
  <c r="H39" i="24"/>
  <c r="I39" i="24"/>
  <c r="J39" i="24"/>
  <c r="K39" i="24"/>
  <c r="L39" i="24"/>
  <c r="M39" i="24"/>
  <c r="N39" i="24"/>
  <c r="O39" i="24"/>
  <c r="P39" i="24"/>
  <c r="Q39" i="24"/>
  <c r="R39" i="24"/>
  <c r="S39" i="24"/>
  <c r="T39" i="24"/>
  <c r="U39" i="24"/>
  <c r="V39" i="24"/>
  <c r="W39" i="24"/>
  <c r="X39" i="24"/>
  <c r="Y39" i="24"/>
  <c r="E9" i="1"/>
  <c r="E10" i="1" s="1"/>
  <c r="F40" i="1"/>
  <c r="F39" i="1"/>
  <c r="F38" i="1"/>
  <c r="H38" i="1" s="1"/>
  <c r="K38" i="1" s="1"/>
  <c r="F37" i="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H37" i="1"/>
  <c r="L37" i="1" s="1"/>
  <c r="L204" i="1"/>
  <c r="H39" i="1"/>
  <c r="L39" i="1" s="1"/>
  <c r="E21" i="13"/>
  <c r="K244" i="1"/>
  <c r="K214" i="1"/>
  <c r="J214" i="1"/>
  <c r="L238" i="1"/>
  <c r="J238" i="1"/>
  <c r="K221" i="1"/>
  <c r="L221" i="1"/>
  <c r="J221" i="1"/>
  <c r="K220" i="1"/>
  <c r="L220" i="1"/>
  <c r="K241" i="1"/>
  <c r="L210" i="1"/>
  <c r="K210" i="1"/>
  <c r="J210" i="1"/>
  <c r="K211" i="1"/>
  <c r="J211" i="1"/>
  <c r="J203" i="1"/>
  <c r="E7" i="1"/>
  <c r="CZ7" i="13"/>
  <c r="DZ11" i="13"/>
  <c r="CZ12" i="13"/>
  <c r="DZ10" i="13"/>
  <c r="DZ6" i="13"/>
  <c r="DZ5" i="13"/>
  <c r="CZ14" i="13"/>
  <c r="CZ8" i="13"/>
  <c r="CZ13" i="13"/>
  <c r="CZ9" i="13"/>
  <c r="CZ5" i="13"/>
  <c r="CZ11" i="13"/>
  <c r="DZ9" i="13"/>
  <c r="DZ8" i="13"/>
  <c r="CZ10" i="13"/>
  <c r="DZ7" i="13"/>
  <c r="CZ6" i="13"/>
  <c r="DZ13" i="13"/>
  <c r="J5" i="13"/>
  <c r="DZ14" i="13"/>
  <c r="DZ12"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J185" i="1" l="1"/>
  <c r="M185" i="1"/>
  <c r="I32"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I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K125" i="1"/>
  <c r="L125" i="1"/>
  <c r="S1191"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K50"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J24" i="1"/>
  <c r="S1157" i="1"/>
  <c r="H148" i="1" s="1"/>
  <c r="S1144" i="1"/>
  <c r="H132" i="1" s="1"/>
  <c r="H73" i="1"/>
  <c r="S1095" i="1"/>
  <c r="J7" i="13"/>
  <c r="J187" i="1" l="1"/>
  <c r="I18" i="1"/>
  <c r="L189" i="1"/>
  <c r="J182" i="1"/>
  <c r="J25" i="1"/>
  <c r="L188" i="1"/>
  <c r="K24" i="1"/>
  <c r="J125" i="1"/>
  <c r="K137" i="1"/>
  <c r="I60" i="1"/>
  <c r="I188" i="1"/>
  <c r="K186" i="1"/>
  <c r="K188" i="1"/>
  <c r="L60"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K115" i="1" l="1"/>
  <c r="I115" i="1"/>
  <c r="J115" i="1"/>
  <c r="L115" i="1"/>
  <c r="J114" i="1"/>
  <c r="K114" i="1"/>
  <c r="I114" i="1"/>
  <c r="L114" i="1"/>
  <c r="J111" i="1"/>
  <c r="K111" i="1"/>
  <c r="I111" i="1"/>
  <c r="L111" i="1"/>
  <c r="L113" i="1"/>
  <c r="I113" i="1"/>
  <c r="K113" i="1"/>
  <c r="J113" i="1"/>
  <c r="E28" i="13"/>
  <c r="E29" i="13"/>
  <c r="E30" i="13" l="1"/>
  <c r="F116" i="1" s="1"/>
  <c r="T1131" i="1" s="1"/>
  <c r="S1131" i="1" s="1"/>
  <c r="H116" i="1" s="1"/>
  <c r="L116" i="1" s="1"/>
  <c r="K116" i="1" l="1"/>
  <c r="I116" i="1"/>
  <c r="J116" i="1"/>
</calcChain>
</file>

<file path=xl/sharedStrings.xml><?xml version="1.0" encoding="utf-8"?>
<sst xmlns="http://schemas.openxmlformats.org/spreadsheetml/2006/main" count="2060" uniqueCount="400">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</sst>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0" xfId="0" applyFill="1" applyProtection="1">
      <protection hidden="1"/>
    </xf>
    <xf numFmtId="0" fontId="0" fillId="0" borderId="0" xfId="0"/>
    <xf numFmtId="0" fontId="0" fillId="2" borderId="13" xfId="0" applyFill="1" applyBorder="1" applyProtection="1">
      <protection hidden="1"/>
    </xf>
    <xf numFmtId="0" fontId="0" fillId="0" borderId="13" xfId="0" applyBorder="1"/>
    <xf numFmtId="0" fontId="0" fillId="0" borderId="14"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3" xfId="0" applyFill="1" applyBorder="1" applyProtection="1">
      <protection locked="0"/>
    </xf>
    <xf numFmtId="0" fontId="0" fillId="0" borderId="13" xfId="0" applyBorder="1" applyProtection="1">
      <protection locked="0"/>
    </xf>
    <xf numFmtId="0" fontId="0" fillId="2" borderId="46" xfId="0" applyFill="1" applyBorder="1" applyProtection="1">
      <protection hidden="1"/>
    </xf>
    <xf numFmtId="0" fontId="0" fillId="0" borderId="46" xfId="0" applyBorder="1"/>
    <xf numFmtId="0" fontId="0" fillId="2" borderId="46" xfId="0" applyFill="1" applyBorder="1" applyProtection="1">
      <protection locked="0"/>
    </xf>
    <xf numFmtId="0" fontId="0" fillId="0" borderId="46" xfId="0" applyBorder="1" applyProtection="1">
      <protection locked="0"/>
    </xf>
    <xf numFmtId="0" fontId="0" fillId="0" borderId="45" xfId="0" applyBorder="1"/>
    <xf numFmtId="0" fontId="0" fillId="2" borderId="54" xfId="0" applyFill="1" applyBorder="1" applyProtection="1">
      <protection hidden="1"/>
    </xf>
    <xf numFmtId="0" fontId="0" fillId="0" borderId="54" xfId="0" applyBorder="1"/>
    <xf numFmtId="0" fontId="0" fillId="0" borderId="55" xfId="0" applyBorder="1"/>
    <xf numFmtId="0" fontId="0" fillId="2" borderId="54" xfId="0" applyFill="1" applyBorder="1" applyProtection="1">
      <protection locked="0"/>
    </xf>
    <xf numFmtId="0" fontId="0" fillId="0" borderId="54"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1" fillId="2" borderId="9" xfId="0" applyFont="1" applyFill="1" applyBorder="1" applyAlignment="1" applyProtection="1">
      <alignment horizontal="center"/>
      <protection hidden="1"/>
    </xf>
    <xf numFmtId="0" fontId="0" fillId="0" borderId="0" xfId="0" applyAlignment="1">
      <alignment horizontal="center"/>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xf numFmtId="0" fontId="13" fillId="2" borderId="9" xfId="0" applyFont="1" applyFill="1" applyBorder="1" applyAlignment="1" applyProtection="1">
      <alignment horizontal="center"/>
      <protection hidden="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103796" y="1334861"/>
          <a:ext cx="1964376" cy="295027"/>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812942" y="453648"/>
          <a:ext cx="1970545" cy="316585"/>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3.2" x14ac:dyDescent="0.25"/>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2" customHeight="1" x14ac:dyDescent="0.25"/>
    <row r="2" spans="2:16" ht="20.100000000000001" customHeight="1" x14ac:dyDescent="0.35">
      <c r="B2" s="187" t="s">
        <v>50</v>
      </c>
      <c r="C2" s="136" t="s">
        <v>128</v>
      </c>
      <c r="D2" s="280" t="s">
        <v>128</v>
      </c>
      <c r="E2" s="226"/>
      <c r="F2" s="310" t="s">
        <v>0</v>
      </c>
      <c r="G2" s="311"/>
      <c r="H2" s="311"/>
      <c r="I2" s="311"/>
      <c r="J2" s="311"/>
      <c r="K2" s="311"/>
      <c r="L2" s="111"/>
      <c r="M2" s="233" t="s">
        <v>373</v>
      </c>
    </row>
    <row r="3" spans="2:16" ht="14.1" customHeight="1" x14ac:dyDescent="0.35">
      <c r="B3" s="132" t="s">
        <v>1</v>
      </c>
      <c r="C3" s="227"/>
      <c r="D3" s="279" t="s">
        <v>272</v>
      </c>
      <c r="E3" s="228"/>
      <c r="F3" s="289"/>
      <c r="G3" s="289"/>
      <c r="H3" s="289"/>
      <c r="I3" s="289"/>
      <c r="J3" s="289"/>
      <c r="K3" s="289"/>
      <c r="L3" s="125"/>
      <c r="M3" s="94"/>
      <c r="O3" s="27" t="s">
        <v>389</v>
      </c>
    </row>
    <row r="4" spans="2:16" ht="14.1" customHeight="1" x14ac:dyDescent="0.25">
      <c r="B4" s="132" t="s">
        <v>2</v>
      </c>
      <c r="C4" s="227"/>
      <c r="D4" s="228"/>
      <c r="E4" s="228"/>
      <c r="F4" s="315" t="s">
        <v>352</v>
      </c>
      <c r="G4" s="316"/>
      <c r="H4" s="316"/>
      <c r="I4" s="316"/>
      <c r="J4" s="316"/>
      <c r="K4" s="316"/>
      <c r="L4" s="316"/>
      <c r="M4" s="317"/>
      <c r="O4" s="287" t="s">
        <v>398</v>
      </c>
      <c r="P4" s="234"/>
    </row>
    <row r="5" spans="2:16" ht="14.1" customHeight="1" x14ac:dyDescent="0.25">
      <c r="B5" s="132" t="s">
        <v>3</v>
      </c>
      <c r="C5" s="239"/>
      <c r="D5" s="279" t="s">
        <v>4</v>
      </c>
      <c r="E5" s="228"/>
      <c r="F5" s="316"/>
      <c r="G5" s="316"/>
      <c r="H5" s="316"/>
      <c r="I5" s="316"/>
      <c r="J5" s="316"/>
      <c r="K5" s="316"/>
      <c r="L5" s="316"/>
      <c r="M5" s="317"/>
      <c r="O5" s="287" t="s">
        <v>399</v>
      </c>
      <c r="P5" s="234"/>
    </row>
    <row r="6" spans="2:16" ht="14.1" customHeight="1" x14ac:dyDescent="0.25">
      <c r="B6" s="132" t="s">
        <v>5</v>
      </c>
      <c r="C6" s="227"/>
      <c r="D6" s="279" t="s">
        <v>179</v>
      </c>
      <c r="E6" s="228"/>
      <c r="F6" s="2"/>
      <c r="G6" s="3"/>
      <c r="H6" s="3"/>
      <c r="I6" s="3"/>
      <c r="J6" s="4"/>
      <c r="K6" s="3"/>
      <c r="L6" s="3"/>
      <c r="M6" s="82"/>
      <c r="O6" s="293">
        <v>41432</v>
      </c>
      <c r="P6" s="294"/>
    </row>
    <row r="7" spans="2:16" ht="14.1" customHeight="1" x14ac:dyDescent="0.25">
      <c r="B7" s="132" t="s">
        <v>6</v>
      </c>
      <c r="C7" s="238"/>
      <c r="D7" s="225" t="s">
        <v>314</v>
      </c>
      <c r="E7" s="230" t="str">
        <f>IF(OR(C7="",C8="",E9&lt;15,E9&gt;70,C6&gt;E9+6,C6&lt;4,C6&gt;28)=TRUE,"",E9)</f>
        <v/>
      </c>
      <c r="F7" s="320" t="s">
        <v>7</v>
      </c>
      <c r="G7" s="321"/>
      <c r="H7" s="321"/>
      <c r="I7" s="3"/>
      <c r="J7" s="3"/>
      <c r="K7" s="3"/>
      <c r="L7" s="3"/>
      <c r="M7" s="82"/>
    </row>
    <row r="8" spans="2:16" ht="20.100000000000001" customHeight="1" x14ac:dyDescent="0.25">
      <c r="B8" s="188" t="s">
        <v>8</v>
      </c>
      <c r="C8" s="189"/>
      <c r="D8" s="229"/>
      <c r="E8" s="229"/>
      <c r="F8" s="321"/>
      <c r="G8" s="321"/>
      <c r="H8" s="321"/>
      <c r="I8" s="5"/>
      <c r="J8" s="4" t="s">
        <v>9</v>
      </c>
      <c r="K8" s="3"/>
      <c r="L8" s="3"/>
      <c r="M8" s="82"/>
    </row>
    <row r="9" spans="2:16" ht="30" customHeight="1" x14ac:dyDescent="0.25">
      <c r="B9" s="112"/>
      <c r="C9" s="113"/>
      <c r="D9" s="113"/>
      <c r="E9" s="235">
        <f>(C8-C7)/365.25</f>
        <v>0</v>
      </c>
      <c r="F9" s="312" t="s">
        <v>395</v>
      </c>
      <c r="G9" s="313"/>
      <c r="H9" s="313"/>
      <c r="I9" s="313"/>
      <c r="J9" s="313"/>
      <c r="K9" s="313"/>
      <c r="L9" s="313"/>
      <c r="M9" s="314"/>
    </row>
    <row r="10" spans="2:16" ht="19.5"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399999999999999" x14ac:dyDescent="0.25">
      <c r="B11" s="243" t="s">
        <v>17</v>
      </c>
      <c r="C11" s="244"/>
      <c r="D11" s="244"/>
      <c r="E11" s="244"/>
      <c r="F11" s="245"/>
      <c r="G11" s="246"/>
      <c r="H11" s="246"/>
      <c r="I11" s="246"/>
      <c r="J11" s="246"/>
      <c r="K11" s="246"/>
      <c r="L11" s="246"/>
      <c r="M11" s="247"/>
    </row>
    <row r="12" spans="2:16" ht="8.1" customHeight="1" x14ac:dyDescent="0.25">
      <c r="B12" s="84"/>
      <c r="C12" s="193"/>
      <c r="D12" s="193"/>
      <c r="E12" s="193"/>
      <c r="F12" s="318" t="s">
        <v>394</v>
      </c>
      <c r="G12" s="311"/>
      <c r="H12" s="311"/>
      <c r="I12" s="311"/>
      <c r="J12" s="311"/>
      <c r="K12" s="311"/>
      <c r="L12" s="311"/>
      <c r="M12" s="319"/>
    </row>
    <row r="13" spans="2:16" x14ac:dyDescent="0.25">
      <c r="B13" s="134" t="s">
        <v>313</v>
      </c>
      <c r="C13" s="8"/>
      <c r="D13" s="8"/>
      <c r="E13" s="8"/>
      <c r="F13" s="289"/>
      <c r="G13" s="289"/>
      <c r="H13" s="289"/>
      <c r="I13" s="289"/>
      <c r="J13" s="289"/>
      <c r="K13" s="289"/>
      <c r="L13" s="289"/>
      <c r="M13" s="307"/>
    </row>
    <row r="14" spans="2:16" x14ac:dyDescent="0.25">
      <c r="B14" s="62"/>
      <c r="C14" s="288" t="s">
        <v>18</v>
      </c>
      <c r="D14" s="289"/>
      <c r="E14" s="307"/>
      <c r="F14" s="241" t="e">
        <f>IF(#REF!="","",#REF!)</f>
        <v>#REF!</v>
      </c>
      <c r="G14" s="97" t="s">
        <v>19</v>
      </c>
      <c r="H14" s="99" t="s">
        <v>12</v>
      </c>
      <c r="I14" s="10" t="s">
        <v>13</v>
      </c>
      <c r="J14" s="11" t="s">
        <v>14</v>
      </c>
      <c r="K14" s="11" t="s">
        <v>15</v>
      </c>
      <c r="L14" s="10" t="s">
        <v>16</v>
      </c>
      <c r="M14" s="66" t="s">
        <v>316</v>
      </c>
      <c r="N14" s="236"/>
    </row>
    <row r="15" spans="2:16" x14ac:dyDescent="0.25">
      <c r="B15" s="62"/>
      <c r="C15" s="302" t="s">
        <v>20</v>
      </c>
      <c r="D15" s="303"/>
      <c r="E15" s="304"/>
      <c r="F15" s="242" t="e">
        <f>IF(#REF!="","",#REF!)</f>
        <v>#REF!</v>
      </c>
      <c r="G15" s="97"/>
      <c r="H15" s="100"/>
      <c r="I15" s="10"/>
      <c r="J15" s="11"/>
      <c r="K15" s="11"/>
      <c r="L15" s="10"/>
      <c r="M15" s="12"/>
      <c r="N15" s="236"/>
    </row>
    <row r="16" spans="2:16" x14ac:dyDescent="0.25">
      <c r="B16" s="62"/>
      <c r="C16" s="290" t="s">
        <v>21</v>
      </c>
      <c r="D16" s="291"/>
      <c r="E16" s="292"/>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x14ac:dyDescent="0.25">
      <c r="B17" s="62"/>
      <c r="C17" s="290" t="s">
        <v>23</v>
      </c>
      <c r="D17" s="291"/>
      <c r="E17" s="292"/>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x14ac:dyDescent="0.25">
      <c r="B18" s="62"/>
      <c r="C18" s="290" t="s">
        <v>24</v>
      </c>
      <c r="D18" s="291"/>
      <c r="E18" s="292"/>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x14ac:dyDescent="0.25">
      <c r="B19" s="62"/>
      <c r="C19" s="290" t="s">
        <v>25</v>
      </c>
      <c r="D19" s="291"/>
      <c r="E19" s="292"/>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x14ac:dyDescent="0.25">
      <c r="B20" s="62"/>
      <c r="C20" s="290" t="s">
        <v>26</v>
      </c>
      <c r="D20" s="291"/>
      <c r="E20" s="292"/>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x14ac:dyDescent="0.25">
      <c r="B21" s="62"/>
      <c r="C21" s="290" t="s">
        <v>27</v>
      </c>
      <c r="D21" s="291"/>
      <c r="E21" s="292"/>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x14ac:dyDescent="0.25">
      <c r="B22" s="62"/>
      <c r="C22" s="290" t="s">
        <v>28</v>
      </c>
      <c r="D22" s="291"/>
      <c r="E22" s="292"/>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x14ac:dyDescent="0.25">
      <c r="B23" s="62"/>
      <c r="C23" s="290" t="s">
        <v>129</v>
      </c>
      <c r="D23" s="291"/>
      <c r="E23" s="292"/>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x14ac:dyDescent="0.25">
      <c r="B24" s="62"/>
      <c r="C24" s="290" t="s">
        <v>130</v>
      </c>
      <c r="D24" s="291"/>
      <c r="E24" s="292"/>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x14ac:dyDescent="0.25">
      <c r="B25" s="62"/>
      <c r="C25" s="290" t="s">
        <v>131</v>
      </c>
      <c r="D25" s="291"/>
      <c r="E25" s="292"/>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x14ac:dyDescent="0.25">
      <c r="B26" s="62"/>
      <c r="C26" s="290" t="s">
        <v>29</v>
      </c>
      <c r="D26" s="291"/>
      <c r="E26" s="292"/>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x14ac:dyDescent="0.25">
      <c r="B27" s="62"/>
      <c r="C27" s="290" t="s">
        <v>30</v>
      </c>
      <c r="D27" s="291"/>
      <c r="E27" s="292"/>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x14ac:dyDescent="0.25">
      <c r="B28" s="62"/>
      <c r="C28" s="290" t="s">
        <v>32</v>
      </c>
      <c r="D28" s="291"/>
      <c r="E28" s="292"/>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x14ac:dyDescent="0.25">
      <c r="B29" s="62"/>
      <c r="C29" s="290" t="s">
        <v>33</v>
      </c>
      <c r="D29" s="291"/>
      <c r="E29" s="292"/>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x14ac:dyDescent="0.25">
      <c r="B30" s="62"/>
      <c r="C30" s="290" t="s">
        <v>34</v>
      </c>
      <c r="D30" s="291"/>
      <c r="E30" s="292"/>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x14ac:dyDescent="0.25">
      <c r="B31" s="62"/>
      <c r="C31" s="290" t="s">
        <v>35</v>
      </c>
      <c r="D31" s="291"/>
      <c r="E31" s="292"/>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x14ac:dyDescent="0.25">
      <c r="B32" s="62"/>
      <c r="C32" s="297" t="s">
        <v>36</v>
      </c>
      <c r="D32" s="298"/>
      <c r="E32" s="30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 customHeight="1" x14ac:dyDescent="0.25">
      <c r="B33" s="84"/>
      <c r="C33" s="13"/>
      <c r="D33" s="13"/>
      <c r="E33" s="13"/>
      <c r="F33" s="190"/>
      <c r="G33" s="85"/>
      <c r="H33" s="85"/>
      <c r="I33" s="85"/>
      <c r="J33" s="85"/>
      <c r="K33" s="85"/>
      <c r="L33" s="85"/>
      <c r="M33" s="14"/>
      <c r="N33" s="236"/>
    </row>
    <row r="34" spans="2:14" x14ac:dyDescent="0.25">
      <c r="B34" s="134" t="s">
        <v>353</v>
      </c>
      <c r="C34" s="8"/>
      <c r="D34" s="8"/>
      <c r="E34" s="8"/>
      <c r="F34" s="83"/>
      <c r="G34" s="9"/>
      <c r="H34" s="86"/>
      <c r="I34" s="87"/>
      <c r="J34" s="88"/>
      <c r="K34" s="88"/>
      <c r="L34" s="87"/>
      <c r="M34" s="89"/>
      <c r="N34" s="236"/>
    </row>
    <row r="35" spans="2:14" x14ac:dyDescent="0.25">
      <c r="B35" s="62"/>
      <c r="C35" s="288" t="s">
        <v>18</v>
      </c>
      <c r="D35" s="289"/>
      <c r="E35" s="307"/>
      <c r="F35" s="26" t="e">
        <f>IF(#REF!="","",#REF!)</f>
        <v>#REF!</v>
      </c>
      <c r="G35" s="97" t="s">
        <v>19</v>
      </c>
      <c r="H35" s="99" t="s">
        <v>12</v>
      </c>
      <c r="I35" s="10" t="s">
        <v>13</v>
      </c>
      <c r="J35" s="11" t="s">
        <v>14</v>
      </c>
      <c r="K35" s="11" t="s">
        <v>15</v>
      </c>
      <c r="L35" s="10" t="s">
        <v>16</v>
      </c>
      <c r="M35" s="66" t="s">
        <v>316</v>
      </c>
      <c r="N35" s="236"/>
    </row>
    <row r="36" spans="2:14" x14ac:dyDescent="0.25">
      <c r="B36" s="62"/>
      <c r="C36" s="302" t="s">
        <v>20</v>
      </c>
      <c r="D36" s="303"/>
      <c r="E36" s="304"/>
      <c r="F36" s="259" t="e">
        <f>IF(#REF!="","",#REF!)</f>
        <v>#REF!</v>
      </c>
      <c r="G36" s="97"/>
      <c r="H36" s="100"/>
      <c r="I36" s="10"/>
      <c r="J36" s="11"/>
      <c r="K36" s="11"/>
      <c r="L36" s="10"/>
      <c r="M36" s="66"/>
      <c r="N36" s="236"/>
    </row>
    <row r="37" spans="2:14" x14ac:dyDescent="0.25">
      <c r="B37" s="62"/>
      <c r="C37" s="290" t="s">
        <v>24</v>
      </c>
      <c r="D37" s="291"/>
      <c r="E37" s="292"/>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x14ac:dyDescent="0.25">
      <c r="B38" s="62"/>
      <c r="C38" s="290" t="s">
        <v>38</v>
      </c>
      <c r="D38" s="291"/>
      <c r="E38" s="292"/>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x14ac:dyDescent="0.25">
      <c r="B39" s="62"/>
      <c r="C39" s="290" t="s">
        <v>25</v>
      </c>
      <c r="D39" s="291"/>
      <c r="E39" s="292"/>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x14ac:dyDescent="0.25">
      <c r="B40" s="63"/>
      <c r="C40" s="297" t="s">
        <v>39</v>
      </c>
      <c r="D40" s="298"/>
      <c r="E40" s="30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 customHeight="1" x14ac:dyDescent="0.25">
      <c r="B41" s="84"/>
      <c r="C41" s="13"/>
      <c r="D41" s="13"/>
      <c r="E41" s="13"/>
      <c r="F41" s="190"/>
      <c r="G41" s="85"/>
      <c r="H41" s="85"/>
      <c r="I41" s="85"/>
      <c r="J41" s="85"/>
      <c r="K41" s="85"/>
      <c r="L41" s="85"/>
      <c r="M41" s="14"/>
      <c r="N41" s="236"/>
    </row>
    <row r="42" spans="2:14" x14ac:dyDescent="0.25">
      <c r="B42" s="134" t="s">
        <v>40</v>
      </c>
      <c r="C42" s="8"/>
      <c r="D42" s="8"/>
      <c r="E42" s="8"/>
      <c r="F42" s="83"/>
      <c r="G42" s="9"/>
      <c r="H42" s="86"/>
      <c r="I42" s="87"/>
      <c r="J42" s="88"/>
      <c r="K42" s="88"/>
      <c r="L42" s="87"/>
      <c r="M42" s="89"/>
      <c r="N42" s="236"/>
    </row>
    <row r="43" spans="2:14" x14ac:dyDescent="0.25">
      <c r="B43" s="62"/>
      <c r="C43" s="288" t="s">
        <v>18</v>
      </c>
      <c r="D43" s="289"/>
      <c r="E43" s="307"/>
      <c r="F43" s="26" t="e">
        <f>IF(#REF!="","",#REF!)</f>
        <v>#REF!</v>
      </c>
      <c r="G43" s="97" t="s">
        <v>19</v>
      </c>
      <c r="H43" s="99" t="s">
        <v>12</v>
      </c>
      <c r="I43" s="10" t="s">
        <v>13</v>
      </c>
      <c r="J43" s="11" t="s">
        <v>14</v>
      </c>
      <c r="K43" s="11" t="s">
        <v>15</v>
      </c>
      <c r="L43" s="10" t="s">
        <v>16</v>
      </c>
      <c r="M43" s="66" t="s">
        <v>316</v>
      </c>
      <c r="N43" s="236"/>
    </row>
    <row r="44" spans="2:14" x14ac:dyDescent="0.25">
      <c r="B44" s="62"/>
      <c r="C44" s="302" t="s">
        <v>20</v>
      </c>
      <c r="D44" s="303"/>
      <c r="E44" s="304"/>
      <c r="F44" s="259" t="e">
        <f>IF(#REF!="","",#REF!)</f>
        <v>#REF!</v>
      </c>
      <c r="G44" s="97"/>
      <c r="H44" s="100"/>
      <c r="I44" s="10"/>
      <c r="J44" s="11"/>
      <c r="K44" s="11"/>
      <c r="L44" s="10"/>
      <c r="M44" s="66"/>
      <c r="N44" s="236"/>
    </row>
    <row r="45" spans="2:14" x14ac:dyDescent="0.25">
      <c r="B45" s="62"/>
      <c r="C45" s="290" t="s">
        <v>21</v>
      </c>
      <c r="D45" s="291"/>
      <c r="E45" s="292"/>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x14ac:dyDescent="0.25">
      <c r="B46" s="62"/>
      <c r="C46" s="290" t="s">
        <v>23</v>
      </c>
      <c r="D46" s="291"/>
      <c r="E46" s="292"/>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x14ac:dyDescent="0.25">
      <c r="B47" s="62"/>
      <c r="C47" s="290" t="s">
        <v>24</v>
      </c>
      <c r="D47" s="291"/>
      <c r="E47" s="292"/>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x14ac:dyDescent="0.25">
      <c r="B48" s="62"/>
      <c r="C48" s="290" t="s">
        <v>25</v>
      </c>
      <c r="D48" s="291"/>
      <c r="E48" s="292"/>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x14ac:dyDescent="0.25">
      <c r="B49" s="62"/>
      <c r="C49" s="290" t="s">
        <v>26</v>
      </c>
      <c r="D49" s="291"/>
      <c r="E49" s="292"/>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x14ac:dyDescent="0.25">
      <c r="B50" s="62"/>
      <c r="C50" s="290" t="s">
        <v>27</v>
      </c>
      <c r="D50" s="291"/>
      <c r="E50" s="292"/>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x14ac:dyDescent="0.25">
      <c r="B51" s="62"/>
      <c r="C51" s="290" t="s">
        <v>28</v>
      </c>
      <c r="D51" s="291"/>
      <c r="E51" s="292"/>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x14ac:dyDescent="0.25">
      <c r="B52" s="62"/>
      <c r="C52" s="290" t="s">
        <v>129</v>
      </c>
      <c r="D52" s="291"/>
      <c r="E52" s="292"/>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x14ac:dyDescent="0.25">
      <c r="B53" s="62"/>
      <c r="C53" s="290" t="s">
        <v>130</v>
      </c>
      <c r="D53" s="291"/>
      <c r="E53" s="292"/>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x14ac:dyDescent="0.25">
      <c r="B54" s="62"/>
      <c r="C54" s="290" t="s">
        <v>131</v>
      </c>
      <c r="D54" s="291"/>
      <c r="E54" s="292"/>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x14ac:dyDescent="0.25">
      <c r="B55" s="62"/>
      <c r="C55" s="290" t="s">
        <v>29</v>
      </c>
      <c r="D55" s="291"/>
      <c r="E55" s="292"/>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x14ac:dyDescent="0.25">
      <c r="B56" s="62"/>
      <c r="C56" s="290" t="s">
        <v>30</v>
      </c>
      <c r="D56" s="291"/>
      <c r="E56" s="292"/>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x14ac:dyDescent="0.25">
      <c r="B57" s="62"/>
      <c r="C57" s="290" t="s">
        <v>32</v>
      </c>
      <c r="D57" s="291"/>
      <c r="E57" s="292"/>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x14ac:dyDescent="0.25">
      <c r="B58" s="62"/>
      <c r="C58" s="290" t="s">
        <v>41</v>
      </c>
      <c r="D58" s="291"/>
      <c r="E58" s="292"/>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x14ac:dyDescent="0.25">
      <c r="B59" s="62"/>
      <c r="C59" s="290" t="s">
        <v>42</v>
      </c>
      <c r="D59" s="291"/>
      <c r="E59" s="292"/>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x14ac:dyDescent="0.25">
      <c r="B60" s="62"/>
      <c r="C60" s="290" t="s">
        <v>34</v>
      </c>
      <c r="D60" s="291"/>
      <c r="E60" s="292"/>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x14ac:dyDescent="0.25">
      <c r="B61" s="62"/>
      <c r="C61" s="290" t="s">
        <v>33</v>
      </c>
      <c r="D61" s="291"/>
      <c r="E61" s="292"/>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x14ac:dyDescent="0.25">
      <c r="B62" s="62"/>
      <c r="C62" s="290" t="s">
        <v>35</v>
      </c>
      <c r="D62" s="291"/>
      <c r="E62" s="292"/>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x14ac:dyDescent="0.25">
      <c r="B63" s="62"/>
      <c r="C63" s="297" t="s">
        <v>36</v>
      </c>
      <c r="D63" s="298"/>
      <c r="E63" s="30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 customHeight="1" x14ac:dyDescent="0.25">
      <c r="B64" s="84"/>
      <c r="C64" s="13"/>
      <c r="D64" s="13"/>
      <c r="E64" s="13"/>
      <c r="F64" s="190"/>
      <c r="G64" s="85"/>
      <c r="H64" s="85"/>
      <c r="I64" s="85"/>
      <c r="J64" s="85"/>
      <c r="K64" s="85"/>
      <c r="L64" s="85"/>
      <c r="M64" s="14"/>
      <c r="N64" s="236"/>
    </row>
    <row r="65" spans="2:14" x14ac:dyDescent="0.25">
      <c r="B65" s="134" t="s">
        <v>43</v>
      </c>
      <c r="C65" s="8"/>
      <c r="D65" s="8"/>
      <c r="E65" s="8"/>
      <c r="F65" s="83"/>
      <c r="G65" s="9"/>
      <c r="H65" s="86"/>
      <c r="I65" s="87"/>
      <c r="J65" s="88"/>
      <c r="K65" s="88"/>
      <c r="L65" s="87"/>
      <c r="M65" s="89"/>
      <c r="N65" s="236"/>
    </row>
    <row r="66" spans="2:14" x14ac:dyDescent="0.25">
      <c r="B66" s="62"/>
      <c r="C66" s="288" t="s">
        <v>18</v>
      </c>
      <c r="D66" s="289"/>
      <c r="E66" s="307"/>
      <c r="F66" s="260" t="e">
        <f>IF(#REF!="","",#REF!)</f>
        <v>#REF!</v>
      </c>
      <c r="G66" s="97" t="s">
        <v>19</v>
      </c>
      <c r="H66" s="99" t="s">
        <v>12</v>
      </c>
      <c r="I66" s="10" t="s">
        <v>13</v>
      </c>
      <c r="J66" s="11" t="s">
        <v>14</v>
      </c>
      <c r="K66" s="11" t="s">
        <v>15</v>
      </c>
      <c r="L66" s="10" t="s">
        <v>16</v>
      </c>
      <c r="M66" s="66" t="s">
        <v>316</v>
      </c>
      <c r="N66" s="236"/>
    </row>
    <row r="67" spans="2:14" x14ac:dyDescent="0.25">
      <c r="B67" s="62"/>
      <c r="C67" s="302" t="s">
        <v>20</v>
      </c>
      <c r="D67" s="303"/>
      <c r="E67" s="304"/>
      <c r="F67" s="261" t="e">
        <f>IF(#REF!="","",#REF!)</f>
        <v>#REF!</v>
      </c>
      <c r="G67" s="97"/>
      <c r="H67" s="100"/>
      <c r="I67" s="10"/>
      <c r="J67" s="11"/>
      <c r="K67" s="11"/>
      <c r="L67" s="10"/>
      <c r="M67" s="66"/>
      <c r="N67" s="236"/>
    </row>
    <row r="68" spans="2:14" x14ac:dyDescent="0.25">
      <c r="B68" s="62"/>
      <c r="C68" s="290" t="s">
        <v>21</v>
      </c>
      <c r="D68" s="291"/>
      <c r="E68" s="292"/>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x14ac:dyDescent="0.25">
      <c r="B69" s="62"/>
      <c r="C69" s="290" t="s">
        <v>44</v>
      </c>
      <c r="D69" s="291"/>
      <c r="E69" s="292"/>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x14ac:dyDescent="0.25">
      <c r="B70" s="62"/>
      <c r="C70" s="290" t="s">
        <v>24</v>
      </c>
      <c r="D70" s="291"/>
      <c r="E70" s="292"/>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x14ac:dyDescent="0.25">
      <c r="B71" s="62"/>
      <c r="C71" s="290" t="s">
        <v>25</v>
      </c>
      <c r="D71" s="291"/>
      <c r="E71" s="292"/>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x14ac:dyDescent="0.25">
      <c r="B72" s="62"/>
      <c r="C72" s="290" t="s">
        <v>28</v>
      </c>
      <c r="D72" s="291"/>
      <c r="E72" s="292"/>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x14ac:dyDescent="0.25">
      <c r="B73" s="62"/>
      <c r="C73" s="290" t="s">
        <v>129</v>
      </c>
      <c r="D73" s="291"/>
      <c r="E73" s="292"/>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x14ac:dyDescent="0.25">
      <c r="B74" s="62"/>
      <c r="C74" s="290" t="s">
        <v>130</v>
      </c>
      <c r="D74" s="291"/>
      <c r="E74" s="292"/>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x14ac:dyDescent="0.25">
      <c r="B75" s="62"/>
      <c r="C75" s="290" t="s">
        <v>131</v>
      </c>
      <c r="D75" s="291"/>
      <c r="E75" s="292"/>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x14ac:dyDescent="0.25">
      <c r="B76" s="62"/>
      <c r="C76" s="290" t="s">
        <v>29</v>
      </c>
      <c r="D76" s="291"/>
      <c r="E76" s="292"/>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x14ac:dyDescent="0.25">
      <c r="B77" s="62"/>
      <c r="C77" s="290" t="s">
        <v>30</v>
      </c>
      <c r="D77" s="291"/>
      <c r="E77" s="292"/>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25">
      <c r="B78" s="62"/>
      <c r="C78" s="290" t="s">
        <v>32</v>
      </c>
      <c r="D78" s="291"/>
      <c r="E78" s="292"/>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x14ac:dyDescent="0.25">
      <c r="B79" s="62"/>
      <c r="C79" s="290" t="s">
        <v>45</v>
      </c>
      <c r="D79" s="291"/>
      <c r="E79" s="292"/>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x14ac:dyDescent="0.25">
      <c r="B80" s="62"/>
      <c r="C80" s="297" t="s">
        <v>46</v>
      </c>
      <c r="D80" s="298"/>
      <c r="E80" s="30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 customHeight="1" x14ac:dyDescent="0.25">
      <c r="B81" s="84"/>
      <c r="C81" s="13"/>
      <c r="D81" s="13"/>
      <c r="E81" s="13"/>
      <c r="F81" s="190"/>
      <c r="G81" s="85"/>
      <c r="H81" s="85"/>
      <c r="I81" s="85"/>
      <c r="J81" s="85"/>
      <c r="K81" s="85"/>
      <c r="L81" s="85"/>
      <c r="M81" s="14"/>
      <c r="N81" s="236"/>
    </row>
    <row r="82" spans="2:14" x14ac:dyDescent="0.25">
      <c r="B82" s="134" t="s">
        <v>354</v>
      </c>
      <c r="C82" s="8"/>
      <c r="D82" s="8"/>
      <c r="E82" s="8"/>
      <c r="F82" s="83"/>
      <c r="G82" s="9"/>
      <c r="H82" s="86"/>
      <c r="I82" s="87"/>
      <c r="J82" s="88"/>
      <c r="K82" s="88"/>
      <c r="L82" s="87"/>
      <c r="M82" s="89"/>
      <c r="N82" s="236"/>
    </row>
    <row r="83" spans="2:14" x14ac:dyDescent="0.25">
      <c r="B83" s="62"/>
      <c r="C83" s="288" t="s">
        <v>18</v>
      </c>
      <c r="D83" s="289"/>
      <c r="E83" s="307"/>
      <c r="F83" s="260" t="e">
        <f>IF(#REF!="","",#REF!)</f>
        <v>#REF!</v>
      </c>
      <c r="G83" s="97" t="s">
        <v>19</v>
      </c>
      <c r="H83" s="99" t="s">
        <v>12</v>
      </c>
      <c r="I83" s="10" t="s">
        <v>13</v>
      </c>
      <c r="J83" s="11" t="s">
        <v>14</v>
      </c>
      <c r="K83" s="11" t="s">
        <v>15</v>
      </c>
      <c r="L83" s="10" t="s">
        <v>16</v>
      </c>
      <c r="M83" s="66" t="s">
        <v>316</v>
      </c>
      <c r="N83" s="236"/>
    </row>
    <row r="84" spans="2:14" x14ac:dyDescent="0.25">
      <c r="B84" s="62"/>
      <c r="C84" s="302" t="s">
        <v>20</v>
      </c>
      <c r="D84" s="303"/>
      <c r="E84" s="304"/>
      <c r="F84" s="261" t="e">
        <f>IF(#REF!="","",#REF!)</f>
        <v>#REF!</v>
      </c>
      <c r="G84" s="97"/>
      <c r="H84" s="100"/>
      <c r="I84" s="18"/>
      <c r="J84" s="10"/>
      <c r="K84" s="18"/>
      <c r="L84" s="65"/>
      <c r="M84" s="66"/>
      <c r="N84" s="236"/>
    </row>
    <row r="85" spans="2:14" x14ac:dyDescent="0.25">
      <c r="B85" s="62"/>
      <c r="C85" s="290" t="s">
        <v>47</v>
      </c>
      <c r="D85" s="291"/>
      <c r="E85" s="292"/>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x14ac:dyDescent="0.25">
      <c r="B86" s="62"/>
      <c r="C86" s="290" t="s">
        <v>48</v>
      </c>
      <c r="D86" s="291"/>
      <c r="E86" s="292"/>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x14ac:dyDescent="0.25">
      <c r="B87" s="62"/>
      <c r="C87" s="297" t="s">
        <v>49</v>
      </c>
      <c r="D87" s="298"/>
      <c r="E87" s="30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0999999999999996" customHeight="1" x14ac:dyDescent="0.25">
      <c r="B88" s="110"/>
      <c r="C88" s="13"/>
      <c r="D88" s="13"/>
      <c r="E88" s="13"/>
      <c r="F88" s="190"/>
      <c r="G88" s="85"/>
      <c r="H88" s="85"/>
      <c r="I88" s="85"/>
      <c r="J88" s="85"/>
      <c r="K88" s="85"/>
      <c r="L88" s="85"/>
      <c r="M88" s="85"/>
      <c r="N88" s="236"/>
    </row>
    <row r="89" spans="2:14" ht="5.0999999999999996" customHeight="1" x14ac:dyDescent="0.25">
      <c r="B89" s="93"/>
      <c r="C89" s="95"/>
      <c r="D89" s="95"/>
      <c r="E89" s="95"/>
      <c r="F89" s="191"/>
      <c r="G89" s="96"/>
      <c r="H89" s="96"/>
      <c r="I89" s="96"/>
      <c r="J89" s="96"/>
      <c r="K89" s="96"/>
      <c r="L89" s="96"/>
      <c r="M89" s="96"/>
      <c r="N89" s="236"/>
    </row>
    <row r="90" spans="2:14" ht="17.399999999999999" x14ac:dyDescent="0.25">
      <c r="B90" s="243" t="s">
        <v>317</v>
      </c>
      <c r="C90" s="244"/>
      <c r="D90" s="244"/>
      <c r="E90" s="244"/>
      <c r="F90" s="248"/>
      <c r="G90" s="246"/>
      <c r="H90" s="246"/>
      <c r="I90" s="249"/>
      <c r="J90" s="250"/>
      <c r="K90" s="249"/>
      <c r="L90" s="251"/>
      <c r="M90" s="252"/>
      <c r="N90" s="236"/>
    </row>
    <row r="91" spans="2:14" ht="8.1" customHeight="1" x14ac:dyDescent="0.25">
      <c r="B91" s="84"/>
      <c r="C91" s="13"/>
      <c r="D91" s="13"/>
      <c r="E91" s="13"/>
      <c r="F91" s="190"/>
      <c r="G91" s="85"/>
      <c r="H91" s="85"/>
      <c r="I91" s="85"/>
      <c r="J91" s="85"/>
      <c r="K91" s="85"/>
      <c r="L91" s="85"/>
      <c r="M91" s="14"/>
      <c r="N91" s="236"/>
    </row>
    <row r="92" spans="2:14" x14ac:dyDescent="0.25">
      <c r="B92" s="134" t="s">
        <v>355</v>
      </c>
      <c r="C92" s="8"/>
      <c r="D92" s="8"/>
      <c r="E92" s="8"/>
      <c r="F92" s="83"/>
      <c r="G92" s="9"/>
      <c r="H92" s="86"/>
      <c r="I92" s="87"/>
      <c r="J92" s="88"/>
      <c r="K92" s="88"/>
      <c r="L92" s="87"/>
      <c r="M92" s="89"/>
      <c r="N92" s="236"/>
    </row>
    <row r="93" spans="2:14" x14ac:dyDescent="0.25">
      <c r="B93" s="62"/>
      <c r="C93" s="288" t="s">
        <v>50</v>
      </c>
      <c r="D93" s="289"/>
      <c r="E93" s="307"/>
      <c r="F93" s="260" t="e">
        <f>IF(#REF!="","",#REF!)</f>
        <v>#REF!</v>
      </c>
      <c r="G93" s="97" t="s">
        <v>19</v>
      </c>
      <c r="H93" s="99" t="s">
        <v>12</v>
      </c>
      <c r="I93" s="10" t="s">
        <v>13</v>
      </c>
      <c r="J93" s="11" t="s">
        <v>14</v>
      </c>
      <c r="K93" s="11" t="s">
        <v>15</v>
      </c>
      <c r="L93" s="10" t="s">
        <v>16</v>
      </c>
      <c r="M93" s="66" t="s">
        <v>316</v>
      </c>
      <c r="N93" s="236"/>
    </row>
    <row r="94" spans="2:14" x14ac:dyDescent="0.25">
      <c r="B94" s="62"/>
      <c r="C94" s="302" t="s">
        <v>20</v>
      </c>
      <c r="D94" s="303"/>
      <c r="E94" s="304"/>
      <c r="F94" s="261" t="e">
        <f>IF(#REF!="","",#REF!)</f>
        <v>#REF!</v>
      </c>
      <c r="G94" s="97"/>
      <c r="H94" s="100"/>
      <c r="I94" s="18"/>
      <c r="J94" s="10"/>
      <c r="K94" s="18"/>
      <c r="L94" s="65"/>
      <c r="M94" s="66"/>
      <c r="N94" s="236"/>
    </row>
    <row r="95" spans="2:14" x14ac:dyDescent="0.25">
      <c r="B95" s="62"/>
      <c r="C95" s="290" t="s">
        <v>359</v>
      </c>
      <c r="D95" s="291"/>
      <c r="E95" s="292"/>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x14ac:dyDescent="0.25">
      <c r="B96" s="62"/>
      <c r="C96" s="290" t="s">
        <v>360</v>
      </c>
      <c r="D96" s="291"/>
      <c r="E96" s="292"/>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x14ac:dyDescent="0.25">
      <c r="B98" s="62"/>
      <c r="C98" s="290" t="s">
        <v>361</v>
      </c>
      <c r="D98" s="291"/>
      <c r="E98" s="292"/>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x14ac:dyDescent="0.25">
      <c r="B99" s="62"/>
      <c r="C99" s="297" t="s">
        <v>362</v>
      </c>
      <c r="D99" s="298"/>
      <c r="E99" s="30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 customHeight="1" x14ac:dyDescent="0.25">
      <c r="B100" s="90"/>
      <c r="C100" s="91"/>
      <c r="D100" s="91"/>
      <c r="E100" s="91"/>
      <c r="F100" s="192"/>
      <c r="G100" s="92"/>
      <c r="H100" s="92"/>
      <c r="I100" s="92"/>
      <c r="J100" s="92"/>
      <c r="K100" s="92"/>
      <c r="L100" s="92"/>
      <c r="M100" s="92"/>
      <c r="N100" s="236"/>
    </row>
    <row r="101" spans="2:14" ht="17.399999999999999" x14ac:dyDescent="0.25">
      <c r="B101" s="243" t="s">
        <v>54</v>
      </c>
      <c r="C101" s="244"/>
      <c r="D101" s="244"/>
      <c r="E101" s="244"/>
      <c r="F101" s="248"/>
      <c r="G101" s="246"/>
      <c r="H101" s="246"/>
      <c r="I101" s="249"/>
      <c r="J101" s="250"/>
      <c r="K101" s="249"/>
      <c r="L101" s="251"/>
      <c r="M101" s="252"/>
      <c r="N101" s="236"/>
    </row>
    <row r="102" spans="2:14" ht="8.1" customHeight="1" x14ac:dyDescent="0.25">
      <c r="B102" s="84"/>
      <c r="C102" s="13"/>
      <c r="D102" s="13"/>
      <c r="E102" s="13"/>
      <c r="F102" s="190"/>
      <c r="G102" s="85"/>
      <c r="H102" s="85"/>
      <c r="I102" s="85"/>
      <c r="J102" s="85"/>
      <c r="K102" s="85"/>
      <c r="L102" s="85"/>
      <c r="M102" s="14"/>
      <c r="N102" s="236"/>
    </row>
    <row r="103" spans="2:14" x14ac:dyDescent="0.25">
      <c r="B103" s="134" t="s">
        <v>357</v>
      </c>
      <c r="C103" s="8"/>
      <c r="D103" s="8"/>
      <c r="E103" s="8"/>
      <c r="F103" s="83"/>
      <c r="G103" s="9"/>
      <c r="H103" s="86"/>
      <c r="I103" s="87"/>
      <c r="J103" s="88"/>
      <c r="K103" s="88"/>
      <c r="L103" s="87"/>
      <c r="M103" s="89"/>
      <c r="N103" s="236"/>
    </row>
    <row r="104" spans="2:14" x14ac:dyDescent="0.25">
      <c r="B104" s="62"/>
      <c r="C104" s="288" t="s">
        <v>50</v>
      </c>
      <c r="D104" s="289"/>
      <c r="E104" s="307"/>
      <c r="F104" s="260" t="str">
        <f>IF(T2B!E18="","",T2B!E18)</f>
        <v>A</v>
      </c>
      <c r="G104" s="22" t="s">
        <v>19</v>
      </c>
      <c r="H104" s="99" t="s">
        <v>12</v>
      </c>
      <c r="I104" s="10" t="s">
        <v>13</v>
      </c>
      <c r="J104" s="11" t="s">
        <v>14</v>
      </c>
      <c r="K104" s="11" t="s">
        <v>15</v>
      </c>
      <c r="L104" s="10" t="s">
        <v>16</v>
      </c>
      <c r="M104" s="66" t="s">
        <v>316</v>
      </c>
      <c r="N104" s="236"/>
    </row>
    <row r="105" spans="2:14" x14ac:dyDescent="0.25">
      <c r="B105" s="62"/>
      <c r="C105" s="288" t="s">
        <v>20</v>
      </c>
      <c r="D105" s="289"/>
      <c r="E105" s="307"/>
      <c r="F105" s="261" t="str">
        <f>IF(T2B!E19="","",T2B!E19)</f>
        <v/>
      </c>
      <c r="G105" s="22"/>
      <c r="H105" s="100"/>
      <c r="I105" s="18"/>
      <c r="J105" s="10"/>
      <c r="K105" s="18"/>
      <c r="L105" s="65"/>
      <c r="M105" s="66"/>
      <c r="N105" s="236"/>
    </row>
    <row r="106" spans="2:14" x14ac:dyDescent="0.25">
      <c r="B106" s="62"/>
      <c r="C106" s="288" t="s">
        <v>55</v>
      </c>
      <c r="D106" s="289"/>
      <c r="E106" s="307"/>
      <c r="F106" s="260" t="str">
        <f ca="1">IF(OR(T2B!N14="",C5="",C6="",C7="",C8="",E7="")=TRUE,"",T2B!N14)</f>
        <v/>
      </c>
      <c r="G106" s="22" t="s">
        <v>22</v>
      </c>
      <c r="H106" s="106"/>
      <c r="I106" s="18"/>
      <c r="J106" s="10"/>
      <c r="K106" s="18"/>
      <c r="L106" s="65"/>
      <c r="M106" s="66"/>
      <c r="N106" s="236"/>
    </row>
    <row r="107" spans="2:14" x14ac:dyDescent="0.25">
      <c r="B107" s="62"/>
      <c r="C107" s="288" t="s">
        <v>56</v>
      </c>
      <c r="D107" s="289"/>
      <c r="E107" s="307"/>
      <c r="F107" s="260" t="str">
        <f ca="1">IF(OR(T2B!M14="",C5="",C6="",C7="",C8="",E7="")=TRUE,"",T2B!M14)</f>
        <v/>
      </c>
      <c r="G107" s="22" t="s">
        <v>22</v>
      </c>
      <c r="H107" s="106"/>
      <c r="I107" s="18"/>
      <c r="J107" s="10"/>
      <c r="K107" s="18"/>
      <c r="L107" s="65"/>
      <c r="M107" s="66"/>
      <c r="N107" s="236"/>
    </row>
    <row r="108" spans="2:14" x14ac:dyDescent="0.25">
      <c r="B108" s="62"/>
      <c r="C108" s="288" t="s">
        <v>57</v>
      </c>
      <c r="D108" s="289"/>
      <c r="E108" s="307"/>
      <c r="F108" s="260" t="str">
        <f ca="1">IF(OR(T2B!L14="",C5="",C6="",C7="",C8="",E7="")=TRUE,"",T2B!L14)</f>
        <v/>
      </c>
      <c r="G108" s="22" t="s">
        <v>22</v>
      </c>
      <c r="H108" s="106"/>
      <c r="I108" s="18"/>
      <c r="J108" s="10"/>
      <c r="K108" s="18"/>
      <c r="L108" s="65"/>
      <c r="M108" s="66"/>
      <c r="N108" s="236"/>
    </row>
    <row r="109" spans="2:14" x14ac:dyDescent="0.25">
      <c r="B109" s="62"/>
      <c r="C109" s="302" t="s">
        <v>58</v>
      </c>
      <c r="D109" s="303"/>
      <c r="E109" s="304"/>
      <c r="F109" s="260" t="str">
        <f ca="1">IF(OR(T2B!K14="",C5="",C6="",C7="",C8="",E7="")=TRUE,"",T2B!K14)</f>
        <v/>
      </c>
      <c r="G109" s="22" t="s">
        <v>22</v>
      </c>
      <c r="H109" s="107"/>
      <c r="I109" s="18"/>
      <c r="J109" s="10"/>
      <c r="K109" s="18"/>
      <c r="L109" s="65"/>
      <c r="M109" s="66"/>
      <c r="N109" s="236"/>
    </row>
    <row r="110" spans="2:14" x14ac:dyDescent="0.25">
      <c r="B110" s="62"/>
      <c r="C110" s="290" t="s">
        <v>59</v>
      </c>
      <c r="D110" s="291"/>
      <c r="E110" s="292"/>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x14ac:dyDescent="0.25">
      <c r="B111" s="62"/>
      <c r="C111" s="290" t="s">
        <v>62</v>
      </c>
      <c r="D111" s="291"/>
      <c r="E111" s="292"/>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x14ac:dyDescent="0.25">
      <c r="B112" s="62"/>
      <c r="C112" s="290" t="s">
        <v>65</v>
      </c>
      <c r="D112" s="291"/>
      <c r="E112" s="292"/>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x14ac:dyDescent="0.25">
      <c r="B113" s="62"/>
      <c r="C113" s="290" t="s">
        <v>67</v>
      </c>
      <c r="D113" s="291"/>
      <c r="E113" s="292"/>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x14ac:dyDescent="0.25">
      <c r="B114" s="62"/>
      <c r="C114" s="290" t="s">
        <v>69</v>
      </c>
      <c r="D114" s="291"/>
      <c r="E114" s="292"/>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x14ac:dyDescent="0.25">
      <c r="B115" s="62"/>
      <c r="C115" s="290" t="s">
        <v>71</v>
      </c>
      <c r="D115" s="291"/>
      <c r="E115" s="292"/>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x14ac:dyDescent="0.25">
      <c r="B116" s="62"/>
      <c r="C116" s="297" t="s">
        <v>74</v>
      </c>
      <c r="D116" s="298"/>
      <c r="E116" s="30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 customHeight="1" x14ac:dyDescent="0.25">
      <c r="B117" s="90"/>
      <c r="C117" s="91"/>
      <c r="D117" s="91"/>
      <c r="E117" s="91"/>
      <c r="F117" s="192"/>
      <c r="G117" s="92"/>
      <c r="H117" s="92"/>
      <c r="I117" s="92"/>
      <c r="J117" s="92"/>
      <c r="K117" s="92"/>
      <c r="L117" s="92"/>
      <c r="M117" s="92"/>
      <c r="N117" s="236"/>
    </row>
    <row r="118" spans="2:14" ht="17.399999999999999" x14ac:dyDescent="0.25">
      <c r="B118" s="243" t="s">
        <v>76</v>
      </c>
      <c r="C118" s="244"/>
      <c r="D118" s="244"/>
      <c r="E118" s="244"/>
      <c r="F118" s="248"/>
      <c r="G118" s="246"/>
      <c r="H118" s="246"/>
      <c r="I118" s="249"/>
      <c r="J118" s="250"/>
      <c r="K118" s="249"/>
      <c r="L118" s="251"/>
      <c r="M118" s="252"/>
      <c r="N118" s="236"/>
    </row>
    <row r="119" spans="2:14" ht="8.1" customHeight="1" x14ac:dyDescent="0.25">
      <c r="B119" s="84"/>
      <c r="C119" s="13"/>
      <c r="D119" s="13"/>
      <c r="E119" s="13"/>
      <c r="F119" s="190"/>
      <c r="G119" s="85"/>
      <c r="H119" s="85"/>
      <c r="I119" s="85"/>
      <c r="J119" s="85"/>
      <c r="K119" s="85"/>
      <c r="L119" s="85"/>
      <c r="M119" s="14"/>
      <c r="N119" s="236"/>
    </row>
    <row r="120" spans="2:14" x14ac:dyDescent="0.25">
      <c r="B120" s="134" t="s">
        <v>358</v>
      </c>
      <c r="C120" s="8"/>
      <c r="D120" s="8"/>
      <c r="E120" s="8"/>
      <c r="F120" s="83"/>
      <c r="G120" s="9"/>
      <c r="H120" s="86"/>
      <c r="I120" s="87"/>
      <c r="J120" s="88"/>
      <c r="K120" s="88"/>
      <c r="L120" s="87"/>
      <c r="M120" s="89"/>
      <c r="N120" s="236"/>
    </row>
    <row r="121" spans="2:14" x14ac:dyDescent="0.25">
      <c r="B121" s="62"/>
      <c r="C121" s="288" t="s">
        <v>18</v>
      </c>
      <c r="D121" s="289"/>
      <c r="E121" s="307"/>
      <c r="F121" s="260" t="e">
        <f>IF(#REF!="","",#REF!)</f>
        <v>#REF!</v>
      </c>
      <c r="G121" s="97" t="s">
        <v>19</v>
      </c>
      <c r="H121" s="99" t="s">
        <v>12</v>
      </c>
      <c r="I121" s="10" t="s">
        <v>13</v>
      </c>
      <c r="J121" s="11" t="s">
        <v>14</v>
      </c>
      <c r="K121" s="11" t="s">
        <v>15</v>
      </c>
      <c r="L121" s="10" t="s">
        <v>16</v>
      </c>
      <c r="M121" s="66" t="s">
        <v>316</v>
      </c>
      <c r="N121" s="236"/>
    </row>
    <row r="122" spans="2:14" x14ac:dyDescent="0.25">
      <c r="B122" s="62"/>
      <c r="C122" s="302" t="s">
        <v>20</v>
      </c>
      <c r="D122" s="303"/>
      <c r="E122" s="304"/>
      <c r="F122" s="261" t="e">
        <f>IF(#REF!="","",#REF!)</f>
        <v>#REF!</v>
      </c>
      <c r="G122" s="97"/>
      <c r="H122" s="100"/>
      <c r="I122" s="18"/>
      <c r="J122" s="10"/>
      <c r="K122" s="18"/>
      <c r="L122" s="65"/>
      <c r="M122" s="66"/>
      <c r="N122" s="236"/>
    </row>
    <row r="123" spans="2:14" x14ac:dyDescent="0.25">
      <c r="B123" s="62"/>
      <c r="C123" s="290" t="s">
        <v>77</v>
      </c>
      <c r="D123" s="291"/>
      <c r="E123" s="292"/>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x14ac:dyDescent="0.25">
      <c r="B124" s="62"/>
      <c r="C124" s="290" t="s">
        <v>78</v>
      </c>
      <c r="D124" s="291"/>
      <c r="E124" s="292"/>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x14ac:dyDescent="0.25">
      <c r="B125" s="62"/>
      <c r="C125" s="297" t="s">
        <v>79</v>
      </c>
      <c r="D125" s="298"/>
      <c r="E125" s="30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 customHeight="1" x14ac:dyDescent="0.25">
      <c r="B126" s="84"/>
      <c r="C126" s="13"/>
      <c r="D126" s="13"/>
      <c r="E126" s="13"/>
      <c r="F126" s="190"/>
      <c r="G126" s="85"/>
      <c r="H126" s="85"/>
      <c r="I126" s="85"/>
      <c r="J126" s="85"/>
      <c r="K126" s="85"/>
      <c r="L126" s="85"/>
      <c r="M126" s="14"/>
      <c r="N126" s="236"/>
    </row>
    <row r="127" spans="2:14" x14ac:dyDescent="0.25">
      <c r="B127" s="134" t="s">
        <v>363</v>
      </c>
      <c r="C127" s="8"/>
      <c r="D127" s="8"/>
      <c r="E127" s="8"/>
      <c r="F127" s="83"/>
      <c r="G127" s="9"/>
      <c r="H127" s="86"/>
      <c r="I127" s="87"/>
      <c r="J127" s="88"/>
      <c r="K127" s="88"/>
      <c r="L127" s="87"/>
      <c r="M127" s="89"/>
      <c r="N127" s="236"/>
    </row>
    <row r="128" spans="2:14" x14ac:dyDescent="0.25">
      <c r="B128" s="62"/>
      <c r="C128" s="288" t="s">
        <v>50</v>
      </c>
      <c r="D128" s="289"/>
      <c r="E128" s="307"/>
      <c r="F128" s="260" t="e">
        <f>IF(#REF!="","",#REF!)</f>
        <v>#REF!</v>
      </c>
      <c r="G128" s="97" t="s">
        <v>19</v>
      </c>
      <c r="H128" s="99" t="s">
        <v>12</v>
      </c>
      <c r="I128" s="10" t="s">
        <v>13</v>
      </c>
      <c r="J128" s="11" t="s">
        <v>14</v>
      </c>
      <c r="K128" s="11" t="s">
        <v>15</v>
      </c>
      <c r="L128" s="10" t="s">
        <v>16</v>
      </c>
      <c r="M128" s="66" t="s">
        <v>316</v>
      </c>
      <c r="N128" s="236"/>
    </row>
    <row r="129" spans="2:14" x14ac:dyDescent="0.25">
      <c r="B129" s="62"/>
      <c r="C129" s="302" t="s">
        <v>20</v>
      </c>
      <c r="D129" s="303"/>
      <c r="E129" s="304"/>
      <c r="F129" s="261" t="e">
        <f>IF(#REF!="","",#REF!)</f>
        <v>#REF!</v>
      </c>
      <c r="G129" s="97"/>
      <c r="H129" s="100"/>
      <c r="I129" s="18"/>
      <c r="J129" s="10"/>
      <c r="K129" s="18"/>
      <c r="L129" s="65"/>
      <c r="M129" s="66"/>
      <c r="N129" s="236"/>
    </row>
    <row r="130" spans="2:14" x14ac:dyDescent="0.25">
      <c r="B130" s="62"/>
      <c r="C130" s="290" t="s">
        <v>80</v>
      </c>
      <c r="D130" s="291"/>
      <c r="E130" s="292"/>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x14ac:dyDescent="0.25">
      <c r="B131" s="62"/>
      <c r="C131" s="290" t="s">
        <v>81</v>
      </c>
      <c r="D131" s="291"/>
      <c r="E131" s="292"/>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x14ac:dyDescent="0.25">
      <c r="B132" s="62"/>
      <c r="C132" s="297" t="s">
        <v>82</v>
      </c>
      <c r="D132" s="298"/>
      <c r="E132" s="30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 customHeight="1" x14ac:dyDescent="0.25">
      <c r="B133" s="84"/>
      <c r="C133" s="13"/>
      <c r="D133" s="13"/>
      <c r="E133" s="13"/>
      <c r="F133" s="190"/>
      <c r="G133" s="85"/>
      <c r="H133" s="85"/>
      <c r="I133" s="85"/>
      <c r="J133" s="85"/>
      <c r="K133" s="85"/>
      <c r="L133" s="85"/>
      <c r="M133" s="14"/>
      <c r="N133" s="236"/>
    </row>
    <row r="134" spans="2:14" x14ac:dyDescent="0.25">
      <c r="B134" s="134" t="s">
        <v>364</v>
      </c>
      <c r="C134" s="8"/>
      <c r="D134" s="8"/>
      <c r="E134" s="8"/>
      <c r="F134" s="83"/>
      <c r="G134" s="9"/>
      <c r="H134" s="86"/>
      <c r="I134" s="87"/>
      <c r="J134" s="88"/>
      <c r="K134" s="88"/>
      <c r="L134" s="87"/>
      <c r="M134" s="89"/>
      <c r="N134" s="236"/>
    </row>
    <row r="135" spans="2:14" x14ac:dyDescent="0.25">
      <c r="B135" s="62"/>
      <c r="C135" s="288" t="s">
        <v>50</v>
      </c>
      <c r="D135" s="289"/>
      <c r="E135" s="307"/>
      <c r="F135" s="260" t="e">
        <f>IF(#REF!="","",#REF!)</f>
        <v>#REF!</v>
      </c>
      <c r="G135" s="97" t="s">
        <v>19</v>
      </c>
      <c r="H135" s="99" t="s">
        <v>12</v>
      </c>
      <c r="I135" s="10" t="s">
        <v>13</v>
      </c>
      <c r="J135" s="11" t="s">
        <v>14</v>
      </c>
      <c r="K135" s="11" t="s">
        <v>15</v>
      </c>
      <c r="L135" s="10" t="s">
        <v>16</v>
      </c>
      <c r="M135" s="66" t="s">
        <v>316</v>
      </c>
      <c r="N135" s="236"/>
    </row>
    <row r="136" spans="2:14" x14ac:dyDescent="0.25">
      <c r="B136" s="62"/>
      <c r="C136" s="6" t="s">
        <v>20</v>
      </c>
      <c r="D136" s="6"/>
      <c r="E136" s="6"/>
      <c r="F136" s="261" t="e">
        <f>IF(#REF!="","",#REF!)</f>
        <v>#REF!</v>
      </c>
      <c r="G136" s="97"/>
      <c r="H136" s="100"/>
      <c r="I136" s="18"/>
      <c r="J136" s="10"/>
      <c r="K136" s="18"/>
      <c r="L136" s="65"/>
      <c r="M136" s="66"/>
      <c r="N136" s="236"/>
    </row>
    <row r="137" spans="2:14" x14ac:dyDescent="0.25">
      <c r="B137" s="62"/>
      <c r="C137" s="290" t="s">
        <v>80</v>
      </c>
      <c r="D137" s="291"/>
      <c r="E137" s="292"/>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x14ac:dyDescent="0.25">
      <c r="B138" s="62"/>
      <c r="C138" s="290" t="s">
        <v>82</v>
      </c>
      <c r="D138" s="291"/>
      <c r="E138" s="292"/>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x14ac:dyDescent="0.25">
      <c r="B139" s="62"/>
      <c r="C139" s="297" t="s">
        <v>59</v>
      </c>
      <c r="D139" s="298"/>
      <c r="E139" s="30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 customHeight="1" x14ac:dyDescent="0.25">
      <c r="B140" s="90"/>
      <c r="C140" s="91"/>
      <c r="D140" s="91"/>
      <c r="E140" s="91"/>
      <c r="F140" s="192"/>
      <c r="G140" s="92"/>
      <c r="H140" s="92"/>
      <c r="I140" s="92"/>
      <c r="J140" s="92"/>
      <c r="K140" s="92"/>
      <c r="L140" s="92"/>
      <c r="M140" s="92"/>
      <c r="N140" s="236"/>
    </row>
    <row r="141" spans="2:14" ht="17.399999999999999" x14ac:dyDescent="0.25">
      <c r="B141" s="243" t="s">
        <v>85</v>
      </c>
      <c r="C141" s="244"/>
      <c r="D141" s="244"/>
      <c r="E141" s="244"/>
      <c r="F141" s="248"/>
      <c r="G141" s="246"/>
      <c r="H141" s="246"/>
      <c r="I141" s="249"/>
      <c r="J141" s="250"/>
      <c r="K141" s="249"/>
      <c r="L141" s="251"/>
      <c r="M141" s="252"/>
      <c r="N141" s="236"/>
    </row>
    <row r="142" spans="2:14" ht="8.1" customHeight="1" x14ac:dyDescent="0.25">
      <c r="B142" s="84"/>
      <c r="C142" s="13"/>
      <c r="D142" s="13"/>
      <c r="E142" s="13"/>
      <c r="F142" s="190"/>
      <c r="G142" s="85"/>
      <c r="H142" s="85"/>
      <c r="I142" s="85"/>
      <c r="J142" s="85"/>
      <c r="K142" s="85"/>
      <c r="L142" s="85"/>
      <c r="M142" s="14"/>
      <c r="N142" s="236"/>
    </row>
    <row r="143" spans="2:14" x14ac:dyDescent="0.25">
      <c r="B143" s="134" t="s">
        <v>365</v>
      </c>
      <c r="C143" s="8"/>
      <c r="D143" s="8"/>
      <c r="E143" s="8"/>
      <c r="F143" s="83"/>
      <c r="G143" s="9"/>
      <c r="H143" s="86"/>
      <c r="I143" s="87"/>
      <c r="J143" s="88"/>
      <c r="K143" s="88"/>
      <c r="L143" s="87"/>
      <c r="M143" s="89"/>
      <c r="N143" s="236"/>
    </row>
    <row r="144" spans="2:14" x14ac:dyDescent="0.25">
      <c r="B144" s="62"/>
      <c r="C144" s="288" t="s">
        <v>50</v>
      </c>
      <c r="D144" s="289"/>
      <c r="E144" s="307"/>
      <c r="F144" s="260" t="e">
        <f>IF(#REF!="","",#REF!)</f>
        <v>#REF!</v>
      </c>
      <c r="G144" s="97" t="s">
        <v>19</v>
      </c>
      <c r="H144" s="99" t="s">
        <v>12</v>
      </c>
      <c r="I144" s="10" t="s">
        <v>13</v>
      </c>
      <c r="J144" s="11" t="s">
        <v>14</v>
      </c>
      <c r="K144" s="11" t="s">
        <v>15</v>
      </c>
      <c r="L144" s="10" t="s">
        <v>16</v>
      </c>
      <c r="M144" s="66" t="s">
        <v>316</v>
      </c>
      <c r="N144" s="236"/>
    </row>
    <row r="145" spans="2:14" x14ac:dyDescent="0.25">
      <c r="B145" s="62"/>
      <c r="C145" s="302" t="s">
        <v>20</v>
      </c>
      <c r="D145" s="303"/>
      <c r="E145" s="304"/>
      <c r="F145" s="261" t="e">
        <f>IF(#REF!="","",#REF!)</f>
        <v>#REF!</v>
      </c>
      <c r="G145" s="97"/>
      <c r="H145" s="100"/>
      <c r="I145" s="18"/>
      <c r="J145" s="10"/>
      <c r="K145" s="18"/>
      <c r="L145" s="65"/>
      <c r="M145" s="66"/>
      <c r="N145" s="236"/>
    </row>
    <row r="146" spans="2:14" x14ac:dyDescent="0.25">
      <c r="B146" s="62"/>
      <c r="C146" s="290" t="s">
        <v>86</v>
      </c>
      <c r="D146" s="291"/>
      <c r="E146" s="292"/>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x14ac:dyDescent="0.25">
      <c r="B147" s="62"/>
      <c r="C147" s="290" t="s">
        <v>87</v>
      </c>
      <c r="D147" s="291"/>
      <c r="E147" s="292"/>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x14ac:dyDescent="0.25">
      <c r="B148" s="62"/>
      <c r="C148" s="290" t="s">
        <v>89</v>
      </c>
      <c r="D148" s="291"/>
      <c r="E148" s="292"/>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x14ac:dyDescent="0.25">
      <c r="B149" s="62"/>
      <c r="C149" s="290" t="s">
        <v>91</v>
      </c>
      <c r="D149" s="291"/>
      <c r="E149" s="292"/>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x14ac:dyDescent="0.25">
      <c r="B151" s="62"/>
      <c r="C151" s="290" t="s">
        <v>94</v>
      </c>
      <c r="D151" s="291"/>
      <c r="E151" s="292"/>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x14ac:dyDescent="0.25">
      <c r="B152" s="62"/>
      <c r="C152" s="290" t="s">
        <v>95</v>
      </c>
      <c r="D152" s="291"/>
      <c r="E152" s="292"/>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x14ac:dyDescent="0.25">
      <c r="B153" s="62"/>
      <c r="C153" s="290" t="s">
        <v>96</v>
      </c>
      <c r="D153" s="291"/>
      <c r="E153" s="292"/>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x14ac:dyDescent="0.25">
      <c r="B154" s="62"/>
      <c r="C154" s="297" t="s">
        <v>97</v>
      </c>
      <c r="D154" s="298"/>
      <c r="E154" s="30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 customHeight="1" x14ac:dyDescent="0.25">
      <c r="B155" s="84"/>
      <c r="C155" s="13"/>
      <c r="D155" s="13"/>
      <c r="E155" s="13"/>
      <c r="F155" s="190"/>
      <c r="G155" s="85"/>
      <c r="H155" s="85"/>
      <c r="I155" s="85"/>
      <c r="J155" s="85"/>
      <c r="K155" s="85"/>
      <c r="L155" s="85"/>
      <c r="M155" s="14"/>
      <c r="N155" s="236"/>
    </row>
    <row r="156" spans="2:14" x14ac:dyDescent="0.25">
      <c r="B156" s="134" t="s">
        <v>367</v>
      </c>
      <c r="C156" s="8"/>
      <c r="D156" s="8"/>
      <c r="E156" s="8"/>
      <c r="F156" s="83"/>
      <c r="G156" s="9"/>
      <c r="H156" s="86"/>
      <c r="I156" s="87"/>
      <c r="J156" s="88"/>
      <c r="K156" s="88"/>
      <c r="L156" s="87"/>
      <c r="M156" s="89"/>
      <c r="N156" s="236"/>
    </row>
    <row r="157" spans="2:14" x14ac:dyDescent="0.25">
      <c r="B157" s="62"/>
      <c r="C157" s="288" t="s">
        <v>50</v>
      </c>
      <c r="D157" s="289"/>
      <c r="E157" s="307"/>
      <c r="F157" s="260" t="e">
        <f>IF(#REF!="","",#REF!)</f>
        <v>#REF!</v>
      </c>
      <c r="G157" s="97" t="s">
        <v>19</v>
      </c>
      <c r="H157" s="99" t="s">
        <v>12</v>
      </c>
      <c r="I157" s="10" t="s">
        <v>13</v>
      </c>
      <c r="J157" s="11" t="s">
        <v>14</v>
      </c>
      <c r="K157" s="11" t="s">
        <v>15</v>
      </c>
      <c r="L157" s="10" t="s">
        <v>16</v>
      </c>
      <c r="M157" s="66" t="s">
        <v>316</v>
      </c>
      <c r="N157" s="236"/>
    </row>
    <row r="158" spans="2:14" x14ac:dyDescent="0.25">
      <c r="B158" s="62"/>
      <c r="C158" s="302" t="s">
        <v>20</v>
      </c>
      <c r="D158" s="303"/>
      <c r="E158" s="304"/>
      <c r="F158" s="261" t="e">
        <f>IF(#REF!="","",#REF!)</f>
        <v>#REF!</v>
      </c>
      <c r="G158" s="97"/>
      <c r="H158" s="100"/>
      <c r="I158" s="18"/>
      <c r="J158" s="10"/>
      <c r="K158" s="18"/>
      <c r="L158" s="65"/>
      <c r="M158" s="66"/>
      <c r="N158" s="236"/>
    </row>
    <row r="159" spans="2:14" x14ac:dyDescent="0.25">
      <c r="B159" s="62"/>
      <c r="C159" s="290" t="s">
        <v>80</v>
      </c>
      <c r="D159" s="291"/>
      <c r="E159" s="292"/>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x14ac:dyDescent="0.25">
      <c r="B160" s="62"/>
      <c r="C160" s="290" t="s">
        <v>99</v>
      </c>
      <c r="D160" s="291"/>
      <c r="E160" s="292"/>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x14ac:dyDescent="0.25">
      <c r="B161" s="62"/>
      <c r="C161" s="290" t="s">
        <v>100</v>
      </c>
      <c r="D161" s="291"/>
      <c r="E161" s="292"/>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x14ac:dyDescent="0.25">
      <c r="B162" s="62"/>
      <c r="C162" s="297" t="s">
        <v>101</v>
      </c>
      <c r="D162" s="298"/>
      <c r="E162" s="30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 customHeight="1" x14ac:dyDescent="0.25">
      <c r="B163" s="84"/>
      <c r="C163" s="13"/>
      <c r="D163" s="13"/>
      <c r="E163" s="13"/>
      <c r="F163" s="190"/>
      <c r="G163" s="85"/>
      <c r="H163" s="85"/>
      <c r="I163" s="85"/>
      <c r="J163" s="85"/>
      <c r="K163" s="85"/>
      <c r="L163" s="85"/>
      <c r="M163" s="14"/>
      <c r="N163" s="236"/>
    </row>
    <row r="164" spans="2:14" x14ac:dyDescent="0.25">
      <c r="B164" s="134" t="s">
        <v>368</v>
      </c>
      <c r="C164" s="8"/>
      <c r="D164" s="8"/>
      <c r="E164" s="8"/>
      <c r="F164" s="83"/>
      <c r="G164" s="9"/>
      <c r="H164" s="86"/>
      <c r="I164" s="87"/>
      <c r="J164" s="88"/>
      <c r="K164" s="88"/>
      <c r="L164" s="87"/>
      <c r="M164" s="89"/>
      <c r="N164" s="236"/>
    </row>
    <row r="165" spans="2:14" x14ac:dyDescent="0.25">
      <c r="B165" s="62"/>
      <c r="C165" s="288" t="s">
        <v>50</v>
      </c>
      <c r="D165" s="289"/>
      <c r="E165" s="307"/>
      <c r="F165" s="260" t="e">
        <f>IF(#REF!="","",#REF!)</f>
        <v>#REF!</v>
      </c>
      <c r="G165" s="97" t="s">
        <v>19</v>
      </c>
      <c r="H165" s="99" t="s">
        <v>12</v>
      </c>
      <c r="I165" s="10" t="s">
        <v>13</v>
      </c>
      <c r="J165" s="11" t="s">
        <v>14</v>
      </c>
      <c r="K165" s="11" t="s">
        <v>15</v>
      </c>
      <c r="L165" s="10" t="s">
        <v>16</v>
      </c>
      <c r="M165" s="66" t="s">
        <v>316</v>
      </c>
      <c r="N165" s="236"/>
    </row>
    <row r="166" spans="2:14" x14ac:dyDescent="0.25">
      <c r="B166" s="62"/>
      <c r="C166" s="302" t="s">
        <v>20</v>
      </c>
      <c r="D166" s="303"/>
      <c r="E166" s="304"/>
      <c r="F166" s="261" t="e">
        <f>IF(#REF!="","",#REF!)</f>
        <v>#REF!</v>
      </c>
      <c r="G166" s="97"/>
      <c r="H166" s="100"/>
      <c r="I166" s="10"/>
      <c r="J166" s="10"/>
      <c r="K166" s="18"/>
      <c r="L166" s="65"/>
      <c r="M166" s="66"/>
      <c r="N166" s="236"/>
    </row>
    <row r="167" spans="2:14" x14ac:dyDescent="0.25">
      <c r="B167" s="62"/>
      <c r="C167" s="290" t="s">
        <v>103</v>
      </c>
      <c r="D167" s="291"/>
      <c r="E167" s="292"/>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x14ac:dyDescent="0.25">
      <c r="B168" s="62"/>
      <c r="C168" s="290" t="s">
        <v>104</v>
      </c>
      <c r="D168" s="291"/>
      <c r="E168" s="292"/>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x14ac:dyDescent="0.25">
      <c r="B169" s="62"/>
      <c r="C169" s="290" t="s">
        <v>106</v>
      </c>
      <c r="D169" s="291"/>
      <c r="E169" s="292"/>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x14ac:dyDescent="0.25">
      <c r="B170" s="62"/>
      <c r="C170" s="290" t="s">
        <v>107</v>
      </c>
      <c r="D170" s="291"/>
      <c r="E170" s="292"/>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x14ac:dyDescent="0.25">
      <c r="B171" s="62"/>
      <c r="C171" s="290" t="s">
        <v>108</v>
      </c>
      <c r="D171" s="291"/>
      <c r="E171" s="292"/>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x14ac:dyDescent="0.25">
      <c r="B172" s="62"/>
      <c r="C172" s="290" t="s">
        <v>109</v>
      </c>
      <c r="D172" s="291"/>
      <c r="E172" s="292"/>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x14ac:dyDescent="0.25">
      <c r="B173" s="62"/>
      <c r="C173" s="290" t="s">
        <v>110</v>
      </c>
      <c r="D173" s="291"/>
      <c r="E173" s="292"/>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x14ac:dyDescent="0.25">
      <c r="B174" s="62"/>
      <c r="C174" s="290" t="s">
        <v>111</v>
      </c>
      <c r="D174" s="291"/>
      <c r="E174" s="292"/>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x14ac:dyDescent="0.25">
      <c r="B175" s="63"/>
      <c r="C175" s="297" t="s">
        <v>112</v>
      </c>
      <c r="D175" s="298"/>
      <c r="E175" s="30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 customHeight="1" x14ac:dyDescent="0.25">
      <c r="B176" s="84"/>
      <c r="C176" s="13"/>
      <c r="D176" s="13"/>
      <c r="E176" s="13"/>
      <c r="F176" s="190"/>
      <c r="G176" s="85"/>
      <c r="H176" s="85"/>
      <c r="I176" s="85"/>
      <c r="J176" s="85"/>
      <c r="K176" s="85"/>
      <c r="L176" s="85"/>
      <c r="M176" s="14"/>
      <c r="N176" s="236"/>
    </row>
    <row r="177" spans="2:14" x14ac:dyDescent="0.25">
      <c r="B177" s="134" t="s">
        <v>369</v>
      </c>
      <c r="C177" s="8"/>
      <c r="D177" s="8"/>
      <c r="E177" s="8"/>
      <c r="F177" s="83"/>
      <c r="G177" s="9"/>
      <c r="H177" s="86"/>
      <c r="I177" s="87"/>
      <c r="J177" s="88"/>
      <c r="K177" s="88"/>
      <c r="L177" s="87"/>
      <c r="M177" s="89"/>
      <c r="N177" s="236"/>
    </row>
    <row r="178" spans="2:14" x14ac:dyDescent="0.25">
      <c r="B178" s="62"/>
      <c r="C178" s="288" t="s">
        <v>18</v>
      </c>
      <c r="D178" s="289"/>
      <c r="E178" s="307"/>
      <c r="F178" s="260" t="e">
        <f>IF(#REF!="","",#REF!)</f>
        <v>#REF!</v>
      </c>
      <c r="G178" s="97" t="s">
        <v>19</v>
      </c>
      <c r="H178" s="99" t="s">
        <v>12</v>
      </c>
      <c r="I178" s="10" t="s">
        <v>13</v>
      </c>
      <c r="J178" s="11" t="s">
        <v>14</v>
      </c>
      <c r="K178" s="11" t="s">
        <v>15</v>
      </c>
      <c r="L178" s="10" t="s">
        <v>16</v>
      </c>
      <c r="M178" s="66" t="s">
        <v>316</v>
      </c>
      <c r="N178" s="236"/>
    </row>
    <row r="179" spans="2:14" x14ac:dyDescent="0.25">
      <c r="B179" s="62"/>
      <c r="C179" s="302" t="s">
        <v>20</v>
      </c>
      <c r="D179" s="303"/>
      <c r="E179" s="304"/>
      <c r="F179" s="261" t="e">
        <f>IF(#REF!="","",#REF!)</f>
        <v>#REF!</v>
      </c>
      <c r="G179" s="97"/>
      <c r="H179" s="100"/>
      <c r="I179" s="10"/>
      <c r="J179" s="10"/>
      <c r="K179" s="18"/>
      <c r="L179" s="65"/>
      <c r="M179" s="66"/>
      <c r="N179" s="236"/>
    </row>
    <row r="180" spans="2:14" x14ac:dyDescent="0.25">
      <c r="B180" s="62"/>
      <c r="C180" s="290" t="s">
        <v>115</v>
      </c>
      <c r="D180" s="291"/>
      <c r="E180" s="292"/>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25">
      <c r="B181" s="62"/>
      <c r="C181" s="290" t="s">
        <v>80</v>
      </c>
      <c r="D181" s="291"/>
      <c r="E181" s="292"/>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x14ac:dyDescent="0.25">
      <c r="B182" s="62"/>
      <c r="C182" s="290" t="s">
        <v>116</v>
      </c>
      <c r="D182" s="291"/>
      <c r="E182" s="292"/>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x14ac:dyDescent="0.25">
      <c r="B183" s="62"/>
      <c r="C183" s="290" t="s">
        <v>118</v>
      </c>
      <c r="D183" s="291"/>
      <c r="E183" s="292"/>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x14ac:dyDescent="0.25">
      <c r="B184" s="62"/>
      <c r="C184" s="290" t="s">
        <v>119</v>
      </c>
      <c r="D184" s="291"/>
      <c r="E184" s="292"/>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x14ac:dyDescent="0.25">
      <c r="B185" s="62"/>
      <c r="C185" s="290" t="s">
        <v>120</v>
      </c>
      <c r="D185" s="291"/>
      <c r="E185" s="292"/>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x14ac:dyDescent="0.25">
      <c r="B186" s="62"/>
      <c r="C186" s="290" t="s">
        <v>121</v>
      </c>
      <c r="D186" s="291"/>
      <c r="E186" s="292"/>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x14ac:dyDescent="0.25">
      <c r="B187" s="62"/>
      <c r="C187" s="290" t="s">
        <v>123</v>
      </c>
      <c r="D187" s="291"/>
      <c r="E187" s="292"/>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x14ac:dyDescent="0.25">
      <c r="B188" s="62"/>
      <c r="C188" s="290" t="s">
        <v>124</v>
      </c>
      <c r="D188" s="291"/>
      <c r="E188" s="292"/>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x14ac:dyDescent="0.25">
      <c r="B189" s="62"/>
      <c r="C189" s="290" t="s">
        <v>125</v>
      </c>
      <c r="D189" s="291"/>
      <c r="E189" s="292"/>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x14ac:dyDescent="0.25">
      <c r="B190" s="62"/>
      <c r="C190" s="290" t="s">
        <v>126</v>
      </c>
      <c r="D190" s="291"/>
      <c r="E190" s="292"/>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x14ac:dyDescent="0.25">
      <c r="B191" s="63"/>
      <c r="C191" s="297" t="s">
        <v>127</v>
      </c>
      <c r="D191" s="298"/>
      <c r="E191" s="30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x14ac:dyDescent="0.25">
      <c r="B192" s="1"/>
      <c r="C192" s="6"/>
      <c r="D192" s="6"/>
      <c r="E192" s="6"/>
      <c r="F192" s="72"/>
      <c r="G192" s="22"/>
      <c r="H192" s="64"/>
      <c r="I192" s="64"/>
      <c r="J192" s="10"/>
      <c r="K192" s="18"/>
      <c r="L192" s="65"/>
      <c r="M192" s="6"/>
      <c r="N192" s="236"/>
    </row>
    <row r="193" spans="2:14" x14ac:dyDescent="0.25">
      <c r="B193" s="133" t="s">
        <v>374</v>
      </c>
      <c r="F193" s="114" t="s">
        <v>375</v>
      </c>
      <c r="N193" s="236"/>
    </row>
    <row r="194" spans="2:14" ht="8.1" customHeight="1" x14ac:dyDescent="0.25">
      <c r="B194" s="93"/>
      <c r="C194" s="95"/>
      <c r="D194" s="95"/>
      <c r="E194" s="95"/>
      <c r="F194" s="191"/>
      <c r="G194" s="96"/>
      <c r="H194" s="96"/>
      <c r="I194" s="96"/>
      <c r="J194" s="96"/>
      <c r="K194" s="96"/>
      <c r="L194" s="96"/>
      <c r="M194" s="96"/>
      <c r="N194" s="236"/>
    </row>
    <row r="195" spans="2:14" ht="17.399999999999999" x14ac:dyDescent="0.25">
      <c r="B195" s="243" t="s">
        <v>319</v>
      </c>
      <c r="C195" s="244"/>
      <c r="D195" s="244"/>
      <c r="E195" s="244"/>
      <c r="F195" s="248"/>
      <c r="G195" s="246"/>
      <c r="H195" s="246"/>
      <c r="I195" s="249"/>
      <c r="J195" s="250"/>
      <c r="K195" s="249"/>
      <c r="L195" s="251"/>
      <c r="M195" s="252"/>
      <c r="N195" s="236"/>
    </row>
    <row r="196" spans="2:14" ht="8.1" customHeight="1" x14ac:dyDescent="0.25">
      <c r="B196" s="84"/>
      <c r="C196" s="13"/>
      <c r="D196" s="13"/>
      <c r="E196" s="13"/>
      <c r="F196" s="190"/>
      <c r="G196" s="85"/>
      <c r="H196" s="85"/>
      <c r="I196" s="85"/>
      <c r="J196" s="85"/>
      <c r="K196" s="85"/>
      <c r="L196" s="85"/>
      <c r="M196" s="14"/>
      <c r="N196" s="236"/>
    </row>
    <row r="197" spans="2:14" x14ac:dyDescent="0.25">
      <c r="B197" s="134" t="s">
        <v>320</v>
      </c>
      <c r="C197" s="8"/>
      <c r="D197" s="8"/>
      <c r="E197" s="8"/>
      <c r="F197" s="232" t="s">
        <v>13</v>
      </c>
      <c r="G197" s="9"/>
      <c r="H197" s="87"/>
      <c r="I197" s="237" t="s">
        <v>393</v>
      </c>
      <c r="K197" s="88"/>
      <c r="L197" s="87"/>
      <c r="M197" s="89"/>
      <c r="N197" s="236"/>
    </row>
    <row r="198" spans="2:14" x14ac:dyDescent="0.25">
      <c r="B198" s="62"/>
      <c r="C198" s="288" t="s">
        <v>50</v>
      </c>
      <c r="D198" s="289"/>
      <c r="E198" s="289"/>
      <c r="F198" s="273" t="str">
        <f>IF(C2="","",C2)</f>
        <v>A</v>
      </c>
      <c r="G198" s="22" t="s">
        <v>19</v>
      </c>
      <c r="H198" s="99"/>
      <c r="I198" s="10" t="s">
        <v>13</v>
      </c>
      <c r="J198" s="11" t="s">
        <v>14</v>
      </c>
      <c r="K198" s="11" t="s">
        <v>15</v>
      </c>
      <c r="L198" s="10" t="s">
        <v>16</v>
      </c>
      <c r="M198" s="66"/>
      <c r="N198" s="236"/>
    </row>
    <row r="199" spans="2:14" x14ac:dyDescent="0.25">
      <c r="B199" s="62"/>
      <c r="C199" s="302" t="s">
        <v>20</v>
      </c>
      <c r="D199" s="303"/>
      <c r="E199" s="303"/>
      <c r="F199" s="274" t="str">
        <f>IF($C$8="","",$C$8)</f>
        <v/>
      </c>
      <c r="G199" s="22"/>
      <c r="H199" s="100"/>
      <c r="I199" s="237"/>
      <c r="J199" s="10"/>
      <c r="K199" s="18"/>
      <c r="L199" s="65"/>
      <c r="M199" s="66"/>
      <c r="N199" s="236"/>
    </row>
    <row r="200" spans="2:14" x14ac:dyDescent="0.25">
      <c r="B200" s="62"/>
      <c r="C200" s="290" t="s">
        <v>340</v>
      </c>
      <c r="D200" s="291"/>
      <c r="E200" s="291"/>
      <c r="F200" s="275" t="str">
        <f>IF(I200="","",I200)</f>
        <v/>
      </c>
      <c r="G200" s="105" t="s">
        <v>13</v>
      </c>
      <c r="H200" s="101"/>
      <c r="I200" s="262"/>
      <c r="J200" s="79" t="str">
        <f>IF(F200="","",(L200-50)/10)</f>
        <v/>
      </c>
      <c r="K200" s="80" t="str">
        <f>IF(F200="","",(((L200-50)/10)*2)+5)</f>
        <v/>
      </c>
      <c r="L200" s="78" t="str">
        <f>IF(F200="","",LOOKUP($F200*100,$T$1205:$T$1267,$V$1205:$V$1267))</f>
        <v/>
      </c>
      <c r="M200" s="76"/>
      <c r="N200" s="236"/>
    </row>
    <row r="201" spans="2:14" x14ac:dyDescent="0.25">
      <c r="B201" s="62"/>
      <c r="C201" s="290" t="s">
        <v>341</v>
      </c>
      <c r="D201" s="291"/>
      <c r="E201" s="291"/>
      <c r="F201" s="275" t="str">
        <f>IF(I201="","",I201)</f>
        <v/>
      </c>
      <c r="G201" s="105" t="s">
        <v>13</v>
      </c>
      <c r="H201" s="101"/>
      <c r="I201" s="265"/>
      <c r="J201" s="79" t="str">
        <f>IF(F201="","",(L201-50)/10)</f>
        <v/>
      </c>
      <c r="K201" s="80" t="str">
        <f>IF(F201="","",(((L201-50)/10)*2)+5)</f>
        <v/>
      </c>
      <c r="L201" s="78" t="str">
        <f>IF(F201="","",LOOKUP($F201*100,$T$1205:$T$1267,$V$1205:$V$1267))</f>
        <v/>
      </c>
      <c r="M201" s="76"/>
      <c r="N201" s="236"/>
    </row>
    <row r="202" spans="2:14" x14ac:dyDescent="0.25">
      <c r="B202" s="62"/>
      <c r="C202" s="290" t="s">
        <v>342</v>
      </c>
      <c r="D202" s="291"/>
      <c r="E202" s="291"/>
      <c r="F202" s="275" t="str">
        <f>IF(I202="","",I202)</f>
        <v/>
      </c>
      <c r="G202" s="105" t="s">
        <v>13</v>
      </c>
      <c r="H202" s="101"/>
      <c r="I202" s="265"/>
      <c r="J202" s="79" t="str">
        <f>IF(F202="","",(L202-50)/10)</f>
        <v/>
      </c>
      <c r="K202" s="80" t="str">
        <f>IF(F202="","",(((L202-50)/10)*2)+5)</f>
        <v/>
      </c>
      <c r="L202" s="78" t="str">
        <f>IF(F202="","",LOOKUP($F202*100,$T$1205:$T$1267,$V$1205:$V$1267))</f>
        <v/>
      </c>
      <c r="M202" s="81"/>
      <c r="N202" s="236"/>
    </row>
    <row r="203" spans="2:14" x14ac:dyDescent="0.25">
      <c r="B203" s="62"/>
      <c r="C203" s="290" t="s">
        <v>343</v>
      </c>
      <c r="D203" s="291"/>
      <c r="E203" s="291"/>
      <c r="F203" s="275" t="str">
        <f>IF(I203="","",I203)</f>
        <v/>
      </c>
      <c r="G203" s="105" t="s">
        <v>13</v>
      </c>
      <c r="H203" s="101"/>
      <c r="I203" s="265"/>
      <c r="J203" s="79" t="str">
        <f>IF(F203="","",(L203-50)/10)</f>
        <v/>
      </c>
      <c r="K203" s="80" t="str">
        <f>IF(F203="","",(((L203-50)/10)*2)+5)</f>
        <v/>
      </c>
      <c r="L203" s="78" t="str">
        <f>IF(F203="","",LOOKUP($F203*100,$T$1205:$T$1267,$V$1205:$V$1267))</f>
        <v/>
      </c>
      <c r="M203" s="76"/>
      <c r="N203" s="236"/>
    </row>
    <row r="204" spans="2:14" x14ac:dyDescent="0.25">
      <c r="B204" s="62"/>
      <c r="C204" s="297" t="s">
        <v>344</v>
      </c>
      <c r="D204" s="298"/>
      <c r="E204" s="298"/>
      <c r="F204" s="276" t="str">
        <f>IF(I204="","",I204)</f>
        <v/>
      </c>
      <c r="G204" s="22" t="s">
        <v>13</v>
      </c>
      <c r="H204" s="102"/>
      <c r="I204" s="265"/>
      <c r="J204" s="79" t="str">
        <f>IF(F204="","",(L204-50)/10)</f>
        <v/>
      </c>
      <c r="K204" s="80" t="str">
        <f>IF(F204="","",(((L204-50)/10)*2)+5)</f>
        <v/>
      </c>
      <c r="L204" s="65" t="str">
        <f>IF(F204="","",LOOKUP($F204*100,$T$1205:$T$1267,$V$1205:$V$1267))</f>
        <v/>
      </c>
      <c r="M204" s="66"/>
      <c r="N204" s="236"/>
    </row>
    <row r="205" spans="2:14" ht="8.1" customHeight="1" x14ac:dyDescent="0.25">
      <c r="B205" s="84"/>
      <c r="C205" s="13"/>
      <c r="D205" s="13"/>
      <c r="E205" s="13"/>
      <c r="F205" s="190"/>
      <c r="G205" s="85"/>
      <c r="H205" s="85"/>
      <c r="I205" s="85"/>
      <c r="J205" s="85"/>
      <c r="K205" s="85"/>
      <c r="L205" s="85"/>
      <c r="M205" s="14"/>
      <c r="N205" s="236"/>
    </row>
    <row r="206" spans="2:14" x14ac:dyDescent="0.25">
      <c r="B206" s="134" t="s">
        <v>339</v>
      </c>
      <c r="C206" s="8"/>
      <c r="D206" s="8"/>
      <c r="E206" s="8"/>
      <c r="F206" s="232" t="s">
        <v>13</v>
      </c>
      <c r="G206" s="9"/>
      <c r="H206" s="86"/>
      <c r="I206" s="237" t="s">
        <v>393</v>
      </c>
      <c r="J206" s="88"/>
      <c r="K206" s="88"/>
      <c r="L206" s="87"/>
      <c r="M206" s="89"/>
      <c r="N206" s="236"/>
    </row>
    <row r="207" spans="2:14" x14ac:dyDescent="0.25">
      <c r="B207" s="62"/>
      <c r="C207" s="288" t="s">
        <v>50</v>
      </c>
      <c r="D207" s="289"/>
      <c r="E207" s="289"/>
      <c r="F207" s="273" t="str">
        <f>IF(C2="","",C2)</f>
        <v>A</v>
      </c>
      <c r="G207" s="22" t="s">
        <v>19</v>
      </c>
      <c r="H207" s="99"/>
      <c r="I207" s="10" t="s">
        <v>13</v>
      </c>
      <c r="J207" s="11" t="s">
        <v>14</v>
      </c>
      <c r="K207" s="11" t="s">
        <v>15</v>
      </c>
      <c r="L207" s="10" t="s">
        <v>16</v>
      </c>
      <c r="M207" s="66"/>
      <c r="N207" s="236"/>
    </row>
    <row r="208" spans="2:14" x14ac:dyDescent="0.25">
      <c r="B208" s="62"/>
      <c r="C208" s="302" t="s">
        <v>20</v>
      </c>
      <c r="D208" s="303"/>
      <c r="E208" s="303"/>
      <c r="F208" s="274" t="str">
        <f>IF($C$8="","",$C$8)</f>
        <v/>
      </c>
      <c r="G208" s="22"/>
      <c r="H208" s="100"/>
      <c r="I208" s="18"/>
      <c r="J208" s="10"/>
      <c r="K208" s="18"/>
      <c r="L208" s="65"/>
      <c r="M208" s="66"/>
      <c r="N208" s="236"/>
    </row>
    <row r="209" spans="2:14" x14ac:dyDescent="0.25">
      <c r="B209" s="62"/>
      <c r="C209" s="290" t="s">
        <v>345</v>
      </c>
      <c r="D209" s="291"/>
      <c r="E209" s="291"/>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x14ac:dyDescent="0.25">
      <c r="B210" s="62"/>
      <c r="C210" s="290" t="s">
        <v>346</v>
      </c>
      <c r="D210" s="291"/>
      <c r="E210" s="291"/>
      <c r="F210" s="275" t="str">
        <f t="shared" si="0"/>
        <v/>
      </c>
      <c r="G210" s="105" t="s">
        <v>13</v>
      </c>
      <c r="H210" s="101"/>
      <c r="I210" s="265"/>
      <c r="J210" s="79" t="str">
        <f t="shared" si="1"/>
        <v/>
      </c>
      <c r="K210" s="80" t="str">
        <f t="shared" si="2"/>
        <v/>
      </c>
      <c r="L210" s="78" t="str">
        <f t="shared" si="3"/>
        <v/>
      </c>
      <c r="M210" s="76"/>
      <c r="N210" s="236"/>
    </row>
    <row r="211" spans="2:14" x14ac:dyDescent="0.25">
      <c r="B211" s="62"/>
      <c r="C211" s="290" t="s">
        <v>347</v>
      </c>
      <c r="D211" s="291"/>
      <c r="E211" s="291"/>
      <c r="F211" s="275" t="str">
        <f t="shared" si="0"/>
        <v/>
      </c>
      <c r="G211" s="105" t="s">
        <v>13</v>
      </c>
      <c r="H211" s="101"/>
      <c r="I211" s="265"/>
      <c r="J211" s="79" t="str">
        <f t="shared" si="1"/>
        <v/>
      </c>
      <c r="K211" s="80" t="str">
        <f t="shared" si="2"/>
        <v/>
      </c>
      <c r="L211" s="78" t="str">
        <f t="shared" si="3"/>
        <v/>
      </c>
      <c r="M211" s="81"/>
      <c r="N211" s="236"/>
    </row>
    <row r="212" spans="2:14" x14ac:dyDescent="0.25">
      <c r="B212" s="62"/>
      <c r="C212" s="290" t="s">
        <v>348</v>
      </c>
      <c r="D212" s="291"/>
      <c r="E212" s="291"/>
      <c r="F212" s="275" t="str">
        <f t="shared" si="0"/>
        <v/>
      </c>
      <c r="G212" s="105" t="s">
        <v>13</v>
      </c>
      <c r="H212" s="101"/>
      <c r="I212" s="265"/>
      <c r="J212" s="79" t="str">
        <f t="shared" si="1"/>
        <v/>
      </c>
      <c r="K212" s="80" t="str">
        <f t="shared" si="2"/>
        <v/>
      </c>
      <c r="L212" s="78" t="str">
        <f t="shared" si="3"/>
        <v/>
      </c>
      <c r="M212" s="76"/>
      <c r="N212" s="236"/>
    </row>
    <row r="213" spans="2:14" x14ac:dyDescent="0.25">
      <c r="B213" s="62"/>
      <c r="C213" s="290" t="s">
        <v>105</v>
      </c>
      <c r="D213" s="291"/>
      <c r="E213" s="291"/>
      <c r="F213" s="275" t="str">
        <f t="shared" si="0"/>
        <v/>
      </c>
      <c r="G213" s="105" t="s">
        <v>13</v>
      </c>
      <c r="H213" s="101"/>
      <c r="I213" s="265"/>
      <c r="J213" s="79" t="str">
        <f t="shared" si="1"/>
        <v/>
      </c>
      <c r="K213" s="80" t="str">
        <f t="shared" si="2"/>
        <v/>
      </c>
      <c r="L213" s="78" t="str">
        <f t="shared" si="3"/>
        <v/>
      </c>
      <c r="M213" s="76"/>
      <c r="N213" s="236"/>
    </row>
    <row r="214" spans="2:14" x14ac:dyDescent="0.25">
      <c r="B214" s="62"/>
      <c r="C214" s="297" t="s">
        <v>349</v>
      </c>
      <c r="D214" s="298"/>
      <c r="E214" s="298"/>
      <c r="F214" s="276" t="str">
        <f t="shared" si="0"/>
        <v/>
      </c>
      <c r="G214" s="105" t="s">
        <v>13</v>
      </c>
      <c r="H214" s="109"/>
      <c r="I214" s="265"/>
      <c r="J214" s="79" t="str">
        <f t="shared" si="1"/>
        <v/>
      </c>
      <c r="K214" s="80" t="str">
        <f t="shared" si="2"/>
        <v/>
      </c>
      <c r="L214" s="78" t="str">
        <f t="shared" si="3"/>
        <v/>
      </c>
      <c r="M214" s="76"/>
      <c r="N214" s="236"/>
    </row>
    <row r="215" spans="2:14" ht="8.1" customHeight="1" x14ac:dyDescent="0.25">
      <c r="B215" s="84"/>
      <c r="C215" s="13"/>
      <c r="D215" s="13"/>
      <c r="E215" s="13"/>
      <c r="F215" s="190"/>
      <c r="G215" s="85"/>
      <c r="H215" s="85"/>
      <c r="I215" s="85"/>
      <c r="J215" s="85"/>
      <c r="K215" s="85"/>
      <c r="L215" s="85"/>
      <c r="M215" s="14"/>
      <c r="N215" s="236"/>
    </row>
    <row r="216" spans="2:14" x14ac:dyDescent="0.25">
      <c r="B216" s="134" t="s">
        <v>321</v>
      </c>
      <c r="C216" s="8"/>
      <c r="D216" s="8"/>
      <c r="E216" s="8"/>
      <c r="F216" s="232" t="s">
        <v>13</v>
      </c>
      <c r="G216" s="9"/>
      <c r="H216" s="86"/>
      <c r="I216" s="237" t="s">
        <v>393</v>
      </c>
      <c r="J216" s="88"/>
      <c r="K216" s="88"/>
      <c r="L216" s="87"/>
      <c r="M216" s="89"/>
      <c r="N216" s="236"/>
    </row>
    <row r="217" spans="2:14" x14ac:dyDescent="0.25">
      <c r="B217" s="62"/>
      <c r="C217" s="288" t="s">
        <v>50</v>
      </c>
      <c r="D217" s="289"/>
      <c r="E217" s="289"/>
      <c r="F217" s="273" t="str">
        <f>IF(C2="","",C2)</f>
        <v>A</v>
      </c>
      <c r="G217" s="22" t="s">
        <v>19</v>
      </c>
      <c r="H217" s="99"/>
      <c r="I217" s="10" t="s">
        <v>13</v>
      </c>
      <c r="J217" s="11" t="s">
        <v>14</v>
      </c>
      <c r="K217" s="11" t="s">
        <v>15</v>
      </c>
      <c r="L217" s="10" t="s">
        <v>16</v>
      </c>
      <c r="M217" s="66"/>
      <c r="N217" s="236"/>
    </row>
    <row r="218" spans="2:14" x14ac:dyDescent="0.25">
      <c r="B218" s="62"/>
      <c r="C218" s="302" t="s">
        <v>20</v>
      </c>
      <c r="D218" s="303"/>
      <c r="E218" s="303"/>
      <c r="F218" s="274" t="str">
        <f>IF($C$8="","",$C$8)</f>
        <v/>
      </c>
      <c r="G218" s="22"/>
      <c r="H218" s="100"/>
      <c r="I218" s="18"/>
      <c r="J218" s="10"/>
      <c r="K218" s="18"/>
      <c r="L218" s="65"/>
      <c r="M218" s="66"/>
      <c r="N218" s="236"/>
    </row>
    <row r="219" spans="2:14" x14ac:dyDescent="0.25">
      <c r="B219" s="62"/>
      <c r="C219" s="290" t="s">
        <v>350</v>
      </c>
      <c r="D219" s="291"/>
      <c r="E219" s="291"/>
      <c r="F219" s="275" t="str">
        <f>IF(I219="","",I219)</f>
        <v/>
      </c>
      <c r="G219" s="105" t="s">
        <v>13</v>
      </c>
      <c r="H219" s="101"/>
      <c r="I219" s="262"/>
      <c r="J219" s="79" t="str">
        <f>IF(F219="","",(L219-50)/10)</f>
        <v/>
      </c>
      <c r="K219" s="80" t="str">
        <f>IF(F219="","",(((L219-50)/10)*2)+5)</f>
        <v/>
      </c>
      <c r="L219" s="78" t="str">
        <f>IF(F219="","",LOOKUP($F219*100,$T$1205:$T$1267,$V$1205:$V$1267))</f>
        <v/>
      </c>
      <c r="M219" s="76"/>
      <c r="N219" s="236"/>
    </row>
    <row r="220" spans="2:14" x14ac:dyDescent="0.25">
      <c r="B220" s="62"/>
      <c r="C220" s="290" t="s">
        <v>351</v>
      </c>
      <c r="D220" s="291"/>
      <c r="E220" s="291"/>
      <c r="F220" s="275" t="str">
        <f>IF(I220="","",I220)</f>
        <v/>
      </c>
      <c r="G220" s="105" t="s">
        <v>13</v>
      </c>
      <c r="H220" s="101"/>
      <c r="I220" s="265"/>
      <c r="J220" s="79" t="str">
        <f>IF(F220="","",(L220-50)/10)</f>
        <v/>
      </c>
      <c r="K220" s="80" t="str">
        <f>IF(F220="","",(((L220-50)/10)*2)+5)</f>
        <v/>
      </c>
      <c r="L220" s="78" t="str">
        <f>IF(F220="","",LOOKUP($F220*100,$T$1205:$T$1267,$V$1205:$V$1267))</f>
        <v/>
      </c>
      <c r="M220" s="76"/>
      <c r="N220" s="236"/>
    </row>
    <row r="221" spans="2:14" x14ac:dyDescent="0.25">
      <c r="B221" s="62"/>
      <c r="C221" s="297" t="s">
        <v>105</v>
      </c>
      <c r="D221" s="298"/>
      <c r="E221" s="298"/>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 customHeight="1" x14ac:dyDescent="0.25">
      <c r="B222" s="84"/>
      <c r="C222" s="200"/>
      <c r="D222" s="200"/>
      <c r="E222" s="200"/>
      <c r="F222" s="190"/>
      <c r="G222" s="85"/>
      <c r="H222" s="85"/>
      <c r="I222" s="85"/>
      <c r="J222" s="85"/>
      <c r="K222" s="85"/>
      <c r="L222" s="85"/>
      <c r="M222" s="14"/>
      <c r="N222" s="236"/>
    </row>
    <row r="223" spans="2:14" s="70" customFormat="1" ht="13.2" customHeight="1" x14ac:dyDescent="0.25">
      <c r="B223" s="201" t="s">
        <v>381</v>
      </c>
      <c r="C223" s="202"/>
      <c r="D223" s="202"/>
      <c r="E223" s="202"/>
      <c r="F223" s="231"/>
      <c r="G223" s="203"/>
      <c r="H223" s="203"/>
      <c r="I223" s="203"/>
      <c r="J223" s="203"/>
      <c r="K223" s="203"/>
      <c r="L223" s="203"/>
      <c r="M223" s="204"/>
      <c r="N223" s="278"/>
    </row>
    <row r="224" spans="2:14" s="70" customFormat="1" x14ac:dyDescent="0.25">
      <c r="B224" s="205" t="s">
        <v>376</v>
      </c>
      <c r="C224" s="206"/>
      <c r="D224" s="206"/>
      <c r="E224" s="206"/>
      <c r="F224" s="232" t="s">
        <v>13</v>
      </c>
      <c r="G224" s="203"/>
      <c r="H224" s="207"/>
      <c r="I224" s="283" t="s">
        <v>393</v>
      </c>
      <c r="J224" s="209"/>
      <c r="K224" s="209"/>
      <c r="L224" s="208"/>
      <c r="M224" s="210"/>
      <c r="N224" s="278"/>
    </row>
    <row r="225" spans="2:14" s="70" customFormat="1" x14ac:dyDescent="0.25">
      <c r="B225" s="194"/>
      <c r="C225" s="308" t="s">
        <v>50</v>
      </c>
      <c r="D225" s="309"/>
      <c r="E225" s="309"/>
      <c r="F225" s="284" t="s">
        <v>128</v>
      </c>
      <c r="G225" s="268" t="s">
        <v>19</v>
      </c>
      <c r="H225" s="211"/>
      <c r="I225" s="212" t="s">
        <v>13</v>
      </c>
      <c r="J225" s="213" t="s">
        <v>14</v>
      </c>
      <c r="K225" s="213" t="s">
        <v>15</v>
      </c>
      <c r="L225" s="212" t="s">
        <v>16</v>
      </c>
      <c r="M225" s="214"/>
      <c r="N225" s="278"/>
    </row>
    <row r="226" spans="2:14" s="70" customFormat="1" x14ac:dyDescent="0.25">
      <c r="B226" s="194"/>
      <c r="C226" s="305" t="s">
        <v>20</v>
      </c>
      <c r="D226" s="306"/>
      <c r="E226" s="306"/>
      <c r="F226" s="274"/>
      <c r="G226" s="268"/>
      <c r="H226" s="215"/>
      <c r="I226" s="216"/>
      <c r="J226" s="212"/>
      <c r="K226" s="216"/>
      <c r="L226" s="217"/>
      <c r="M226" s="214"/>
      <c r="N226" s="278"/>
    </row>
    <row r="227" spans="2:14" s="70" customFormat="1" x14ac:dyDescent="0.25">
      <c r="B227" s="194"/>
      <c r="C227" s="295" t="s">
        <v>377</v>
      </c>
      <c r="D227" s="296"/>
      <c r="E227" s="296"/>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x14ac:dyDescent="0.25">
      <c r="B228" s="194"/>
      <c r="C228" s="295" t="s">
        <v>378</v>
      </c>
      <c r="D228" s="296"/>
      <c r="E228" s="296"/>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x14ac:dyDescent="0.25">
      <c r="B229" s="194"/>
      <c r="C229" s="299" t="s">
        <v>379</v>
      </c>
      <c r="D229" s="300"/>
      <c r="E229" s="300"/>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 customHeight="1" x14ac:dyDescent="0.25">
      <c r="B230" s="90"/>
      <c r="C230" s="91"/>
      <c r="D230" s="91"/>
      <c r="E230" s="91"/>
      <c r="F230" s="192"/>
      <c r="G230" s="92"/>
      <c r="H230" s="92"/>
      <c r="I230" s="92"/>
      <c r="J230" s="92"/>
      <c r="K230" s="92"/>
      <c r="L230" s="92"/>
      <c r="M230" s="92"/>
      <c r="N230" s="236"/>
    </row>
    <row r="231" spans="2:14" ht="17.399999999999999" x14ac:dyDescent="0.25">
      <c r="B231" s="243" t="s">
        <v>318</v>
      </c>
      <c r="C231" s="244"/>
      <c r="D231" s="244"/>
      <c r="E231" s="244"/>
      <c r="F231" s="248"/>
      <c r="G231" s="246"/>
      <c r="H231" s="246"/>
      <c r="I231" s="249"/>
      <c r="J231" s="250"/>
      <c r="K231" s="249"/>
      <c r="L231" s="251"/>
      <c r="M231" s="252"/>
      <c r="N231" s="236"/>
    </row>
    <row r="232" spans="2:14" ht="8.1" customHeight="1" x14ac:dyDescent="0.25">
      <c r="B232" s="84"/>
      <c r="C232" s="13"/>
      <c r="D232" s="13"/>
      <c r="E232" s="13"/>
      <c r="F232" s="190"/>
      <c r="G232" s="85"/>
      <c r="H232" s="85"/>
      <c r="I232" s="85"/>
      <c r="J232" s="85"/>
      <c r="K232" s="85"/>
      <c r="L232" s="85"/>
      <c r="M232" s="14"/>
      <c r="N232" s="236"/>
    </row>
    <row r="233" spans="2:14" s="70" customFormat="1" x14ac:dyDescent="0.25">
      <c r="B233" s="201" t="s">
        <v>381</v>
      </c>
      <c r="C233" s="206"/>
      <c r="D233" s="206"/>
      <c r="E233" s="206"/>
      <c r="F233" s="232"/>
      <c r="G233" s="203"/>
      <c r="H233" s="207"/>
      <c r="I233" s="208"/>
      <c r="J233" s="209"/>
      <c r="K233" s="209"/>
      <c r="L233" s="208"/>
      <c r="M233" s="210"/>
      <c r="N233" s="278"/>
    </row>
    <row r="234" spans="2:14" s="70" customFormat="1" x14ac:dyDescent="0.25">
      <c r="B234" s="205" t="s">
        <v>380</v>
      </c>
      <c r="C234" s="206"/>
      <c r="D234" s="206"/>
      <c r="E234" s="206"/>
      <c r="F234" s="232" t="s">
        <v>13</v>
      </c>
      <c r="G234" s="203"/>
      <c r="H234" s="207"/>
      <c r="I234" s="283" t="s">
        <v>393</v>
      </c>
      <c r="J234" s="209"/>
      <c r="K234" s="209"/>
      <c r="L234" s="208"/>
      <c r="M234" s="210"/>
      <c r="N234" s="278"/>
    </row>
    <row r="235" spans="2:14" s="70" customFormat="1" x14ac:dyDescent="0.25">
      <c r="B235" s="194"/>
      <c r="C235" s="308" t="s">
        <v>50</v>
      </c>
      <c r="D235" s="309"/>
      <c r="E235" s="309"/>
      <c r="F235" s="284" t="s">
        <v>128</v>
      </c>
      <c r="G235" s="270" t="s">
        <v>19</v>
      </c>
      <c r="H235" s="211"/>
      <c r="I235" s="212" t="s">
        <v>13</v>
      </c>
      <c r="J235" s="213" t="s">
        <v>14</v>
      </c>
      <c r="K235" s="213" t="s">
        <v>15</v>
      </c>
      <c r="L235" s="212" t="s">
        <v>16</v>
      </c>
      <c r="M235" s="214"/>
      <c r="N235" s="278"/>
    </row>
    <row r="236" spans="2:14" s="70" customFormat="1" x14ac:dyDescent="0.25">
      <c r="B236" s="194"/>
      <c r="C236" s="305" t="s">
        <v>20</v>
      </c>
      <c r="D236" s="306"/>
      <c r="E236" s="306"/>
      <c r="F236" s="274"/>
      <c r="G236" s="270"/>
      <c r="H236" s="215"/>
      <c r="I236" s="216"/>
      <c r="J236" s="212"/>
      <c r="K236" s="216"/>
      <c r="L236" s="217"/>
      <c r="M236" s="214"/>
      <c r="N236" s="278"/>
    </row>
    <row r="237" spans="2:14" s="70" customFormat="1" x14ac:dyDescent="0.25">
      <c r="B237" s="194"/>
      <c r="C237" s="295"/>
      <c r="D237" s="296"/>
      <c r="E237" s="296"/>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x14ac:dyDescent="0.25">
      <c r="B238" s="194"/>
      <c r="C238" s="295"/>
      <c r="D238" s="296"/>
      <c r="E238" s="296"/>
      <c r="F238" s="285" t="str">
        <f t="shared" si="4"/>
        <v/>
      </c>
      <c r="G238" s="271" t="s">
        <v>13</v>
      </c>
      <c r="H238" s="195"/>
      <c r="I238" s="267"/>
      <c r="J238" s="196" t="str">
        <f t="shared" si="5"/>
        <v/>
      </c>
      <c r="K238" s="197" t="str">
        <f t="shared" si="6"/>
        <v/>
      </c>
      <c r="L238" s="198" t="str">
        <f t="shared" si="7"/>
        <v/>
      </c>
      <c r="M238" s="199"/>
      <c r="N238" s="278"/>
    </row>
    <row r="239" spans="2:14" s="70" customFormat="1" x14ac:dyDescent="0.25">
      <c r="B239" s="194"/>
      <c r="C239" s="295"/>
      <c r="D239" s="296"/>
      <c r="E239" s="296"/>
      <c r="F239" s="285" t="str">
        <f t="shared" si="4"/>
        <v/>
      </c>
      <c r="G239" s="271" t="s">
        <v>13</v>
      </c>
      <c r="H239" s="195"/>
      <c r="I239" s="267"/>
      <c r="J239" s="196" t="str">
        <f t="shared" si="5"/>
        <v/>
      </c>
      <c r="K239" s="197" t="str">
        <f t="shared" si="6"/>
        <v/>
      </c>
      <c r="L239" s="198" t="str">
        <f t="shared" si="7"/>
        <v/>
      </c>
      <c r="M239" s="218"/>
      <c r="N239" s="278"/>
    </row>
    <row r="240" spans="2:14" s="70" customFormat="1" x14ac:dyDescent="0.25">
      <c r="B240" s="194"/>
      <c r="C240" s="295"/>
      <c r="D240" s="296"/>
      <c r="E240" s="296"/>
      <c r="F240" s="285" t="str">
        <f t="shared" si="4"/>
        <v/>
      </c>
      <c r="G240" s="271" t="s">
        <v>13</v>
      </c>
      <c r="H240" s="195"/>
      <c r="I240" s="267"/>
      <c r="J240" s="196" t="str">
        <f t="shared" si="5"/>
        <v/>
      </c>
      <c r="K240" s="197" t="str">
        <f t="shared" si="6"/>
        <v/>
      </c>
      <c r="L240" s="198" t="str">
        <f t="shared" si="7"/>
        <v/>
      </c>
      <c r="M240" s="199"/>
      <c r="N240" s="278"/>
    </row>
    <row r="241" spans="2:14" s="70" customFormat="1" x14ac:dyDescent="0.25">
      <c r="B241" s="194"/>
      <c r="C241" s="295"/>
      <c r="D241" s="296"/>
      <c r="E241" s="296"/>
      <c r="F241" s="285" t="str">
        <f t="shared" si="4"/>
        <v/>
      </c>
      <c r="G241" s="271" t="s">
        <v>13</v>
      </c>
      <c r="H241" s="195"/>
      <c r="I241" s="267"/>
      <c r="J241" s="196" t="str">
        <f t="shared" si="5"/>
        <v/>
      </c>
      <c r="K241" s="197" t="str">
        <f t="shared" si="6"/>
        <v/>
      </c>
      <c r="L241" s="198" t="str">
        <f t="shared" si="7"/>
        <v/>
      </c>
      <c r="M241" s="199"/>
      <c r="N241" s="278"/>
    </row>
    <row r="242" spans="2:14" s="70" customFormat="1" x14ac:dyDescent="0.25">
      <c r="B242" s="194"/>
      <c r="C242" s="295"/>
      <c r="D242" s="296"/>
      <c r="E242" s="296"/>
      <c r="F242" s="285" t="str">
        <f t="shared" si="4"/>
        <v/>
      </c>
      <c r="G242" s="271" t="s">
        <v>13</v>
      </c>
      <c r="H242" s="195"/>
      <c r="I242" s="267"/>
      <c r="J242" s="196" t="str">
        <f t="shared" si="5"/>
        <v/>
      </c>
      <c r="K242" s="197" t="str">
        <f t="shared" si="6"/>
        <v/>
      </c>
      <c r="L242" s="198" t="str">
        <f t="shared" si="7"/>
        <v/>
      </c>
      <c r="M242" s="199"/>
      <c r="N242" s="278"/>
    </row>
    <row r="243" spans="2:14" s="70" customFormat="1" x14ac:dyDescent="0.25">
      <c r="B243" s="194"/>
      <c r="C243" s="295"/>
      <c r="D243" s="296"/>
      <c r="E243" s="296"/>
      <c r="F243" s="285" t="str">
        <f t="shared" si="4"/>
        <v/>
      </c>
      <c r="G243" s="271" t="s">
        <v>13</v>
      </c>
      <c r="H243" s="195"/>
      <c r="I243" s="267"/>
      <c r="J243" s="196" t="str">
        <f t="shared" si="5"/>
        <v/>
      </c>
      <c r="K243" s="197" t="str">
        <f t="shared" si="6"/>
        <v/>
      </c>
      <c r="L243" s="198" t="str">
        <f t="shared" si="7"/>
        <v/>
      </c>
      <c r="M243" s="218"/>
      <c r="N243" s="278"/>
    </row>
    <row r="244" spans="2:14" s="70" customFormat="1" x14ac:dyDescent="0.25">
      <c r="B244" s="219"/>
      <c r="C244" s="299"/>
      <c r="D244" s="300"/>
      <c r="E244" s="300"/>
      <c r="F244" s="286" t="str">
        <f t="shared" si="4"/>
        <v/>
      </c>
      <c r="G244" s="272" t="s">
        <v>13</v>
      </c>
      <c r="H244" s="220"/>
      <c r="I244" s="267"/>
      <c r="J244" s="222" t="str">
        <f t="shared" si="5"/>
        <v/>
      </c>
      <c r="K244" s="223" t="str">
        <f t="shared" si="6"/>
        <v/>
      </c>
      <c r="L244" s="224" t="str">
        <f t="shared" si="7"/>
        <v/>
      </c>
      <c r="M244" s="221"/>
      <c r="N244" s="278"/>
    </row>
    <row r="245" spans="2:14" x14ac:dyDescent="0.25">
      <c r="N245" s="70"/>
    </row>
    <row r="246" spans="2:14" x14ac:dyDescent="0.25">
      <c r="N246" s="70"/>
    </row>
    <row r="247" spans="2:14" x14ac:dyDescent="0.25">
      <c r="N247" s="70"/>
    </row>
    <row r="248" spans="2:14" x14ac:dyDescent="0.25">
      <c r="N248" s="70"/>
    </row>
    <row r="249" spans="2:14" x14ac:dyDescent="0.25">
      <c r="N249" s="70"/>
    </row>
    <row r="250" spans="2:14" x14ac:dyDescent="0.25">
      <c r="N250" s="70"/>
    </row>
    <row r="251" spans="2:14" x14ac:dyDescent="0.25">
      <c r="N251" s="70"/>
    </row>
    <row r="252" spans="2:14" x14ac:dyDescent="0.25">
      <c r="N252" s="70"/>
    </row>
    <row r="253" spans="2:14" x14ac:dyDescent="0.25">
      <c r="N253" s="70"/>
    </row>
    <row r="254" spans="2:14" x14ac:dyDescent="0.25">
      <c r="N254" s="70"/>
    </row>
    <row r="255" spans="2:14" x14ac:dyDescent="0.25">
      <c r="N255" s="70"/>
    </row>
    <row r="256" spans="2:14" x14ac:dyDescent="0.25">
      <c r="N256" s="70"/>
    </row>
    <row r="257" spans="14:14" x14ac:dyDescent="0.25">
      <c r="N257" s="70"/>
    </row>
    <row r="258" spans="14:14" x14ac:dyDescent="0.25">
      <c r="N258" s="70"/>
    </row>
    <row r="259" spans="14:14" x14ac:dyDescent="0.25">
      <c r="N259" s="70"/>
    </row>
    <row r="260" spans="14:14" x14ac:dyDescent="0.25">
      <c r="N260" s="70"/>
    </row>
    <row r="261" spans="14:14" x14ac:dyDescent="0.25">
      <c r="N261" s="70"/>
    </row>
    <row r="262" spans="14:14" x14ac:dyDescent="0.25">
      <c r="N262" s="70"/>
    </row>
    <row r="263" spans="14:14" x14ac:dyDescent="0.25">
      <c r="N263" s="70"/>
    </row>
    <row r="264" spans="14:14" x14ac:dyDescent="0.25">
      <c r="N264" s="70"/>
    </row>
    <row r="265" spans="14:14" x14ac:dyDescent="0.25">
      <c r="N265" s="70"/>
    </row>
    <row r="266" spans="14:14" x14ac:dyDescent="0.25">
      <c r="N266" s="70"/>
    </row>
    <row r="267" spans="14:14" x14ac:dyDescent="0.25">
      <c r="N267" s="70"/>
    </row>
    <row r="268" spans="14:14" x14ac:dyDescent="0.25">
      <c r="N268" s="70"/>
    </row>
    <row r="269" spans="14:14" x14ac:dyDescent="0.25">
      <c r="N269" s="70"/>
    </row>
    <row r="270" spans="14:14" x14ac:dyDescent="0.25">
      <c r="N270" s="70"/>
    </row>
    <row r="271" spans="14:14" x14ac:dyDescent="0.25">
      <c r="N271" s="70"/>
    </row>
    <row r="272" spans="14:14" x14ac:dyDescent="0.25">
      <c r="N272" s="70"/>
    </row>
    <row r="273" spans="14:14" x14ac:dyDescent="0.25">
      <c r="N273" s="70"/>
    </row>
    <row r="274" spans="14:14" x14ac:dyDescent="0.25">
      <c r="N274" s="70"/>
    </row>
    <row r="275" spans="14:14" x14ac:dyDescent="0.25">
      <c r="N275" s="70"/>
    </row>
    <row r="276" spans="14:14" x14ac:dyDescent="0.25">
      <c r="N276" s="70"/>
    </row>
    <row r="277" spans="14:14" x14ac:dyDescent="0.25">
      <c r="N277" s="70"/>
    </row>
    <row r="278" spans="14:14" x14ac:dyDescent="0.25">
      <c r="N278" s="70"/>
    </row>
    <row r="279" spans="14:14" x14ac:dyDescent="0.25">
      <c r="N279" s="70"/>
    </row>
    <row r="280" spans="14:14" x14ac:dyDescent="0.25">
      <c r="N280" s="70"/>
    </row>
    <row r="281" spans="14:14" x14ac:dyDescent="0.25">
      <c r="N281" s="70"/>
    </row>
    <row r="282" spans="14:14" x14ac:dyDescent="0.25">
      <c r="N282" s="70"/>
    </row>
    <row r="283" spans="14:14" x14ac:dyDescent="0.25">
      <c r="N283" s="70"/>
    </row>
    <row r="284" spans="14:14" x14ac:dyDescent="0.25">
      <c r="N284" s="70"/>
    </row>
    <row r="285" spans="14:14" x14ac:dyDescent="0.25">
      <c r="N285" s="70"/>
    </row>
    <row r="286" spans="14:14" x14ac:dyDescent="0.25">
      <c r="N286" s="70"/>
    </row>
    <row r="287" spans="14:14" x14ac:dyDescent="0.25">
      <c r="N287" s="70"/>
    </row>
    <row r="288" spans="14:14" x14ac:dyDescent="0.25">
      <c r="N288" s="70"/>
    </row>
    <row r="289" spans="14:14" x14ac:dyDescent="0.25">
      <c r="N289" s="70"/>
    </row>
    <row r="290" spans="14:14" x14ac:dyDescent="0.25">
      <c r="N290" s="70"/>
    </row>
    <row r="291" spans="14:14" x14ac:dyDescent="0.25">
      <c r="N291" s="70"/>
    </row>
    <row r="292" spans="14:14" x14ac:dyDescent="0.25">
      <c r="N292" s="70"/>
    </row>
    <row r="293" spans="14:14" x14ac:dyDescent="0.25">
      <c r="N293" s="70"/>
    </row>
    <row r="294" spans="14:14" x14ac:dyDescent="0.25">
      <c r="N294" s="70"/>
    </row>
    <row r="295" spans="14:14" x14ac:dyDescent="0.25">
      <c r="N295" s="70"/>
    </row>
    <row r="296" spans="14:14" x14ac:dyDescent="0.25">
      <c r="N296" s="70"/>
    </row>
    <row r="297" spans="14:14" x14ac:dyDescent="0.25">
      <c r="N297" s="70"/>
    </row>
    <row r="298" spans="14:14" x14ac:dyDescent="0.25">
      <c r="N298" s="70"/>
    </row>
    <row r="299" spans="14:14" x14ac:dyDescent="0.25">
      <c r="N299" s="70"/>
    </row>
    <row r="300" spans="14:14" x14ac:dyDescent="0.25">
      <c r="N300" s="70"/>
    </row>
    <row r="301" spans="14:14" x14ac:dyDescent="0.25">
      <c r="N301" s="70"/>
    </row>
    <row r="302" spans="14:14" x14ac:dyDescent="0.25">
      <c r="N302" s="70"/>
    </row>
    <row r="303" spans="14:14" x14ac:dyDescent="0.25">
      <c r="N303" s="70"/>
    </row>
    <row r="304" spans="14:14" x14ac:dyDescent="0.25">
      <c r="N304" s="70"/>
    </row>
    <row r="305" spans="14:14" x14ac:dyDescent="0.25">
      <c r="N305" s="70"/>
    </row>
    <row r="306" spans="14:14" x14ac:dyDescent="0.25">
      <c r="N306" s="70"/>
    </row>
    <row r="307" spans="14:14" x14ac:dyDescent="0.25">
      <c r="N307" s="70"/>
    </row>
    <row r="308" spans="14:14" x14ac:dyDescent="0.25">
      <c r="N308" s="70"/>
    </row>
    <row r="309" spans="14:14" x14ac:dyDescent="0.25">
      <c r="N309" s="70"/>
    </row>
    <row r="310" spans="14:14" x14ac:dyDescent="0.25">
      <c r="N310" s="70"/>
    </row>
    <row r="311" spans="14:14" x14ac:dyDescent="0.25">
      <c r="N311" s="70"/>
    </row>
    <row r="312" spans="14:14" x14ac:dyDescent="0.25">
      <c r="N312" s="70"/>
    </row>
    <row r="313" spans="14:14" x14ac:dyDescent="0.25">
      <c r="N313" s="70"/>
    </row>
    <row r="314" spans="14:14" x14ac:dyDescent="0.25">
      <c r="N314" s="70"/>
    </row>
    <row r="315" spans="14:14" x14ac:dyDescent="0.25">
      <c r="N315" s="70"/>
    </row>
    <row r="316" spans="14:14" x14ac:dyDescent="0.25">
      <c r="N316" s="70"/>
    </row>
    <row r="317" spans="14:14" x14ac:dyDescent="0.25">
      <c r="N317" s="70"/>
    </row>
    <row r="318" spans="14:14" x14ac:dyDescent="0.25">
      <c r="N318" s="70"/>
    </row>
    <row r="319" spans="14:14" x14ac:dyDescent="0.25">
      <c r="N319" s="70"/>
    </row>
    <row r="320" spans="14:14" x14ac:dyDescent="0.25">
      <c r="N320" s="70"/>
    </row>
    <row r="321" spans="14:14" x14ac:dyDescent="0.25">
      <c r="N321" s="70"/>
    </row>
    <row r="322" spans="14:14" x14ac:dyDescent="0.25">
      <c r="N322" s="70"/>
    </row>
    <row r="323" spans="14:14" x14ac:dyDescent="0.25">
      <c r="N323" s="70"/>
    </row>
    <row r="324" spans="14:14" x14ac:dyDescent="0.25">
      <c r="N324" s="70"/>
    </row>
    <row r="325" spans="14:14" x14ac:dyDescent="0.25">
      <c r="N325" s="70"/>
    </row>
    <row r="326" spans="14:14" x14ac:dyDescent="0.25">
      <c r="N326" s="70"/>
    </row>
    <row r="327" spans="14:14" x14ac:dyDescent="0.25">
      <c r="N327" s="70"/>
    </row>
    <row r="328" spans="14:14" x14ac:dyDescent="0.25">
      <c r="N328" s="70"/>
    </row>
    <row r="329" spans="14:14" x14ac:dyDescent="0.25">
      <c r="N329" s="70"/>
    </row>
    <row r="330" spans="14:14" x14ac:dyDescent="0.25">
      <c r="N330" s="70"/>
    </row>
    <row r="331" spans="14:14" x14ac:dyDescent="0.25">
      <c r="N331" s="70"/>
    </row>
    <row r="332" spans="14:14" x14ac:dyDescent="0.25">
      <c r="N332" s="70"/>
    </row>
    <row r="333" spans="14:14" x14ac:dyDescent="0.25">
      <c r="N333" s="70"/>
    </row>
    <row r="334" spans="14:14" x14ac:dyDescent="0.25">
      <c r="N334" s="70"/>
    </row>
    <row r="335" spans="14:14" x14ac:dyDescent="0.25">
      <c r="N335" s="70"/>
    </row>
    <row r="336" spans="14:14" x14ac:dyDescent="0.25">
      <c r="N336" s="70"/>
    </row>
    <row r="337" spans="14:14" x14ac:dyDescent="0.25">
      <c r="N337" s="70"/>
    </row>
    <row r="338" spans="14:14" x14ac:dyDescent="0.25">
      <c r="N338" s="70"/>
    </row>
    <row r="339" spans="14:14" x14ac:dyDescent="0.25">
      <c r="N339" s="70"/>
    </row>
    <row r="340" spans="14:14" x14ac:dyDescent="0.25">
      <c r="N340" s="70"/>
    </row>
    <row r="341" spans="14:14" x14ac:dyDescent="0.25">
      <c r="N341" s="70"/>
    </row>
    <row r="342" spans="14:14" x14ac:dyDescent="0.25">
      <c r="N342" s="70"/>
    </row>
    <row r="343" spans="14:14" x14ac:dyDescent="0.25">
      <c r="N343" s="70"/>
    </row>
    <row r="344" spans="14:14" x14ac:dyDescent="0.25">
      <c r="N344" s="70"/>
    </row>
    <row r="345" spans="14:14" x14ac:dyDescent="0.25">
      <c r="N345" s="70"/>
    </row>
    <row r="346" spans="14:14" x14ac:dyDescent="0.25">
      <c r="N346" s="70"/>
    </row>
    <row r="347" spans="14:14" x14ac:dyDescent="0.25">
      <c r="N347" s="70"/>
    </row>
    <row r="348" spans="14:14" x14ac:dyDescent="0.25">
      <c r="N348" s="70"/>
    </row>
    <row r="349" spans="14:14" x14ac:dyDescent="0.25">
      <c r="N349" s="70"/>
    </row>
    <row r="350" spans="14:14" x14ac:dyDescent="0.25">
      <c r="N350" s="70"/>
    </row>
    <row r="351" spans="14:14" x14ac:dyDescent="0.25">
      <c r="N351" s="70"/>
    </row>
    <row r="352" spans="14:14" x14ac:dyDescent="0.25">
      <c r="N352" s="70"/>
    </row>
    <row r="353" spans="14:14" x14ac:dyDescent="0.25">
      <c r="N353" s="70"/>
    </row>
    <row r="354" spans="14:14" x14ac:dyDescent="0.25">
      <c r="N354" s="70"/>
    </row>
    <row r="355" spans="14:14" x14ac:dyDescent="0.25">
      <c r="N355" s="70"/>
    </row>
    <row r="356" spans="14:14" x14ac:dyDescent="0.25">
      <c r="N356" s="70"/>
    </row>
    <row r="357" spans="14:14" x14ac:dyDescent="0.25">
      <c r="N357" s="70"/>
    </row>
    <row r="358" spans="14:14" x14ac:dyDescent="0.25">
      <c r="N358" s="70"/>
    </row>
    <row r="359" spans="14:14" x14ac:dyDescent="0.25">
      <c r="N359" s="70"/>
    </row>
    <row r="360" spans="14:14" x14ac:dyDescent="0.25">
      <c r="N360" s="70"/>
    </row>
    <row r="361" spans="14:14" x14ac:dyDescent="0.25">
      <c r="N361" s="70"/>
    </row>
    <row r="362" spans="14:14" x14ac:dyDescent="0.25">
      <c r="N362" s="70"/>
    </row>
    <row r="363" spans="14:14" x14ac:dyDescent="0.25">
      <c r="N363" s="70"/>
    </row>
    <row r="364" spans="14:14" x14ac:dyDescent="0.25">
      <c r="N364" s="70"/>
    </row>
    <row r="365" spans="14:14" x14ac:dyDescent="0.25">
      <c r="N365" s="70"/>
    </row>
    <row r="366" spans="14:14" x14ac:dyDescent="0.25">
      <c r="N366" s="70"/>
    </row>
    <row r="367" spans="14:14" x14ac:dyDescent="0.25">
      <c r="N367" s="70"/>
    </row>
    <row r="368" spans="14:14" x14ac:dyDescent="0.25">
      <c r="N368" s="70"/>
    </row>
    <row r="369" spans="14:14" x14ac:dyDescent="0.25">
      <c r="N369" s="70"/>
    </row>
    <row r="370" spans="14:14" x14ac:dyDescent="0.25">
      <c r="N370" s="70"/>
    </row>
    <row r="371" spans="14:14" x14ac:dyDescent="0.25">
      <c r="N371" s="70"/>
    </row>
    <row r="372" spans="14:14" x14ac:dyDescent="0.25">
      <c r="N372" s="70"/>
    </row>
    <row r="373" spans="14:14" x14ac:dyDescent="0.25">
      <c r="N373" s="70"/>
    </row>
    <row r="374" spans="14:14" x14ac:dyDescent="0.25">
      <c r="N374" s="70"/>
    </row>
    <row r="375" spans="14:14" x14ac:dyDescent="0.25">
      <c r="N375" s="70"/>
    </row>
    <row r="376" spans="14:14" x14ac:dyDescent="0.25">
      <c r="N376" s="70"/>
    </row>
    <row r="377" spans="14:14" x14ac:dyDescent="0.25">
      <c r="N377" s="70"/>
    </row>
    <row r="378" spans="14:14" x14ac:dyDescent="0.25">
      <c r="N378" s="70"/>
    </row>
    <row r="379" spans="14:14" x14ac:dyDescent="0.25">
      <c r="N379" s="70"/>
    </row>
    <row r="380" spans="14:14" x14ac:dyDescent="0.25">
      <c r="N380" s="70"/>
    </row>
    <row r="381" spans="14:14" x14ac:dyDescent="0.25">
      <c r="N381" s="70"/>
    </row>
    <row r="382" spans="14:14" x14ac:dyDescent="0.25">
      <c r="N382" s="70"/>
    </row>
    <row r="383" spans="14:14" x14ac:dyDescent="0.25">
      <c r="N383" s="70"/>
    </row>
    <row r="384" spans="14:14" x14ac:dyDescent="0.25">
      <c r="N384" s="70"/>
    </row>
    <row r="385" spans="14:14" x14ac:dyDescent="0.25">
      <c r="N385" s="70"/>
    </row>
    <row r="386" spans="14:14" x14ac:dyDescent="0.25">
      <c r="N386" s="70"/>
    </row>
    <row r="387" spans="14:14" x14ac:dyDescent="0.25">
      <c r="N387" s="70"/>
    </row>
    <row r="388" spans="14:14" x14ac:dyDescent="0.25">
      <c r="N388" s="70"/>
    </row>
    <row r="389" spans="14:14" x14ac:dyDescent="0.25">
      <c r="N389" s="70"/>
    </row>
    <row r="390" spans="14:14" x14ac:dyDescent="0.25">
      <c r="N390" s="70"/>
    </row>
    <row r="391" spans="14:14" x14ac:dyDescent="0.25">
      <c r="N391" s="70"/>
    </row>
    <row r="392" spans="14:14" x14ac:dyDescent="0.25">
      <c r="N392" s="70"/>
    </row>
    <row r="393" spans="14:14" x14ac:dyDescent="0.25">
      <c r="N393" s="70"/>
    </row>
    <row r="394" spans="14:14" x14ac:dyDescent="0.25">
      <c r="N394" s="70"/>
    </row>
    <row r="395" spans="14:14" x14ac:dyDescent="0.25">
      <c r="N395" s="70"/>
    </row>
    <row r="396" spans="14:14" x14ac:dyDescent="0.25">
      <c r="N396" s="70"/>
    </row>
    <row r="397" spans="14:14" x14ac:dyDescent="0.25">
      <c r="N397" s="70"/>
    </row>
    <row r="398" spans="14:14" x14ac:dyDescent="0.25">
      <c r="N398" s="70"/>
    </row>
    <row r="399" spans="14:14" x14ac:dyDescent="0.25">
      <c r="N399" s="70"/>
    </row>
    <row r="400" spans="14:14" x14ac:dyDescent="0.25">
      <c r="N400" s="70"/>
    </row>
    <row r="401" spans="14:14" x14ac:dyDescent="0.25">
      <c r="N401" s="70"/>
    </row>
    <row r="402" spans="14:14" x14ac:dyDescent="0.25">
      <c r="N402" s="70"/>
    </row>
    <row r="403" spans="14:14" x14ac:dyDescent="0.25">
      <c r="N403" s="70"/>
    </row>
    <row r="404" spans="14:14" x14ac:dyDescent="0.25">
      <c r="N404" s="70"/>
    </row>
    <row r="405" spans="14:14" x14ac:dyDescent="0.25">
      <c r="N405" s="70"/>
    </row>
    <row r="406" spans="14:14" x14ac:dyDescent="0.25">
      <c r="N406" s="70"/>
    </row>
    <row r="407" spans="14:14" x14ac:dyDescent="0.25">
      <c r="N407" s="70"/>
    </row>
    <row r="408" spans="14:14" x14ac:dyDescent="0.25">
      <c r="N408" s="70"/>
    </row>
    <row r="409" spans="14:14" x14ac:dyDescent="0.25">
      <c r="N409" s="70"/>
    </row>
    <row r="410" spans="14:14" x14ac:dyDescent="0.25">
      <c r="N410" s="70"/>
    </row>
    <row r="411" spans="14:14" x14ac:dyDescent="0.25">
      <c r="N411" s="70"/>
    </row>
    <row r="412" spans="14:14" x14ac:dyDescent="0.25">
      <c r="N412" s="70"/>
    </row>
    <row r="413" spans="14:14" x14ac:dyDescent="0.25">
      <c r="N413" s="70"/>
    </row>
    <row r="414" spans="14:14" x14ac:dyDescent="0.25">
      <c r="N414" s="70"/>
    </row>
    <row r="415" spans="14:14" x14ac:dyDescent="0.25">
      <c r="N415" s="70"/>
    </row>
    <row r="416" spans="14:14" x14ac:dyDescent="0.25">
      <c r="N416" s="70"/>
    </row>
    <row r="417" spans="14:14" x14ac:dyDescent="0.25">
      <c r="N417" s="70"/>
    </row>
    <row r="418" spans="14:14" x14ac:dyDescent="0.25">
      <c r="N418" s="70"/>
    </row>
    <row r="419" spans="14:14" x14ac:dyDescent="0.25">
      <c r="N419" s="70"/>
    </row>
    <row r="420" spans="14:14" x14ac:dyDescent="0.25">
      <c r="N420" s="70"/>
    </row>
    <row r="421" spans="14:14" x14ac:dyDescent="0.25">
      <c r="N421" s="70"/>
    </row>
    <row r="422" spans="14:14" x14ac:dyDescent="0.25">
      <c r="N422" s="70"/>
    </row>
    <row r="423" spans="14:14" x14ac:dyDescent="0.25">
      <c r="N423" s="70"/>
    </row>
    <row r="424" spans="14:14" x14ac:dyDescent="0.25">
      <c r="N424" s="70"/>
    </row>
    <row r="425" spans="14:14" x14ac:dyDescent="0.25">
      <c r="N425" s="70"/>
    </row>
    <row r="426" spans="14:14" x14ac:dyDescent="0.25">
      <c r="N426" s="70"/>
    </row>
    <row r="427" spans="14:14" x14ac:dyDescent="0.25">
      <c r="N427" s="70"/>
    </row>
    <row r="428" spans="14:14" x14ac:dyDescent="0.25">
      <c r="N428" s="70"/>
    </row>
    <row r="429" spans="14:14" x14ac:dyDescent="0.25">
      <c r="N429" s="70"/>
    </row>
    <row r="430" spans="14:14" x14ac:dyDescent="0.25">
      <c r="N430" s="70"/>
    </row>
    <row r="431" spans="14:14" x14ac:dyDescent="0.25">
      <c r="N431" s="70"/>
    </row>
    <row r="432" spans="14:14" x14ac:dyDescent="0.25">
      <c r="N432" s="70"/>
    </row>
    <row r="433" spans="14:14" x14ac:dyDescent="0.25">
      <c r="N433" s="70"/>
    </row>
    <row r="434" spans="14:14" x14ac:dyDescent="0.25">
      <c r="N434" s="70"/>
    </row>
    <row r="435" spans="14:14" x14ac:dyDescent="0.25">
      <c r="N435" s="70"/>
    </row>
    <row r="436" spans="14:14" x14ac:dyDescent="0.25">
      <c r="N436" s="70"/>
    </row>
    <row r="437" spans="14:14" x14ac:dyDescent="0.25">
      <c r="N437" s="70"/>
    </row>
    <row r="438" spans="14:14" x14ac:dyDescent="0.25">
      <c r="N438" s="70"/>
    </row>
    <row r="439" spans="14:14" x14ac:dyDescent="0.25">
      <c r="N439" s="70"/>
    </row>
    <row r="440" spans="14:14" x14ac:dyDescent="0.25">
      <c r="N440" s="70"/>
    </row>
    <row r="441" spans="14:14" x14ac:dyDescent="0.25">
      <c r="N441" s="70"/>
    </row>
    <row r="442" spans="14:14" x14ac:dyDescent="0.25">
      <c r="N442" s="70"/>
    </row>
    <row r="443" spans="14:14" x14ac:dyDescent="0.25">
      <c r="N443" s="70"/>
    </row>
    <row r="444" spans="14:14" x14ac:dyDescent="0.25">
      <c r="N444" s="70"/>
    </row>
    <row r="445" spans="14:14" x14ac:dyDescent="0.25">
      <c r="N445" s="70"/>
    </row>
    <row r="446" spans="14:14" x14ac:dyDescent="0.25">
      <c r="N446" s="70"/>
    </row>
    <row r="447" spans="14:14" x14ac:dyDescent="0.25">
      <c r="N447" s="70"/>
    </row>
    <row r="448" spans="14:14" x14ac:dyDescent="0.25">
      <c r="N448" s="70"/>
    </row>
    <row r="449" spans="14:14" x14ac:dyDescent="0.25">
      <c r="N449" s="70"/>
    </row>
    <row r="450" spans="14:14" x14ac:dyDescent="0.25">
      <c r="N450" s="70"/>
    </row>
    <row r="451" spans="14:14" x14ac:dyDescent="0.25">
      <c r="N451" s="70"/>
    </row>
    <row r="452" spans="14:14" x14ac:dyDescent="0.25">
      <c r="N452" s="70"/>
    </row>
    <row r="453" spans="14:14" x14ac:dyDescent="0.25">
      <c r="N453" s="70"/>
    </row>
    <row r="454" spans="14:14" x14ac:dyDescent="0.25">
      <c r="N454" s="70"/>
    </row>
    <row r="455" spans="14:14" x14ac:dyDescent="0.25">
      <c r="N455" s="70"/>
    </row>
    <row r="456" spans="14:14" x14ac:dyDescent="0.25">
      <c r="N456" s="70"/>
    </row>
    <row r="457" spans="14:14" x14ac:dyDescent="0.25">
      <c r="N457" s="70"/>
    </row>
    <row r="458" spans="14:14" x14ac:dyDescent="0.25">
      <c r="N458" s="70"/>
    </row>
    <row r="459" spans="14:14" x14ac:dyDescent="0.25">
      <c r="N459" s="70"/>
    </row>
    <row r="460" spans="14:14" x14ac:dyDescent="0.25">
      <c r="N460" s="70"/>
    </row>
    <row r="461" spans="14:14" x14ac:dyDescent="0.25">
      <c r="N461" s="70"/>
    </row>
    <row r="462" spans="14:14" x14ac:dyDescent="0.25">
      <c r="N462" s="70"/>
    </row>
    <row r="463" spans="14:14" x14ac:dyDescent="0.25">
      <c r="N463" s="70"/>
    </row>
    <row r="464" spans="14:14" x14ac:dyDescent="0.25">
      <c r="N464" s="70"/>
    </row>
    <row r="465" spans="14:14" x14ac:dyDescent="0.25">
      <c r="N465" s="70"/>
    </row>
    <row r="466" spans="14:14" x14ac:dyDescent="0.25">
      <c r="N466" s="70"/>
    </row>
    <row r="467" spans="14:14" x14ac:dyDescent="0.25">
      <c r="N467" s="70"/>
    </row>
    <row r="468" spans="14:14" x14ac:dyDescent="0.25">
      <c r="N468" s="70"/>
    </row>
    <row r="469" spans="14:14" x14ac:dyDescent="0.25">
      <c r="N469" s="70"/>
    </row>
    <row r="470" spans="14:14" x14ac:dyDescent="0.25">
      <c r="N470" s="70"/>
    </row>
    <row r="471" spans="14:14" x14ac:dyDescent="0.25">
      <c r="N471" s="70"/>
    </row>
    <row r="472" spans="14:14" x14ac:dyDescent="0.25">
      <c r="N472" s="70"/>
    </row>
    <row r="473" spans="14:14" x14ac:dyDescent="0.25">
      <c r="N473" s="70"/>
    </row>
    <row r="474" spans="14:14" x14ac:dyDescent="0.25">
      <c r="N474" s="70"/>
    </row>
    <row r="475" spans="14:14" x14ac:dyDescent="0.25">
      <c r="N475" s="70"/>
    </row>
    <row r="476" spans="14:14" x14ac:dyDescent="0.25">
      <c r="N476" s="70"/>
    </row>
    <row r="477" spans="14:14" x14ac:dyDescent="0.25">
      <c r="N477" s="70"/>
    </row>
    <row r="478" spans="14:14" x14ac:dyDescent="0.25">
      <c r="N478" s="70"/>
    </row>
    <row r="479" spans="14:14" x14ac:dyDescent="0.25">
      <c r="N479" s="70"/>
    </row>
    <row r="480" spans="14:14" x14ac:dyDescent="0.25">
      <c r="N480" s="70"/>
    </row>
    <row r="481" spans="14:14" x14ac:dyDescent="0.25">
      <c r="N481" s="70"/>
    </row>
    <row r="482" spans="14:14" x14ac:dyDescent="0.25">
      <c r="N482" s="70"/>
    </row>
    <row r="483" spans="14:14" x14ac:dyDescent="0.25">
      <c r="N483" s="70"/>
    </row>
    <row r="484" spans="14:14" x14ac:dyDescent="0.25">
      <c r="N484" s="70"/>
    </row>
    <row r="485" spans="14:14" x14ac:dyDescent="0.25">
      <c r="N485" s="70"/>
    </row>
    <row r="486" spans="14:14" x14ac:dyDescent="0.25">
      <c r="N486" s="70"/>
    </row>
    <row r="487" spans="14:14" x14ac:dyDescent="0.25">
      <c r="N487" s="70"/>
    </row>
    <row r="488" spans="14:14" x14ac:dyDescent="0.25">
      <c r="N488" s="70"/>
    </row>
    <row r="489" spans="14:14" x14ac:dyDescent="0.25">
      <c r="N489" s="70"/>
    </row>
    <row r="490" spans="14:14" x14ac:dyDescent="0.25">
      <c r="N490" s="70"/>
    </row>
    <row r="491" spans="14:14" x14ac:dyDescent="0.25">
      <c r="N491" s="70"/>
    </row>
    <row r="492" spans="14:14" x14ac:dyDescent="0.25">
      <c r="N492" s="70"/>
    </row>
    <row r="493" spans="14:14" x14ac:dyDescent="0.25">
      <c r="N493" s="70"/>
    </row>
    <row r="494" spans="14:14" x14ac:dyDescent="0.25">
      <c r="N494" s="70"/>
    </row>
    <row r="495" spans="14:14" x14ac:dyDescent="0.25">
      <c r="N495" s="70"/>
    </row>
    <row r="496" spans="14:14" x14ac:dyDescent="0.25">
      <c r="N496" s="70"/>
    </row>
    <row r="497" spans="14:14" x14ac:dyDescent="0.25">
      <c r="N497" s="70"/>
    </row>
    <row r="498" spans="14:14" x14ac:dyDescent="0.25">
      <c r="N498" s="70"/>
    </row>
    <row r="499" spans="14:14" x14ac:dyDescent="0.25">
      <c r="N499" s="70"/>
    </row>
    <row r="500" spans="14:14" x14ac:dyDescent="0.25">
      <c r="N500" s="70"/>
    </row>
    <row r="501" spans="14:14" x14ac:dyDescent="0.25">
      <c r="N501" s="70"/>
    </row>
    <row r="502" spans="14:14" x14ac:dyDescent="0.25">
      <c r="N502" s="70"/>
    </row>
    <row r="503" spans="14:14" x14ac:dyDescent="0.25">
      <c r="N503" s="70"/>
    </row>
    <row r="504" spans="14:14" x14ac:dyDescent="0.25">
      <c r="N504" s="70"/>
    </row>
    <row r="505" spans="14:14" x14ac:dyDescent="0.25">
      <c r="N505" s="70"/>
    </row>
    <row r="506" spans="14:14" x14ac:dyDescent="0.25">
      <c r="N506" s="70"/>
    </row>
    <row r="507" spans="14:14" x14ac:dyDescent="0.25">
      <c r="N507" s="70"/>
    </row>
    <row r="508" spans="14:14" x14ac:dyDescent="0.25">
      <c r="N508" s="70"/>
    </row>
    <row r="509" spans="14:14" x14ac:dyDescent="0.25">
      <c r="N509" s="70"/>
    </row>
    <row r="510" spans="14:14" x14ac:dyDescent="0.25">
      <c r="N510" s="70"/>
    </row>
    <row r="511" spans="14:14" x14ac:dyDescent="0.25">
      <c r="N511" s="70"/>
    </row>
    <row r="512" spans="14:14" x14ac:dyDescent="0.25">
      <c r="N512" s="70"/>
    </row>
    <row r="513" spans="14:14" x14ac:dyDescent="0.25">
      <c r="N513" s="70"/>
    </row>
    <row r="514" spans="14:14" x14ac:dyDescent="0.25">
      <c r="N514" s="70"/>
    </row>
    <row r="515" spans="14:14" x14ac:dyDescent="0.25">
      <c r="N515" s="70"/>
    </row>
    <row r="516" spans="14:14" x14ac:dyDescent="0.25">
      <c r="N516" s="70"/>
    </row>
    <row r="517" spans="14:14" x14ac:dyDescent="0.25">
      <c r="N517" s="70"/>
    </row>
    <row r="518" spans="14:14" x14ac:dyDescent="0.25">
      <c r="N518" s="70"/>
    </row>
    <row r="519" spans="14:14" x14ac:dyDescent="0.25">
      <c r="N519" s="70"/>
    </row>
    <row r="520" spans="14:14" x14ac:dyDescent="0.25">
      <c r="N520" s="70"/>
    </row>
    <row r="521" spans="14:14" x14ac:dyDescent="0.25">
      <c r="N521" s="70"/>
    </row>
    <row r="522" spans="14:14" x14ac:dyDescent="0.25">
      <c r="N522" s="70"/>
    </row>
    <row r="523" spans="14:14" x14ac:dyDescent="0.25">
      <c r="N523" s="70"/>
    </row>
    <row r="524" spans="14:14" x14ac:dyDescent="0.25">
      <c r="N524" s="70"/>
    </row>
    <row r="525" spans="14:14" x14ac:dyDescent="0.25">
      <c r="N525" s="70"/>
    </row>
    <row r="526" spans="14:14" x14ac:dyDescent="0.25">
      <c r="N526" s="70"/>
    </row>
    <row r="527" spans="14:14" x14ac:dyDescent="0.25">
      <c r="N527" s="70"/>
    </row>
    <row r="528" spans="14:14" x14ac:dyDescent="0.25">
      <c r="N528" s="70"/>
    </row>
    <row r="529" spans="14:14" x14ac:dyDescent="0.25">
      <c r="N529" s="70"/>
    </row>
    <row r="530" spans="14:14" x14ac:dyDescent="0.25">
      <c r="N530" s="70"/>
    </row>
    <row r="531" spans="14:14" x14ac:dyDescent="0.25">
      <c r="N531" s="70"/>
    </row>
    <row r="532" spans="14:14" x14ac:dyDescent="0.25">
      <c r="N532" s="70"/>
    </row>
    <row r="533" spans="14:14" x14ac:dyDescent="0.25">
      <c r="N533" s="70"/>
    </row>
    <row r="534" spans="14:14" x14ac:dyDescent="0.25">
      <c r="N534" s="70"/>
    </row>
    <row r="535" spans="14:14" x14ac:dyDescent="0.25">
      <c r="N535" s="70"/>
    </row>
    <row r="536" spans="14:14" x14ac:dyDescent="0.25">
      <c r="N536" s="70"/>
    </row>
    <row r="537" spans="14:14" x14ac:dyDescent="0.25">
      <c r="N537" s="70"/>
    </row>
    <row r="538" spans="14:14" x14ac:dyDescent="0.25">
      <c r="N538" s="70"/>
    </row>
    <row r="539" spans="14:14" x14ac:dyDescent="0.25">
      <c r="N539" s="70"/>
    </row>
    <row r="540" spans="14:14" x14ac:dyDescent="0.25">
      <c r="N540" s="70"/>
    </row>
    <row r="541" spans="14:14" x14ac:dyDescent="0.25">
      <c r="N541" s="70"/>
    </row>
    <row r="542" spans="14:14" x14ac:dyDescent="0.25">
      <c r="N542" s="70"/>
    </row>
    <row r="543" spans="14:14" x14ac:dyDescent="0.25">
      <c r="N543" s="70"/>
    </row>
    <row r="544" spans="14:14" x14ac:dyDescent="0.25">
      <c r="N544" s="70"/>
    </row>
    <row r="545" spans="14:14" x14ac:dyDescent="0.25">
      <c r="N545" s="70"/>
    </row>
    <row r="546" spans="14:14" x14ac:dyDescent="0.25">
      <c r="N546" s="70"/>
    </row>
    <row r="547" spans="14:14" x14ac:dyDescent="0.25">
      <c r="N547" s="70"/>
    </row>
    <row r="548" spans="14:14" x14ac:dyDescent="0.25">
      <c r="N548" s="70"/>
    </row>
    <row r="549" spans="14:14" x14ac:dyDescent="0.25">
      <c r="N549" s="70"/>
    </row>
    <row r="550" spans="14:14" x14ac:dyDescent="0.25">
      <c r="N550" s="70"/>
    </row>
    <row r="551" spans="14:14" x14ac:dyDescent="0.25">
      <c r="N551" s="70"/>
    </row>
    <row r="552" spans="14:14" x14ac:dyDescent="0.25">
      <c r="N552" s="70"/>
    </row>
    <row r="553" spans="14:14" x14ac:dyDescent="0.25">
      <c r="N553" s="70"/>
    </row>
    <row r="554" spans="14:14" x14ac:dyDescent="0.25">
      <c r="N554" s="70"/>
    </row>
    <row r="555" spans="14:14" x14ac:dyDescent="0.25">
      <c r="N555" s="70"/>
    </row>
    <row r="556" spans="14:14" x14ac:dyDescent="0.25">
      <c r="N556" s="70"/>
    </row>
    <row r="557" spans="14:14" x14ac:dyDescent="0.25">
      <c r="N557" s="70"/>
    </row>
    <row r="558" spans="14:14" x14ac:dyDescent="0.25">
      <c r="N558" s="70"/>
    </row>
    <row r="559" spans="14:14" x14ac:dyDescent="0.25">
      <c r="N559" s="70"/>
    </row>
    <row r="560" spans="14:14" x14ac:dyDescent="0.25">
      <c r="N560" s="70"/>
    </row>
    <row r="561" spans="14:14" x14ac:dyDescent="0.25">
      <c r="N561" s="70"/>
    </row>
    <row r="562" spans="14:14" x14ac:dyDescent="0.25">
      <c r="N562" s="70"/>
    </row>
    <row r="563" spans="14:14" x14ac:dyDescent="0.25">
      <c r="N563" s="70"/>
    </row>
    <row r="564" spans="14:14" x14ac:dyDescent="0.25">
      <c r="N564" s="70"/>
    </row>
    <row r="565" spans="14:14" x14ac:dyDescent="0.25">
      <c r="N565" s="70"/>
    </row>
    <row r="566" spans="14:14" x14ac:dyDescent="0.25">
      <c r="N566" s="70"/>
    </row>
    <row r="567" spans="14:14" x14ac:dyDescent="0.25">
      <c r="N567" s="70"/>
    </row>
    <row r="568" spans="14:14" x14ac:dyDescent="0.25">
      <c r="N568" s="70"/>
    </row>
    <row r="569" spans="14:14" x14ac:dyDescent="0.25">
      <c r="N569" s="70"/>
    </row>
    <row r="570" spans="14:14" x14ac:dyDescent="0.25">
      <c r="N570" s="70"/>
    </row>
    <row r="571" spans="14:14" x14ac:dyDescent="0.25">
      <c r="N571" s="70"/>
    </row>
    <row r="572" spans="14:14" x14ac:dyDescent="0.25">
      <c r="N572" s="70"/>
    </row>
    <row r="573" spans="14:14" x14ac:dyDescent="0.25">
      <c r="N573" s="70"/>
    </row>
    <row r="574" spans="14:14" x14ac:dyDescent="0.25">
      <c r="N574" s="70"/>
    </row>
    <row r="575" spans="14:14" x14ac:dyDescent="0.25">
      <c r="N575" s="70"/>
    </row>
    <row r="576" spans="14:14" x14ac:dyDescent="0.25">
      <c r="N576" s="70"/>
    </row>
    <row r="577" spans="14:14" x14ac:dyDescent="0.25">
      <c r="N577" s="70"/>
    </row>
    <row r="578" spans="14:14" x14ac:dyDescent="0.25">
      <c r="N578" s="70"/>
    </row>
    <row r="579" spans="14:14" x14ac:dyDescent="0.25">
      <c r="N579" s="70"/>
    </row>
    <row r="580" spans="14:14" x14ac:dyDescent="0.25">
      <c r="N580" s="70"/>
    </row>
    <row r="581" spans="14:14" x14ac:dyDescent="0.25">
      <c r="N581" s="70"/>
    </row>
    <row r="582" spans="14:14" x14ac:dyDescent="0.25">
      <c r="N582" s="70"/>
    </row>
    <row r="583" spans="14:14" x14ac:dyDescent="0.25">
      <c r="N583" s="70"/>
    </row>
    <row r="584" spans="14:14" x14ac:dyDescent="0.25">
      <c r="N584" s="70"/>
    </row>
    <row r="585" spans="14:14" x14ac:dyDescent="0.25">
      <c r="N585" s="70"/>
    </row>
    <row r="586" spans="14:14" x14ac:dyDescent="0.25">
      <c r="N586" s="70"/>
    </row>
    <row r="587" spans="14:14" x14ac:dyDescent="0.25">
      <c r="N587" s="70"/>
    </row>
    <row r="588" spans="14:14" x14ac:dyDescent="0.25">
      <c r="N588" s="70"/>
    </row>
    <row r="589" spans="14:14" x14ac:dyDescent="0.25">
      <c r="N589" s="70"/>
    </row>
    <row r="590" spans="14:14" x14ac:dyDescent="0.25">
      <c r="N590" s="70"/>
    </row>
    <row r="591" spans="14:14" x14ac:dyDescent="0.25">
      <c r="N591" s="70"/>
    </row>
    <row r="592" spans="14:14" x14ac:dyDescent="0.25">
      <c r="N592" s="70"/>
    </row>
    <row r="593" spans="14:14" x14ac:dyDescent="0.25">
      <c r="N593" s="70"/>
    </row>
    <row r="594" spans="14:14" x14ac:dyDescent="0.25">
      <c r="N594" s="70"/>
    </row>
    <row r="595" spans="14:14" x14ac:dyDescent="0.25">
      <c r="N595" s="70"/>
    </row>
    <row r="596" spans="14:14" x14ac:dyDescent="0.25">
      <c r="N596" s="70"/>
    </row>
    <row r="597" spans="14:14" x14ac:dyDescent="0.25">
      <c r="N597" s="70"/>
    </row>
    <row r="598" spans="14:14" x14ac:dyDescent="0.25">
      <c r="N598" s="70"/>
    </row>
    <row r="599" spans="14:14" x14ac:dyDescent="0.25">
      <c r="N599" s="70"/>
    </row>
    <row r="600" spans="14:14" x14ac:dyDescent="0.25">
      <c r="N600" s="70"/>
    </row>
    <row r="601" spans="14:14" x14ac:dyDescent="0.25">
      <c r="N601" s="70"/>
    </row>
    <row r="602" spans="14:14" x14ac:dyDescent="0.25">
      <c r="N602" s="70"/>
    </row>
    <row r="603" spans="14:14" x14ac:dyDescent="0.25">
      <c r="N603" s="70"/>
    </row>
    <row r="604" spans="14:14" x14ac:dyDescent="0.25">
      <c r="N604" s="70"/>
    </row>
    <row r="605" spans="14:14" x14ac:dyDescent="0.25">
      <c r="N605" s="70"/>
    </row>
    <row r="606" spans="14:14" x14ac:dyDescent="0.25">
      <c r="N606" s="70"/>
    </row>
    <row r="607" spans="14:14" x14ac:dyDescent="0.25">
      <c r="N607" s="70"/>
    </row>
    <row r="608" spans="14:14" x14ac:dyDescent="0.25">
      <c r="N608" s="70"/>
    </row>
    <row r="609" spans="14:14" x14ac:dyDescent="0.25">
      <c r="N609" s="70"/>
    </row>
    <row r="610" spans="14:14" x14ac:dyDescent="0.25">
      <c r="N610" s="70"/>
    </row>
    <row r="611" spans="14:14" x14ac:dyDescent="0.25">
      <c r="N611" s="70"/>
    </row>
    <row r="612" spans="14:14" x14ac:dyDescent="0.25">
      <c r="N612" s="70"/>
    </row>
    <row r="613" spans="14:14" x14ac:dyDescent="0.25">
      <c r="N613" s="70"/>
    </row>
    <row r="614" spans="14:14" x14ac:dyDescent="0.25">
      <c r="N614" s="70"/>
    </row>
    <row r="615" spans="14:14" x14ac:dyDescent="0.25">
      <c r="N615" s="70"/>
    </row>
    <row r="616" spans="14:14" x14ac:dyDescent="0.25">
      <c r="N616" s="70"/>
    </row>
    <row r="617" spans="14:14" x14ac:dyDescent="0.25">
      <c r="N617" s="70"/>
    </row>
    <row r="618" spans="14:14" x14ac:dyDescent="0.25">
      <c r="N618" s="70"/>
    </row>
    <row r="619" spans="14:14" x14ac:dyDescent="0.25">
      <c r="N619" s="70"/>
    </row>
    <row r="620" spans="14:14" x14ac:dyDescent="0.25">
      <c r="N620" s="70"/>
    </row>
    <row r="621" spans="14:14" x14ac:dyDescent="0.25">
      <c r="N621" s="70"/>
    </row>
    <row r="622" spans="14:14" x14ac:dyDescent="0.25">
      <c r="N622" s="70"/>
    </row>
    <row r="623" spans="14:14" x14ac:dyDescent="0.25">
      <c r="N623" s="70"/>
    </row>
    <row r="624" spans="14:14" x14ac:dyDescent="0.25">
      <c r="N624" s="70"/>
    </row>
    <row r="625" spans="14:14" x14ac:dyDescent="0.25">
      <c r="N625" s="70"/>
    </row>
    <row r="626" spans="14:14" x14ac:dyDescent="0.25">
      <c r="N626" s="70"/>
    </row>
    <row r="627" spans="14:14" x14ac:dyDescent="0.25">
      <c r="N627" s="70"/>
    </row>
    <row r="628" spans="14:14" x14ac:dyDescent="0.25">
      <c r="N628" s="70"/>
    </row>
    <row r="629" spans="14:14" x14ac:dyDescent="0.25">
      <c r="N629" s="70"/>
    </row>
    <row r="630" spans="14:14" x14ac:dyDescent="0.25">
      <c r="N630" s="70"/>
    </row>
    <row r="631" spans="14:14" x14ac:dyDescent="0.25">
      <c r="N631" s="70"/>
    </row>
    <row r="632" spans="14:14" x14ac:dyDescent="0.25">
      <c r="N632" s="70"/>
    </row>
    <row r="633" spans="14:14" x14ac:dyDescent="0.25">
      <c r="N633" s="70"/>
    </row>
    <row r="634" spans="14:14" x14ac:dyDescent="0.25">
      <c r="N634" s="70"/>
    </row>
    <row r="635" spans="14:14" x14ac:dyDescent="0.25">
      <c r="N635" s="70"/>
    </row>
    <row r="636" spans="14:14" x14ac:dyDescent="0.25">
      <c r="N636" s="70"/>
    </row>
    <row r="637" spans="14:14" x14ac:dyDescent="0.25">
      <c r="N637" s="70"/>
    </row>
    <row r="638" spans="14:14" x14ac:dyDescent="0.25">
      <c r="N638" s="70"/>
    </row>
    <row r="639" spans="14:14" x14ac:dyDescent="0.25">
      <c r="N639" s="70"/>
    </row>
    <row r="640" spans="14:14" x14ac:dyDescent="0.25">
      <c r="N640" s="70"/>
    </row>
    <row r="641" spans="14:14" x14ac:dyDescent="0.25">
      <c r="N641" s="70"/>
    </row>
    <row r="642" spans="14:14" x14ac:dyDescent="0.25">
      <c r="N642" s="70"/>
    </row>
    <row r="643" spans="14:14" x14ac:dyDescent="0.25">
      <c r="N643" s="70"/>
    </row>
    <row r="644" spans="14:14" x14ac:dyDescent="0.25">
      <c r="N644" s="70"/>
    </row>
    <row r="645" spans="14:14" x14ac:dyDescent="0.25">
      <c r="N645" s="70"/>
    </row>
    <row r="646" spans="14:14" x14ac:dyDescent="0.25">
      <c r="N646" s="70"/>
    </row>
    <row r="647" spans="14:14" x14ac:dyDescent="0.25">
      <c r="N647" s="70"/>
    </row>
    <row r="648" spans="14:14" x14ac:dyDescent="0.25">
      <c r="N648" s="70"/>
    </row>
    <row r="649" spans="14:14" x14ac:dyDescent="0.25">
      <c r="N649" s="70"/>
    </row>
    <row r="650" spans="14:14" x14ac:dyDescent="0.25">
      <c r="N650" s="70"/>
    </row>
    <row r="651" spans="14:14" x14ac:dyDescent="0.25">
      <c r="N651" s="70"/>
    </row>
    <row r="652" spans="14:14" x14ac:dyDescent="0.25">
      <c r="N652" s="70"/>
    </row>
    <row r="653" spans="14:14" x14ac:dyDescent="0.25">
      <c r="N653" s="70"/>
    </row>
    <row r="654" spans="14:14" x14ac:dyDescent="0.25">
      <c r="N654" s="70"/>
    </row>
    <row r="655" spans="14:14" x14ac:dyDescent="0.25">
      <c r="N655" s="70"/>
    </row>
    <row r="656" spans="14:14" x14ac:dyDescent="0.25">
      <c r="N656" s="70"/>
    </row>
    <row r="657" spans="14:14" x14ac:dyDescent="0.25">
      <c r="N657" s="70"/>
    </row>
    <row r="658" spans="14:14" x14ac:dyDescent="0.25">
      <c r="N658" s="70"/>
    </row>
    <row r="659" spans="14:14" x14ac:dyDescent="0.25">
      <c r="N659" s="70"/>
    </row>
    <row r="660" spans="14:14" x14ac:dyDescent="0.25">
      <c r="N660" s="70"/>
    </row>
    <row r="661" spans="14:14" x14ac:dyDescent="0.25">
      <c r="N661" s="70"/>
    </row>
    <row r="662" spans="14:14" x14ac:dyDescent="0.25">
      <c r="N662" s="70"/>
    </row>
    <row r="663" spans="14:14" x14ac:dyDescent="0.25">
      <c r="N663" s="70"/>
    </row>
    <row r="664" spans="14:14" x14ac:dyDescent="0.25">
      <c r="N664" s="70"/>
    </row>
    <row r="665" spans="14:14" x14ac:dyDescent="0.25">
      <c r="N665" s="70"/>
    </row>
    <row r="666" spans="14:14" x14ac:dyDescent="0.25">
      <c r="N666" s="70"/>
    </row>
    <row r="667" spans="14:14" x14ac:dyDescent="0.25">
      <c r="N667" s="70"/>
    </row>
    <row r="668" spans="14:14" x14ac:dyDescent="0.25">
      <c r="N668" s="70"/>
    </row>
    <row r="669" spans="14:14" x14ac:dyDescent="0.25">
      <c r="N669" s="70"/>
    </row>
    <row r="670" spans="14:14" x14ac:dyDescent="0.25">
      <c r="N670" s="70"/>
    </row>
    <row r="671" spans="14:14" x14ac:dyDescent="0.25">
      <c r="N671" s="70"/>
    </row>
    <row r="672" spans="14:14" x14ac:dyDescent="0.25">
      <c r="N672" s="70"/>
    </row>
    <row r="673" spans="14:14" x14ac:dyDescent="0.25">
      <c r="N673" s="70"/>
    </row>
    <row r="674" spans="14:14" x14ac:dyDescent="0.25">
      <c r="N674" s="70"/>
    </row>
    <row r="675" spans="14:14" x14ac:dyDescent="0.25">
      <c r="N675" s="70"/>
    </row>
    <row r="676" spans="14:14" x14ac:dyDescent="0.25">
      <c r="N676" s="70"/>
    </row>
    <row r="677" spans="14:14" x14ac:dyDescent="0.25">
      <c r="N677" s="70"/>
    </row>
    <row r="678" spans="14:14" x14ac:dyDescent="0.25">
      <c r="N678" s="70"/>
    </row>
    <row r="679" spans="14:14" x14ac:dyDescent="0.25">
      <c r="N679" s="70"/>
    </row>
    <row r="680" spans="14:14" x14ac:dyDescent="0.25">
      <c r="N680" s="70"/>
    </row>
    <row r="681" spans="14:14" x14ac:dyDescent="0.25">
      <c r="N681" s="70"/>
    </row>
    <row r="682" spans="14:14" x14ac:dyDescent="0.25">
      <c r="N682" s="70"/>
    </row>
    <row r="683" spans="14:14" x14ac:dyDescent="0.25">
      <c r="N683" s="70"/>
    </row>
    <row r="684" spans="14:14" x14ac:dyDescent="0.25">
      <c r="N684" s="70"/>
    </row>
    <row r="685" spans="14:14" x14ac:dyDescent="0.25">
      <c r="N685" s="70"/>
    </row>
    <row r="686" spans="14:14" x14ac:dyDescent="0.25">
      <c r="N686" s="70"/>
    </row>
    <row r="687" spans="14:14" x14ac:dyDescent="0.25">
      <c r="N687" s="70"/>
    </row>
    <row r="688" spans="14:14" x14ac:dyDescent="0.25">
      <c r="N688" s="70"/>
    </row>
    <row r="689" spans="14:14" x14ac:dyDescent="0.25">
      <c r="N689" s="70"/>
    </row>
    <row r="690" spans="14:14" x14ac:dyDescent="0.25">
      <c r="N690" s="70"/>
    </row>
    <row r="691" spans="14:14" x14ac:dyDescent="0.25">
      <c r="N691" s="70"/>
    </row>
    <row r="692" spans="14:14" x14ac:dyDescent="0.25">
      <c r="N692" s="70"/>
    </row>
    <row r="693" spans="14:14" x14ac:dyDescent="0.25">
      <c r="N693" s="70"/>
    </row>
    <row r="694" spans="14:14" x14ac:dyDescent="0.25">
      <c r="N694" s="70"/>
    </row>
    <row r="695" spans="14:14" x14ac:dyDescent="0.25">
      <c r="N695" s="70"/>
    </row>
    <row r="696" spans="14:14" x14ac:dyDescent="0.25">
      <c r="N696" s="70"/>
    </row>
    <row r="697" spans="14:14" x14ac:dyDescent="0.25">
      <c r="N697" s="70"/>
    </row>
    <row r="698" spans="14:14" x14ac:dyDescent="0.25">
      <c r="N698" s="70"/>
    </row>
    <row r="699" spans="14:14" x14ac:dyDescent="0.25">
      <c r="N699" s="70"/>
    </row>
    <row r="700" spans="14:14" x14ac:dyDescent="0.25">
      <c r="N700" s="70"/>
    </row>
    <row r="701" spans="14:14" x14ac:dyDescent="0.25">
      <c r="N701" s="70"/>
    </row>
    <row r="702" spans="14:14" x14ac:dyDescent="0.25">
      <c r="N702" s="70"/>
    </row>
    <row r="703" spans="14:14" x14ac:dyDescent="0.25">
      <c r="N703" s="70"/>
    </row>
    <row r="704" spans="14:14" x14ac:dyDescent="0.25">
      <c r="N704" s="70"/>
    </row>
    <row r="705" spans="14:14" x14ac:dyDescent="0.25">
      <c r="N705" s="70"/>
    </row>
    <row r="706" spans="14:14" x14ac:dyDescent="0.25">
      <c r="N706" s="70"/>
    </row>
    <row r="707" spans="14:14" x14ac:dyDescent="0.25">
      <c r="N707" s="70"/>
    </row>
    <row r="708" spans="14:14" x14ac:dyDescent="0.25">
      <c r="N708" s="70"/>
    </row>
    <row r="709" spans="14:14" x14ac:dyDescent="0.25">
      <c r="N709" s="70"/>
    </row>
    <row r="710" spans="14:14" x14ac:dyDescent="0.25">
      <c r="N710" s="70"/>
    </row>
    <row r="711" spans="14:14" x14ac:dyDescent="0.25">
      <c r="N711" s="70"/>
    </row>
    <row r="712" spans="14:14" x14ac:dyDescent="0.25">
      <c r="N712" s="70"/>
    </row>
    <row r="713" spans="14:14" x14ac:dyDescent="0.25">
      <c r="N713" s="70"/>
    </row>
    <row r="714" spans="14:14" x14ac:dyDescent="0.25">
      <c r="N714" s="70"/>
    </row>
    <row r="715" spans="14:14" x14ac:dyDescent="0.25">
      <c r="N715" s="70"/>
    </row>
    <row r="716" spans="14:14" x14ac:dyDescent="0.25">
      <c r="N716" s="70"/>
    </row>
    <row r="717" spans="14:14" x14ac:dyDescent="0.25">
      <c r="N717" s="70"/>
    </row>
    <row r="718" spans="14:14" x14ac:dyDescent="0.25">
      <c r="N718" s="70"/>
    </row>
    <row r="719" spans="14:14" x14ac:dyDescent="0.25">
      <c r="N719" s="70"/>
    </row>
    <row r="720" spans="14:14" x14ac:dyDescent="0.25">
      <c r="N720" s="70"/>
    </row>
    <row r="721" spans="14:14" x14ac:dyDescent="0.25">
      <c r="N721" s="70"/>
    </row>
    <row r="722" spans="14:14" x14ac:dyDescent="0.25">
      <c r="N722" s="70"/>
    </row>
    <row r="723" spans="14:14" x14ac:dyDescent="0.25">
      <c r="N723" s="70"/>
    </row>
    <row r="724" spans="14:14" x14ac:dyDescent="0.25">
      <c r="N724" s="70"/>
    </row>
    <row r="725" spans="14:14" x14ac:dyDescent="0.25">
      <c r="N725" s="70"/>
    </row>
    <row r="726" spans="14:14" x14ac:dyDescent="0.25">
      <c r="N726" s="70"/>
    </row>
    <row r="727" spans="14:14" x14ac:dyDescent="0.25">
      <c r="N727" s="70"/>
    </row>
    <row r="728" spans="14:14" x14ac:dyDescent="0.25">
      <c r="N728" s="70"/>
    </row>
    <row r="729" spans="14:14" x14ac:dyDescent="0.25">
      <c r="N729" s="70"/>
    </row>
    <row r="730" spans="14:14" x14ac:dyDescent="0.25">
      <c r="N730" s="70"/>
    </row>
    <row r="731" spans="14:14" x14ac:dyDescent="0.25">
      <c r="N731" s="70"/>
    </row>
    <row r="732" spans="14:14" x14ac:dyDescent="0.25">
      <c r="N732" s="70"/>
    </row>
    <row r="733" spans="14:14" x14ac:dyDescent="0.25">
      <c r="N733" s="70"/>
    </row>
    <row r="734" spans="14:14" x14ac:dyDescent="0.25">
      <c r="N734" s="70"/>
    </row>
    <row r="735" spans="14:14" x14ac:dyDescent="0.25">
      <c r="N735" s="70"/>
    </row>
    <row r="736" spans="14:14" x14ac:dyDescent="0.25">
      <c r="N736" s="70"/>
    </row>
    <row r="737" spans="14:14" x14ac:dyDescent="0.25">
      <c r="N737" s="70"/>
    </row>
    <row r="738" spans="14:14" x14ac:dyDescent="0.25">
      <c r="N738" s="70"/>
    </row>
    <row r="739" spans="14:14" x14ac:dyDescent="0.25">
      <c r="N739" s="70"/>
    </row>
    <row r="740" spans="14:14" x14ac:dyDescent="0.25">
      <c r="N740" s="70"/>
    </row>
    <row r="741" spans="14:14" x14ac:dyDescent="0.25">
      <c r="N741" s="70"/>
    </row>
    <row r="742" spans="14:14" x14ac:dyDescent="0.25">
      <c r="N742" s="70"/>
    </row>
    <row r="743" spans="14:14" x14ac:dyDescent="0.25">
      <c r="N743" s="70"/>
    </row>
    <row r="744" spans="14:14" x14ac:dyDescent="0.25">
      <c r="N744" s="70"/>
    </row>
    <row r="745" spans="14:14" x14ac:dyDescent="0.25">
      <c r="N745" s="70"/>
    </row>
    <row r="746" spans="14:14" x14ac:dyDescent="0.25">
      <c r="N746" s="70"/>
    </row>
    <row r="747" spans="14:14" x14ac:dyDescent="0.25">
      <c r="N747" s="70"/>
    </row>
    <row r="748" spans="14:14" x14ac:dyDescent="0.25">
      <c r="N748" s="70"/>
    </row>
    <row r="749" spans="14:14" x14ac:dyDescent="0.25">
      <c r="N749" s="70"/>
    </row>
    <row r="750" spans="14:14" x14ac:dyDescent="0.25">
      <c r="N750" s="70"/>
    </row>
    <row r="751" spans="14:14" x14ac:dyDescent="0.25">
      <c r="N751" s="70"/>
    </row>
    <row r="752" spans="14:14" x14ac:dyDescent="0.25">
      <c r="N752" s="70"/>
    </row>
    <row r="753" spans="14:14" x14ac:dyDescent="0.25">
      <c r="N753" s="70"/>
    </row>
    <row r="754" spans="14:14" x14ac:dyDescent="0.25">
      <c r="N754" s="70"/>
    </row>
    <row r="755" spans="14:14" x14ac:dyDescent="0.25">
      <c r="N755" s="70"/>
    </row>
    <row r="756" spans="14:14" x14ac:dyDescent="0.25">
      <c r="N756" s="70"/>
    </row>
    <row r="757" spans="14:14" x14ac:dyDescent="0.25">
      <c r="N757" s="70"/>
    </row>
    <row r="758" spans="14:14" x14ac:dyDescent="0.25">
      <c r="N758" s="70"/>
    </row>
    <row r="759" spans="14:14" x14ac:dyDescent="0.25">
      <c r="N759" s="70"/>
    </row>
    <row r="760" spans="14:14" x14ac:dyDescent="0.25">
      <c r="N760" s="70"/>
    </row>
    <row r="761" spans="14:14" x14ac:dyDescent="0.25">
      <c r="N761" s="70"/>
    </row>
    <row r="762" spans="14:14" x14ac:dyDescent="0.25">
      <c r="N762" s="70"/>
    </row>
    <row r="763" spans="14:14" x14ac:dyDescent="0.25">
      <c r="N763" s="70"/>
    </row>
    <row r="764" spans="14:14" x14ac:dyDescent="0.25">
      <c r="N764" s="70"/>
    </row>
    <row r="765" spans="14:14" x14ac:dyDescent="0.25">
      <c r="N765" s="70"/>
    </row>
    <row r="766" spans="14:14" x14ac:dyDescent="0.25">
      <c r="N766" s="70"/>
    </row>
    <row r="767" spans="14:14" x14ac:dyDescent="0.25">
      <c r="N767" s="70"/>
    </row>
    <row r="768" spans="14:14" x14ac:dyDescent="0.25">
      <c r="N768" s="70"/>
    </row>
    <row r="769" spans="14:14" x14ac:dyDescent="0.25">
      <c r="N769" s="70"/>
    </row>
    <row r="770" spans="14:14" x14ac:dyDescent="0.25">
      <c r="N770" s="70"/>
    </row>
    <row r="771" spans="14:14" x14ac:dyDescent="0.25">
      <c r="N771" s="70"/>
    </row>
    <row r="772" spans="14:14" x14ac:dyDescent="0.25">
      <c r="N772" s="70"/>
    </row>
    <row r="773" spans="14:14" x14ac:dyDescent="0.25">
      <c r="N773" s="70"/>
    </row>
    <row r="774" spans="14:14" x14ac:dyDescent="0.25">
      <c r="N774" s="70"/>
    </row>
    <row r="775" spans="14:14" x14ac:dyDescent="0.25">
      <c r="N775" s="70"/>
    </row>
    <row r="776" spans="14:14" x14ac:dyDescent="0.25">
      <c r="N776" s="70"/>
    </row>
    <row r="777" spans="14:14" x14ac:dyDescent="0.25">
      <c r="N777" s="70"/>
    </row>
    <row r="778" spans="14:14" x14ac:dyDescent="0.25">
      <c r="N778" s="70"/>
    </row>
    <row r="779" spans="14:14" x14ac:dyDescent="0.25">
      <c r="N779" s="70"/>
    </row>
    <row r="780" spans="14:14" x14ac:dyDescent="0.25">
      <c r="N780" s="70"/>
    </row>
    <row r="781" spans="14:14" x14ac:dyDescent="0.25">
      <c r="N781" s="70"/>
    </row>
    <row r="782" spans="14:14" x14ac:dyDescent="0.25">
      <c r="N782" s="70"/>
    </row>
    <row r="783" spans="14:14" x14ac:dyDescent="0.25">
      <c r="N783" s="70"/>
    </row>
    <row r="784" spans="14:14" x14ac:dyDescent="0.25">
      <c r="N784" s="70"/>
    </row>
    <row r="785" spans="14:14" x14ac:dyDescent="0.25">
      <c r="N785" s="70"/>
    </row>
    <row r="786" spans="14:14" x14ac:dyDescent="0.25">
      <c r="N786" s="70"/>
    </row>
    <row r="787" spans="14:14" x14ac:dyDescent="0.25">
      <c r="N787" s="70"/>
    </row>
    <row r="788" spans="14:14" x14ac:dyDescent="0.25">
      <c r="N788" s="70"/>
    </row>
    <row r="789" spans="14:14" x14ac:dyDescent="0.25">
      <c r="N789" s="70"/>
    </row>
    <row r="790" spans="14:14" x14ac:dyDescent="0.25">
      <c r="N790" s="70"/>
    </row>
    <row r="791" spans="14:14" x14ac:dyDescent="0.25">
      <c r="N791" s="70"/>
    </row>
    <row r="792" spans="14:14" x14ac:dyDescent="0.25">
      <c r="N792" s="70"/>
    </row>
    <row r="793" spans="14:14" x14ac:dyDescent="0.25">
      <c r="N793" s="70"/>
    </row>
    <row r="794" spans="14:14" x14ac:dyDescent="0.25">
      <c r="N794" s="70"/>
    </row>
    <row r="795" spans="14:14" x14ac:dyDescent="0.25">
      <c r="N795" s="70"/>
    </row>
    <row r="796" spans="14:14" x14ac:dyDescent="0.25">
      <c r="N796" s="70"/>
    </row>
    <row r="797" spans="14:14" x14ac:dyDescent="0.25">
      <c r="N797" s="70"/>
    </row>
    <row r="798" spans="14:14" x14ac:dyDescent="0.25">
      <c r="N798" s="70"/>
    </row>
    <row r="799" spans="14:14" x14ac:dyDescent="0.25">
      <c r="N799" s="70"/>
    </row>
    <row r="800" spans="14:14" x14ac:dyDescent="0.25">
      <c r="N800" s="70"/>
    </row>
    <row r="801" spans="14:14" x14ac:dyDescent="0.25">
      <c r="N801" s="70"/>
    </row>
    <row r="802" spans="14:14" x14ac:dyDescent="0.25">
      <c r="N802" s="70"/>
    </row>
    <row r="803" spans="14:14" x14ac:dyDescent="0.25">
      <c r="N803" s="70"/>
    </row>
    <row r="804" spans="14:14" x14ac:dyDescent="0.25">
      <c r="N804" s="70"/>
    </row>
    <row r="805" spans="14:14" x14ac:dyDescent="0.25">
      <c r="N805" s="70"/>
    </row>
    <row r="806" spans="14:14" x14ac:dyDescent="0.25">
      <c r="N806" s="70"/>
    </row>
    <row r="807" spans="14:14" x14ac:dyDescent="0.25">
      <c r="N807" s="70"/>
    </row>
    <row r="808" spans="14:14" x14ac:dyDescent="0.25">
      <c r="N808" s="70"/>
    </row>
    <row r="809" spans="14:14" x14ac:dyDescent="0.25">
      <c r="N809" s="70"/>
    </row>
    <row r="810" spans="14:14" x14ac:dyDescent="0.25">
      <c r="N810" s="70"/>
    </row>
    <row r="811" spans="14:14" x14ac:dyDescent="0.25">
      <c r="N811" s="70"/>
    </row>
    <row r="812" spans="14:14" x14ac:dyDescent="0.25">
      <c r="N812" s="70"/>
    </row>
    <row r="813" spans="14:14" x14ac:dyDescent="0.25">
      <c r="N813" s="70"/>
    </row>
    <row r="814" spans="14:14" x14ac:dyDescent="0.25">
      <c r="N814" s="70"/>
    </row>
    <row r="815" spans="14:14" x14ac:dyDescent="0.25">
      <c r="N815" s="70"/>
    </row>
    <row r="816" spans="14:14" x14ac:dyDescent="0.25">
      <c r="N816" s="70"/>
    </row>
    <row r="817" spans="14:14" x14ac:dyDescent="0.25">
      <c r="N817" s="70"/>
    </row>
    <row r="818" spans="14:14" x14ac:dyDescent="0.25">
      <c r="N818" s="70"/>
    </row>
    <row r="819" spans="14:14" x14ac:dyDescent="0.25">
      <c r="N819" s="70"/>
    </row>
    <row r="820" spans="14:14" x14ac:dyDescent="0.25">
      <c r="N820" s="70"/>
    </row>
    <row r="821" spans="14:14" x14ac:dyDescent="0.25">
      <c r="N821" s="70"/>
    </row>
    <row r="822" spans="14:14" x14ac:dyDescent="0.25">
      <c r="N822" s="70"/>
    </row>
    <row r="823" spans="14:14" x14ac:dyDescent="0.25">
      <c r="N823" s="70"/>
    </row>
    <row r="824" spans="14:14" x14ac:dyDescent="0.25">
      <c r="N824" s="70"/>
    </row>
    <row r="825" spans="14:14" x14ac:dyDescent="0.25">
      <c r="N825" s="70"/>
    </row>
    <row r="826" spans="14:14" x14ac:dyDescent="0.25">
      <c r="N826" s="70"/>
    </row>
    <row r="827" spans="14:14" x14ac:dyDescent="0.25">
      <c r="N827" s="70"/>
    </row>
    <row r="828" spans="14:14" x14ac:dyDescent="0.25">
      <c r="N828" s="70"/>
    </row>
    <row r="829" spans="14:14" x14ac:dyDescent="0.25">
      <c r="N829" s="70"/>
    </row>
    <row r="830" spans="14:14" x14ac:dyDescent="0.25">
      <c r="N830" s="70"/>
    </row>
    <row r="831" spans="14:14" x14ac:dyDescent="0.25">
      <c r="N831" s="70"/>
    </row>
    <row r="832" spans="14:14" x14ac:dyDescent="0.25">
      <c r="N832" s="70"/>
    </row>
    <row r="833" spans="14:14" x14ac:dyDescent="0.25">
      <c r="N833" s="70"/>
    </row>
    <row r="834" spans="14:14" x14ac:dyDescent="0.25">
      <c r="N834" s="70"/>
    </row>
    <row r="835" spans="14:14" x14ac:dyDescent="0.25">
      <c r="N835" s="70"/>
    </row>
    <row r="836" spans="14:14" x14ac:dyDescent="0.25">
      <c r="N836" s="70"/>
    </row>
    <row r="837" spans="14:14" x14ac:dyDescent="0.25">
      <c r="N837" s="70"/>
    </row>
    <row r="838" spans="14:14" x14ac:dyDescent="0.25">
      <c r="N838" s="70"/>
    </row>
    <row r="839" spans="14:14" x14ac:dyDescent="0.25">
      <c r="N839" s="70"/>
    </row>
    <row r="840" spans="14:14" x14ac:dyDescent="0.25">
      <c r="N840" s="70"/>
    </row>
    <row r="841" spans="14:14" x14ac:dyDescent="0.25">
      <c r="N841" s="70"/>
    </row>
    <row r="842" spans="14:14" x14ac:dyDescent="0.25">
      <c r="N842" s="70"/>
    </row>
    <row r="843" spans="14:14" x14ac:dyDescent="0.25">
      <c r="N843" s="70"/>
    </row>
    <row r="844" spans="14:14" x14ac:dyDescent="0.25">
      <c r="N844" s="70"/>
    </row>
    <row r="845" spans="14:14" x14ac:dyDescent="0.25">
      <c r="N845" s="70"/>
    </row>
    <row r="846" spans="14:14" x14ac:dyDescent="0.25">
      <c r="N846" s="70"/>
    </row>
    <row r="847" spans="14:14" x14ac:dyDescent="0.25">
      <c r="N847" s="70"/>
    </row>
    <row r="848" spans="14:14" x14ac:dyDescent="0.25">
      <c r="N848" s="70"/>
    </row>
    <row r="849" spans="14:14" x14ac:dyDescent="0.25">
      <c r="N849" s="70"/>
    </row>
    <row r="850" spans="14:14" x14ac:dyDescent="0.25">
      <c r="N850" s="70"/>
    </row>
    <row r="851" spans="14:14" x14ac:dyDescent="0.25">
      <c r="N851" s="70"/>
    </row>
    <row r="852" spans="14:14" x14ac:dyDescent="0.25">
      <c r="N852" s="70"/>
    </row>
    <row r="853" spans="14:14" x14ac:dyDescent="0.25">
      <c r="N853" s="70"/>
    </row>
    <row r="854" spans="14:14" x14ac:dyDescent="0.25">
      <c r="N854" s="70"/>
    </row>
    <row r="855" spans="14:14" x14ac:dyDescent="0.25">
      <c r="N855" s="70"/>
    </row>
    <row r="856" spans="14:14" x14ac:dyDescent="0.25">
      <c r="N856" s="70"/>
    </row>
    <row r="857" spans="14:14" x14ac:dyDescent="0.25">
      <c r="N857" s="70"/>
    </row>
    <row r="858" spans="14:14" x14ac:dyDescent="0.25">
      <c r="N858" s="70"/>
    </row>
    <row r="859" spans="14:14" x14ac:dyDescent="0.25">
      <c r="N859" s="70"/>
    </row>
    <row r="860" spans="14:14" x14ac:dyDescent="0.25">
      <c r="N860" s="70"/>
    </row>
    <row r="861" spans="14:14" x14ac:dyDescent="0.25">
      <c r="N861" s="70"/>
    </row>
    <row r="862" spans="14:14" x14ac:dyDescent="0.25">
      <c r="N862" s="70"/>
    </row>
    <row r="863" spans="14:14" x14ac:dyDescent="0.25">
      <c r="N863" s="70"/>
    </row>
    <row r="864" spans="14:14" x14ac:dyDescent="0.25">
      <c r="N864" s="70"/>
    </row>
    <row r="865" spans="14:14" x14ac:dyDescent="0.25">
      <c r="N865" s="70"/>
    </row>
    <row r="866" spans="14:14" x14ac:dyDescent="0.25">
      <c r="N866" s="70"/>
    </row>
    <row r="867" spans="14:14" x14ac:dyDescent="0.25">
      <c r="N867" s="70"/>
    </row>
    <row r="868" spans="14:14" x14ac:dyDescent="0.25">
      <c r="N868" s="70"/>
    </row>
    <row r="869" spans="14:14" x14ac:dyDescent="0.25">
      <c r="N869" s="70"/>
    </row>
    <row r="870" spans="14:14" x14ac:dyDescent="0.25">
      <c r="N870" s="70"/>
    </row>
    <row r="871" spans="14:14" x14ac:dyDescent="0.25">
      <c r="N871" s="70"/>
    </row>
    <row r="872" spans="14:14" x14ac:dyDescent="0.25">
      <c r="N872" s="70"/>
    </row>
    <row r="873" spans="14:14" x14ac:dyDescent="0.25">
      <c r="N873" s="70"/>
    </row>
    <row r="874" spans="14:14" x14ac:dyDescent="0.25">
      <c r="N874" s="70"/>
    </row>
    <row r="875" spans="14:14" x14ac:dyDescent="0.25">
      <c r="N875" s="70"/>
    </row>
    <row r="876" spans="14:14" x14ac:dyDescent="0.25">
      <c r="N876" s="70"/>
    </row>
    <row r="877" spans="14:14" x14ac:dyDescent="0.25">
      <c r="N877" s="70"/>
    </row>
    <row r="878" spans="14:14" x14ac:dyDescent="0.25">
      <c r="N878" s="70"/>
    </row>
    <row r="879" spans="14:14" x14ac:dyDescent="0.25">
      <c r="N879" s="70"/>
    </row>
    <row r="880" spans="14:14" x14ac:dyDescent="0.25">
      <c r="N880" s="70"/>
    </row>
    <row r="881" spans="14:14" x14ac:dyDescent="0.25">
      <c r="N881" s="70"/>
    </row>
    <row r="882" spans="14:14" x14ac:dyDescent="0.25">
      <c r="N882" s="70"/>
    </row>
    <row r="883" spans="14:14" x14ac:dyDescent="0.25">
      <c r="N883" s="70"/>
    </row>
    <row r="884" spans="14:14" x14ac:dyDescent="0.25">
      <c r="N884" s="70"/>
    </row>
    <row r="885" spans="14:14" x14ac:dyDescent="0.25">
      <c r="N885" s="70"/>
    </row>
    <row r="886" spans="14:14" x14ac:dyDescent="0.25">
      <c r="N886" s="70"/>
    </row>
    <row r="887" spans="14:14" x14ac:dyDescent="0.25">
      <c r="N887" s="70"/>
    </row>
    <row r="888" spans="14:14" x14ac:dyDescent="0.25">
      <c r="N888" s="70"/>
    </row>
    <row r="889" spans="14:14" x14ac:dyDescent="0.25">
      <c r="N889" s="70"/>
    </row>
    <row r="890" spans="14:14" x14ac:dyDescent="0.25">
      <c r="N890" s="70"/>
    </row>
    <row r="891" spans="14:14" x14ac:dyDescent="0.25">
      <c r="N891" s="70"/>
    </row>
    <row r="892" spans="14:14" x14ac:dyDescent="0.25">
      <c r="N892" s="70"/>
    </row>
    <row r="893" spans="14:14" x14ac:dyDescent="0.25">
      <c r="N893" s="70"/>
    </row>
    <row r="894" spans="14:14" x14ac:dyDescent="0.25">
      <c r="N894" s="70"/>
    </row>
    <row r="895" spans="14:14" x14ac:dyDescent="0.25">
      <c r="N895" s="70"/>
    </row>
    <row r="896" spans="14:14" x14ac:dyDescent="0.25">
      <c r="N896" s="70"/>
    </row>
    <row r="897" spans="14:14" x14ac:dyDescent="0.25">
      <c r="N897" s="70"/>
    </row>
    <row r="898" spans="14:14" x14ac:dyDescent="0.25">
      <c r="N898" s="70"/>
    </row>
    <row r="899" spans="14:14" x14ac:dyDescent="0.25">
      <c r="N899" s="70"/>
    </row>
    <row r="900" spans="14:14" x14ac:dyDescent="0.25">
      <c r="N900" s="70"/>
    </row>
    <row r="901" spans="14:14" x14ac:dyDescent="0.25">
      <c r="N901" s="70"/>
    </row>
    <row r="902" spans="14:14" x14ac:dyDescent="0.25">
      <c r="N902" s="70"/>
    </row>
    <row r="903" spans="14:14" x14ac:dyDescent="0.25">
      <c r="N903" s="70"/>
    </row>
    <row r="904" spans="14:14" x14ac:dyDescent="0.25">
      <c r="N904" s="70"/>
    </row>
    <row r="905" spans="14:14" x14ac:dyDescent="0.25">
      <c r="N905" s="70"/>
    </row>
    <row r="906" spans="14:14" x14ac:dyDescent="0.25">
      <c r="N906" s="70"/>
    </row>
    <row r="907" spans="14:14" x14ac:dyDescent="0.25">
      <c r="N907" s="70"/>
    </row>
    <row r="908" spans="14:14" x14ac:dyDescent="0.25">
      <c r="N908" s="70"/>
    </row>
    <row r="909" spans="14:14" x14ac:dyDescent="0.25">
      <c r="N909" s="70"/>
    </row>
    <row r="910" spans="14:14" x14ac:dyDescent="0.25">
      <c r="N910" s="70"/>
    </row>
    <row r="911" spans="14:14" x14ac:dyDescent="0.25">
      <c r="N911" s="70"/>
    </row>
    <row r="912" spans="14:14" x14ac:dyDescent="0.25">
      <c r="N912" s="70"/>
    </row>
    <row r="913" spans="14:14" x14ac:dyDescent="0.25">
      <c r="N913" s="70"/>
    </row>
    <row r="914" spans="14:14" x14ac:dyDescent="0.25">
      <c r="N914" s="70"/>
    </row>
    <row r="915" spans="14:14" x14ac:dyDescent="0.25">
      <c r="N915" s="70"/>
    </row>
    <row r="916" spans="14:14" x14ac:dyDescent="0.25">
      <c r="N916" s="70"/>
    </row>
    <row r="917" spans="14:14" x14ac:dyDescent="0.25">
      <c r="N917" s="70"/>
    </row>
    <row r="918" spans="14:14" x14ac:dyDescent="0.25">
      <c r="N918" s="70"/>
    </row>
    <row r="919" spans="14:14" x14ac:dyDescent="0.25">
      <c r="N919" s="70"/>
    </row>
    <row r="920" spans="14:14" x14ac:dyDescent="0.25">
      <c r="N920" s="70"/>
    </row>
    <row r="921" spans="14:14" x14ac:dyDescent="0.25">
      <c r="N921" s="70"/>
    </row>
    <row r="922" spans="14:14" x14ac:dyDescent="0.25">
      <c r="N922" s="70"/>
    </row>
    <row r="923" spans="14:14" x14ac:dyDescent="0.25">
      <c r="N923" s="70"/>
    </row>
    <row r="924" spans="14:14" x14ac:dyDescent="0.25">
      <c r="N924" s="70"/>
    </row>
    <row r="925" spans="14:14" x14ac:dyDescent="0.25">
      <c r="N925" s="70"/>
    </row>
    <row r="926" spans="14:14" x14ac:dyDescent="0.25">
      <c r="N926" s="70"/>
    </row>
    <row r="927" spans="14:14" x14ac:dyDescent="0.25">
      <c r="N927" s="70"/>
    </row>
    <row r="928" spans="14:14" x14ac:dyDescent="0.25">
      <c r="N928" s="70"/>
    </row>
    <row r="929" spans="14:14" x14ac:dyDescent="0.25">
      <c r="N929" s="70"/>
    </row>
    <row r="930" spans="14:14" x14ac:dyDescent="0.25">
      <c r="N930" s="70"/>
    </row>
    <row r="931" spans="14:14" x14ac:dyDescent="0.25">
      <c r="N931" s="70"/>
    </row>
    <row r="932" spans="14:14" x14ac:dyDescent="0.25">
      <c r="N932" s="70"/>
    </row>
    <row r="933" spans="14:14" x14ac:dyDescent="0.25">
      <c r="N933" s="70"/>
    </row>
    <row r="934" spans="14:14" x14ac:dyDescent="0.25">
      <c r="N934" s="70"/>
    </row>
    <row r="935" spans="14:14" x14ac:dyDescent="0.25">
      <c r="N935" s="70"/>
    </row>
    <row r="936" spans="14:14" x14ac:dyDescent="0.25">
      <c r="N936" s="70"/>
    </row>
    <row r="937" spans="14:14" x14ac:dyDescent="0.25">
      <c r="N937" s="70"/>
    </row>
    <row r="938" spans="14:14" x14ac:dyDescent="0.25">
      <c r="N938" s="70"/>
    </row>
    <row r="939" spans="14:14" x14ac:dyDescent="0.25">
      <c r="N939" s="70"/>
    </row>
    <row r="940" spans="14:14" x14ac:dyDescent="0.25">
      <c r="N940" s="70"/>
    </row>
    <row r="941" spans="14:14" x14ac:dyDescent="0.25">
      <c r="N941" s="70"/>
    </row>
    <row r="942" spans="14:14" x14ac:dyDescent="0.25">
      <c r="N942" s="70"/>
    </row>
    <row r="943" spans="14:14" x14ac:dyDescent="0.25">
      <c r="N943" s="70"/>
    </row>
    <row r="944" spans="14:14" x14ac:dyDescent="0.25">
      <c r="N944" s="70"/>
    </row>
    <row r="945" spans="14:14" x14ac:dyDescent="0.25">
      <c r="N945" s="70"/>
    </row>
    <row r="946" spans="14:14" x14ac:dyDescent="0.25">
      <c r="N946" s="70"/>
    </row>
    <row r="947" spans="14:14" x14ac:dyDescent="0.25">
      <c r="N947" s="70"/>
    </row>
    <row r="948" spans="14:14" x14ac:dyDescent="0.25">
      <c r="N948" s="70"/>
    </row>
    <row r="949" spans="14:14" x14ac:dyDescent="0.25">
      <c r="N949" s="70"/>
    </row>
    <row r="950" spans="14:14" x14ac:dyDescent="0.25">
      <c r="N950" s="70"/>
    </row>
    <row r="951" spans="14:14" x14ac:dyDescent="0.25">
      <c r="N951" s="70"/>
    </row>
    <row r="952" spans="14:14" x14ac:dyDescent="0.25">
      <c r="N952" s="70"/>
    </row>
    <row r="953" spans="14:14" x14ac:dyDescent="0.25">
      <c r="N953" s="70"/>
    </row>
    <row r="954" spans="14:14" x14ac:dyDescent="0.25">
      <c r="N954" s="70"/>
    </row>
    <row r="955" spans="14:14" x14ac:dyDescent="0.25">
      <c r="N955" s="70"/>
    </row>
    <row r="956" spans="14:14" x14ac:dyDescent="0.25">
      <c r="N956" s="70"/>
    </row>
    <row r="957" spans="14:14" x14ac:dyDescent="0.25">
      <c r="N957" s="70"/>
    </row>
    <row r="958" spans="14:14" x14ac:dyDescent="0.25">
      <c r="N958" s="70"/>
    </row>
    <row r="959" spans="14:14" x14ac:dyDescent="0.25">
      <c r="N959" s="70"/>
    </row>
    <row r="960" spans="14:14" x14ac:dyDescent="0.25">
      <c r="N960" s="70"/>
    </row>
    <row r="961" spans="14:14" x14ac:dyDescent="0.25">
      <c r="N961" s="70"/>
    </row>
    <row r="962" spans="14:14" x14ac:dyDescent="0.25">
      <c r="N962" s="70"/>
    </row>
    <row r="963" spans="14:14" x14ac:dyDescent="0.25">
      <c r="N963" s="70"/>
    </row>
    <row r="964" spans="14:14" x14ac:dyDescent="0.25">
      <c r="N964" s="70"/>
    </row>
    <row r="965" spans="14:14" x14ac:dyDescent="0.25">
      <c r="N965" s="70"/>
    </row>
    <row r="966" spans="14:14" x14ac:dyDescent="0.25">
      <c r="N966" s="70"/>
    </row>
    <row r="967" spans="14:14" x14ac:dyDescent="0.25">
      <c r="N967" s="70"/>
    </row>
    <row r="968" spans="14:14" x14ac:dyDescent="0.25">
      <c r="N968" s="70"/>
    </row>
    <row r="969" spans="14:14" x14ac:dyDescent="0.25">
      <c r="N969" s="70"/>
    </row>
    <row r="970" spans="14:14" x14ac:dyDescent="0.25">
      <c r="N970" s="70"/>
    </row>
    <row r="971" spans="14:14" x14ac:dyDescent="0.25">
      <c r="N971" s="70"/>
    </row>
    <row r="972" spans="14:14" x14ac:dyDescent="0.25">
      <c r="N972" s="70"/>
    </row>
    <row r="973" spans="14:14" x14ac:dyDescent="0.25">
      <c r="N973" s="70"/>
    </row>
    <row r="974" spans="14:14" x14ac:dyDescent="0.25">
      <c r="N974" s="70"/>
    </row>
    <row r="975" spans="14:14" x14ac:dyDescent="0.25">
      <c r="N975" s="70"/>
    </row>
    <row r="976" spans="14:14" x14ac:dyDescent="0.25">
      <c r="N976" s="70"/>
    </row>
    <row r="977" spans="14:14" x14ac:dyDescent="0.25">
      <c r="N977" s="70"/>
    </row>
    <row r="978" spans="14:14" x14ac:dyDescent="0.25">
      <c r="N978" s="70"/>
    </row>
    <row r="979" spans="14:14" x14ac:dyDescent="0.25">
      <c r="N979" s="70"/>
    </row>
    <row r="980" spans="14:14" x14ac:dyDescent="0.25">
      <c r="N980" s="70"/>
    </row>
    <row r="981" spans="14:14" x14ac:dyDescent="0.25">
      <c r="N981" s="70"/>
    </row>
    <row r="982" spans="14:14" x14ac:dyDescent="0.25">
      <c r="N982" s="70"/>
    </row>
    <row r="983" spans="14:14" x14ac:dyDescent="0.25">
      <c r="N983" s="70"/>
    </row>
    <row r="984" spans="14:14" x14ac:dyDescent="0.25">
      <c r="N984" s="70"/>
    </row>
    <row r="985" spans="14:14" x14ac:dyDescent="0.25">
      <c r="N985" s="70"/>
    </row>
    <row r="986" spans="14:14" x14ac:dyDescent="0.25">
      <c r="N986" s="70"/>
    </row>
    <row r="987" spans="14:14" x14ac:dyDescent="0.25">
      <c r="N987" s="70"/>
    </row>
    <row r="988" spans="14:14" x14ac:dyDescent="0.25">
      <c r="N988" s="70"/>
    </row>
    <row r="989" spans="14:14" x14ac:dyDescent="0.25">
      <c r="N989" s="70"/>
    </row>
    <row r="990" spans="14:14" x14ac:dyDescent="0.25">
      <c r="N990" s="70"/>
    </row>
    <row r="991" spans="14:14" x14ac:dyDescent="0.25">
      <c r="N991" s="70"/>
    </row>
    <row r="992" spans="14:14" x14ac:dyDescent="0.25">
      <c r="N992" s="70"/>
    </row>
    <row r="993" spans="14:14" x14ac:dyDescent="0.25">
      <c r="N993" s="70"/>
    </row>
    <row r="994" spans="14:14" x14ac:dyDescent="0.25">
      <c r="N994" s="70"/>
    </row>
    <row r="995" spans="14:14" x14ac:dyDescent="0.25">
      <c r="N995" s="70"/>
    </row>
    <row r="996" spans="14:14" x14ac:dyDescent="0.25">
      <c r="N996" s="70"/>
    </row>
    <row r="997" spans="14:14" x14ac:dyDescent="0.25">
      <c r="N997" s="70"/>
    </row>
    <row r="998" spans="14:14" x14ac:dyDescent="0.25">
      <c r="N998" s="70"/>
    </row>
    <row r="999" spans="14:14" x14ac:dyDescent="0.25">
      <c r="N999" s="70"/>
    </row>
    <row r="1000" spans="14:14" x14ac:dyDescent="0.25">
      <c r="N1000" s="70"/>
    </row>
    <row r="1001" spans="14:14" x14ac:dyDescent="0.25">
      <c r="N1001" s="70"/>
    </row>
    <row r="1002" spans="14:14" x14ac:dyDescent="0.25">
      <c r="N1002" s="70"/>
    </row>
    <row r="1003" spans="14:14" x14ac:dyDescent="0.25">
      <c r="N1003" s="70"/>
    </row>
    <row r="1004" spans="14:14" x14ac:dyDescent="0.25">
      <c r="N1004" s="70"/>
    </row>
    <row r="1005" spans="14:14" x14ac:dyDescent="0.25">
      <c r="N1005" s="70"/>
    </row>
    <row r="1006" spans="14:14" x14ac:dyDescent="0.25">
      <c r="N1006" s="70"/>
    </row>
    <row r="1007" spans="14:14" x14ac:dyDescent="0.25">
      <c r="N1007" s="70"/>
    </row>
    <row r="1008" spans="14:14" x14ac:dyDescent="0.25">
      <c r="N1008" s="70"/>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5">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8" hidden="1" thickBot="1" x14ac:dyDescent="0.3">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8" hidden="1" thickBot="1" x14ac:dyDescent="0.3">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8" hidden="1" thickBot="1" x14ac:dyDescent="0.3">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5">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5">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5">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5">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8" hidden="1" thickBot="1" x14ac:dyDescent="0.3">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8" hidden="1" thickBot="1" x14ac:dyDescent="0.3">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8" hidden="1" thickBot="1" x14ac:dyDescent="0.3">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8" hidden="1" thickBot="1" x14ac:dyDescent="0.3">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8" hidden="1" thickBot="1" x14ac:dyDescent="0.3">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8" hidden="1" thickBot="1" x14ac:dyDescent="0.3">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8" hidden="1" thickBot="1" x14ac:dyDescent="0.3">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8" hidden="1" thickBot="1" x14ac:dyDescent="0.3">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8" hidden="1" thickBot="1" x14ac:dyDescent="0.3">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8" hidden="1" thickBot="1" x14ac:dyDescent="0.3">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8" hidden="1" thickBot="1" x14ac:dyDescent="0.3">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8" hidden="1" thickBot="1" x14ac:dyDescent="0.3">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8" hidden="1" thickBot="1" x14ac:dyDescent="0.3">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8" hidden="1" thickBot="1" x14ac:dyDescent="0.3">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8" hidden="1" thickBot="1" x14ac:dyDescent="0.3">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5">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8" hidden="1" thickBot="1" x14ac:dyDescent="0.3">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8" hidden="1" thickBot="1" x14ac:dyDescent="0.3">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8" hidden="1" thickBot="1" x14ac:dyDescent="0.3">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8" hidden="1" thickBot="1" x14ac:dyDescent="0.3">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8" hidden="1" thickBot="1" x14ac:dyDescent="0.3">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8" hidden="1" thickBot="1" x14ac:dyDescent="0.3">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8" hidden="1" thickBot="1" x14ac:dyDescent="0.3">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8" hidden="1" thickBot="1" x14ac:dyDescent="0.3">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8" hidden="1" thickBot="1" x14ac:dyDescent="0.3">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8" hidden="1" thickBot="1" x14ac:dyDescent="0.3">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8" hidden="1" thickBot="1" x14ac:dyDescent="0.3">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8" hidden="1" thickBot="1" x14ac:dyDescent="0.3">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8" hidden="1" thickBot="1" x14ac:dyDescent="0.3">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8" hidden="1" thickBot="1" x14ac:dyDescent="0.3">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8" hidden="1" thickBot="1" x14ac:dyDescent="0.3">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8" hidden="1" thickBot="1" x14ac:dyDescent="0.3">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8" hidden="1" thickBot="1" x14ac:dyDescent="0.3">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8" hidden="1" thickBot="1" x14ac:dyDescent="0.3">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8" hidden="1" thickBot="1" x14ac:dyDescent="0.3">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8" hidden="1" thickBot="1" x14ac:dyDescent="0.3">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8" hidden="1" thickBot="1" x14ac:dyDescent="0.3">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8" hidden="1" thickBot="1" x14ac:dyDescent="0.3">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8" hidden="1" thickBot="1" x14ac:dyDescent="0.3">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8" hidden="1" thickBot="1" x14ac:dyDescent="0.3">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8" hidden="1" thickBot="1" x14ac:dyDescent="0.3">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8" hidden="1" thickBot="1" x14ac:dyDescent="0.3">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5">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5">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8" hidden="1" thickBot="1" x14ac:dyDescent="0.3">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5">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8" hidden="1" thickBot="1" x14ac:dyDescent="0.3">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8" hidden="1" thickBot="1" x14ac:dyDescent="0.3">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8" hidden="1" thickBot="1" x14ac:dyDescent="0.3">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8" hidden="1" thickBot="1" x14ac:dyDescent="0.3">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5">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8" hidden="1" thickBot="1" x14ac:dyDescent="0.3">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8" hidden="1" thickBot="1" x14ac:dyDescent="0.3">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8" hidden="1" thickBot="1" x14ac:dyDescent="0.3">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8" hidden="1" thickBot="1" x14ac:dyDescent="0.3">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8" hidden="1" thickBot="1" x14ac:dyDescent="0.3">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8" hidden="1" thickBot="1" x14ac:dyDescent="0.3">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8" hidden="1" thickBot="1" x14ac:dyDescent="0.3">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8" hidden="1" thickBot="1" x14ac:dyDescent="0.3">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8" hidden="1" thickBot="1" x14ac:dyDescent="0.3">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5">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8" hidden="1" thickBot="1" x14ac:dyDescent="0.3">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8" hidden="1" thickBot="1" x14ac:dyDescent="0.3">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8" hidden="1" thickBot="1" x14ac:dyDescent="0.3">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8" hidden="1" thickBot="1" x14ac:dyDescent="0.3">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8" hidden="1" thickBot="1" x14ac:dyDescent="0.3">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8" hidden="1" thickBot="1" x14ac:dyDescent="0.3">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8" hidden="1" thickBot="1" x14ac:dyDescent="0.3">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5">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5">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5">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8" hidden="1" thickBot="1" x14ac:dyDescent="0.3">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5">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8" hidden="1" thickBot="1" x14ac:dyDescent="0.3">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8" hidden="1" thickBot="1" x14ac:dyDescent="0.3">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8" hidden="1" thickBot="1" x14ac:dyDescent="0.3">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8" hidden="1" thickBot="1" x14ac:dyDescent="0.3">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8" hidden="1" thickBot="1" x14ac:dyDescent="0.3">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8" hidden="1" thickBot="1" x14ac:dyDescent="0.3">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8" hidden="1" thickBot="1" x14ac:dyDescent="0.3">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8" hidden="1" thickBot="1" x14ac:dyDescent="0.3">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8" hidden="1" thickBot="1" x14ac:dyDescent="0.3">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8" hidden="1" thickBot="1" x14ac:dyDescent="0.3">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8" hidden="1" thickBot="1" x14ac:dyDescent="0.3">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8" hidden="1" thickBot="1" x14ac:dyDescent="0.3">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8" hidden="1" thickBot="1" x14ac:dyDescent="0.3">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8" hidden="1" thickBot="1" x14ac:dyDescent="0.3">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8" hidden="1" thickBot="1" x14ac:dyDescent="0.3">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8" hidden="1" thickBot="1" x14ac:dyDescent="0.3">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8" hidden="1" thickBot="1" x14ac:dyDescent="0.3">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8" hidden="1" thickBot="1" x14ac:dyDescent="0.3">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8" hidden="1" thickBot="1" x14ac:dyDescent="0.3">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5">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8" hidden="1" thickBot="1" x14ac:dyDescent="0.3">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8" hidden="1" thickBot="1" x14ac:dyDescent="0.3">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8" hidden="1" thickBot="1" x14ac:dyDescent="0.3">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5">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5">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8" hidden="1" thickBot="1" x14ac:dyDescent="0.3">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5">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8" hidden="1" thickBot="1" x14ac:dyDescent="0.3">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8" hidden="1" thickBot="1" x14ac:dyDescent="0.3">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8" hidden="1" thickBot="1" x14ac:dyDescent="0.3">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8" hidden="1" thickBot="1" x14ac:dyDescent="0.3">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8" hidden="1" thickBot="1" x14ac:dyDescent="0.3">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8" hidden="1" thickBot="1" x14ac:dyDescent="0.3">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5">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5">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8" hidden="1" thickBot="1" x14ac:dyDescent="0.3">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5">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8" hidden="1" thickBot="1" x14ac:dyDescent="0.3">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5">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8" hidden="1" thickBot="1" x14ac:dyDescent="0.3">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8" hidden="1" thickBot="1" x14ac:dyDescent="0.3">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8" hidden="1" thickBot="1" x14ac:dyDescent="0.3">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8" hidden="1" thickBot="1" x14ac:dyDescent="0.3">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8" hidden="1" thickBot="1" x14ac:dyDescent="0.3">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8" hidden="1" thickBot="1" x14ac:dyDescent="0.3">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8" hidden="1" thickBot="1" x14ac:dyDescent="0.3">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8" hidden="1" thickBot="1" x14ac:dyDescent="0.3">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8" hidden="1" thickBot="1" x14ac:dyDescent="0.3">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5">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5">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8" hidden="1" thickBot="1" x14ac:dyDescent="0.3">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5">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8" hidden="1" thickBot="1" x14ac:dyDescent="0.3">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8" hidden="1" thickBot="1" x14ac:dyDescent="0.3">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8" hidden="1" thickBot="1" x14ac:dyDescent="0.3">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8" hidden="1" thickBot="1" x14ac:dyDescent="0.3">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8" hidden="1" thickBot="1" x14ac:dyDescent="0.3">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8" hidden="1" thickBot="1" x14ac:dyDescent="0.3">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5">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5">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8" hidden="1" thickBot="1" x14ac:dyDescent="0.3">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5">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8" hidden="1" thickBot="1" x14ac:dyDescent="0.3">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5">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8" hidden="1" thickBot="1" x14ac:dyDescent="0.3">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8" hidden="1" thickBot="1" x14ac:dyDescent="0.3">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8" hidden="1" thickBot="1" x14ac:dyDescent="0.3">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5">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8" hidden="1" thickBot="1" x14ac:dyDescent="0.3">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8" hidden="1" thickBot="1" x14ac:dyDescent="0.3">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8" hidden="1" thickBot="1" x14ac:dyDescent="0.3">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8" hidden="1" thickBot="1" x14ac:dyDescent="0.3">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8" hidden="1" thickBot="1" x14ac:dyDescent="0.3">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8" hidden="1" thickBot="1" x14ac:dyDescent="0.3">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8" hidden="1" thickBot="1" x14ac:dyDescent="0.3">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8" hidden="1" thickBot="1" x14ac:dyDescent="0.3">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8" hidden="1" thickBot="1" x14ac:dyDescent="0.3">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5">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5">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8" hidden="1" thickBot="1" x14ac:dyDescent="0.3">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5">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8" hidden="1" thickBot="1" x14ac:dyDescent="0.3">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5">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8" hidden="1" thickBot="1" x14ac:dyDescent="0.3">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8" hidden="1" thickBot="1" x14ac:dyDescent="0.3">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8" hidden="1" thickBot="1" x14ac:dyDescent="0.3">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5">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8" hidden="1" thickBot="1" x14ac:dyDescent="0.3">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5">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8" hidden="1" thickBot="1" x14ac:dyDescent="0.3">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8" hidden="1" thickBot="1" x14ac:dyDescent="0.3">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8" hidden="1" thickBot="1" x14ac:dyDescent="0.3">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5">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5">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5">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5">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5">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5">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8" hidden="1" thickBot="1" x14ac:dyDescent="0.3">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8" hidden="1" thickBot="1" x14ac:dyDescent="0.3">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8" hidden="1" thickBot="1" x14ac:dyDescent="0.3">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8" hidden="1" thickBot="1" x14ac:dyDescent="0.3">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8" hidden="1" thickBot="1" x14ac:dyDescent="0.3">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8" hidden="1" thickBot="1" x14ac:dyDescent="0.3">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8" hidden="1" thickBot="1" x14ac:dyDescent="0.3">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8" hidden="1" thickBot="1" x14ac:dyDescent="0.3">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8" hidden="1" thickBot="1" x14ac:dyDescent="0.3">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5">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8" hidden="1" thickBot="1" x14ac:dyDescent="0.3">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8" hidden="1" thickBot="1" x14ac:dyDescent="0.3">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8" hidden="1" thickBot="1" x14ac:dyDescent="0.3">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5">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5">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5">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5">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5">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5">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5">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5">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5">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5">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5">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5">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5">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5">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5">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8" hidden="1" thickBot="1" x14ac:dyDescent="0.3">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5">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8" hidden="1" thickBot="1" x14ac:dyDescent="0.3">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5">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8" hidden="1" thickBot="1" x14ac:dyDescent="0.3">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8" hidden="1" thickBot="1" x14ac:dyDescent="0.3">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8" hidden="1" thickBot="1" x14ac:dyDescent="0.3">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8" hidden="1" thickBot="1" x14ac:dyDescent="0.3">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8" hidden="1" thickBot="1" x14ac:dyDescent="0.3">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8" hidden="1" thickBot="1" x14ac:dyDescent="0.3">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8" hidden="1" thickBot="1" x14ac:dyDescent="0.3">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5">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5">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5">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5">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5">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5">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5">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5">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8" hidden="1" thickBot="1" x14ac:dyDescent="0.3">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5">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8" hidden="1" thickBot="1" x14ac:dyDescent="0.3">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8" hidden="1" thickBot="1" x14ac:dyDescent="0.3">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8" hidden="1" thickBot="1" x14ac:dyDescent="0.3">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8" hidden="1" thickBot="1" x14ac:dyDescent="0.3">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8" hidden="1" thickBot="1" x14ac:dyDescent="0.3">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8" hidden="1" thickBot="1" x14ac:dyDescent="0.3">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8" hidden="1" thickBot="1" x14ac:dyDescent="0.3">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8" hidden="1" thickBot="1" x14ac:dyDescent="0.3">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8" hidden="1" thickBot="1" x14ac:dyDescent="0.3">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8" hidden="1" thickBot="1" x14ac:dyDescent="0.3">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5">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5">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5">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5">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5">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5">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8" hidden="1" thickBot="1" x14ac:dyDescent="0.3">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8" hidden="1" thickBot="1" x14ac:dyDescent="0.3">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8" hidden="1" thickBot="1" x14ac:dyDescent="0.3">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8" hidden="1" thickBot="1" x14ac:dyDescent="0.3">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8" hidden="1" thickBot="1" x14ac:dyDescent="0.3">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8" hidden="1" thickBot="1" x14ac:dyDescent="0.3">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8" hidden="1" thickBot="1" x14ac:dyDescent="0.3">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5">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8" hidden="1" thickBot="1" x14ac:dyDescent="0.3">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8" hidden="1" thickBot="1" x14ac:dyDescent="0.3">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8" hidden="1" thickBot="1" x14ac:dyDescent="0.3">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8" hidden="1" thickBot="1" x14ac:dyDescent="0.3">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5">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8" hidden="1" thickBot="1" x14ac:dyDescent="0.3">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8" hidden="1" thickBot="1" x14ac:dyDescent="0.3">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8" hidden="1" thickBot="1" x14ac:dyDescent="0.3">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5">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5">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8" hidden="1" thickBot="1" x14ac:dyDescent="0.3">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8" hidden="1" thickBot="1" x14ac:dyDescent="0.3">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5">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8" hidden="1" thickBot="1" x14ac:dyDescent="0.3">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5">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8" hidden="1" thickBot="1" x14ac:dyDescent="0.3">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8" hidden="1" thickBot="1" x14ac:dyDescent="0.3">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8" hidden="1" thickBot="1" x14ac:dyDescent="0.3">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5">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5">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5">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5">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8" hidden="1" thickBot="1" x14ac:dyDescent="0.3">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5">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8" hidden="1" thickBot="1" x14ac:dyDescent="0.3">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5">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8" hidden="1" thickBot="1" x14ac:dyDescent="0.3">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8" hidden="1" thickBot="1" x14ac:dyDescent="0.3">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8" hidden="1" thickBot="1" x14ac:dyDescent="0.3">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5">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5">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5">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5">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5">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5">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5">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5">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5">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5">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5">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8" hidden="1" thickBot="1" x14ac:dyDescent="0.3">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5">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8" hidden="1" thickBot="1" x14ac:dyDescent="0.3">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8" hidden="1" thickBot="1" x14ac:dyDescent="0.3">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8" hidden="1" thickBot="1" x14ac:dyDescent="0.3">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8" hidden="1" thickBot="1" x14ac:dyDescent="0.3">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5">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8" hidden="1" thickBot="1" x14ac:dyDescent="0.3">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8" hidden="1" thickBot="1" x14ac:dyDescent="0.3">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8" hidden="1" thickBot="1" x14ac:dyDescent="0.3">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8" hidden="1" thickBot="1" x14ac:dyDescent="0.3">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8" hidden="1" thickBot="1" x14ac:dyDescent="0.3">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8" hidden="1" thickBot="1" x14ac:dyDescent="0.3">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5">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8" hidden="1" thickBot="1" x14ac:dyDescent="0.3">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5">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8" hidden="1" thickBot="1" x14ac:dyDescent="0.3">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8" hidden="1" thickBot="1" x14ac:dyDescent="0.3">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8" hidden="1" thickBot="1" x14ac:dyDescent="0.3">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5">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5">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5">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5">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8" hidden="1" thickBot="1" x14ac:dyDescent="0.3">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5">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5">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5">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5">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5">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5">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5">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8" hidden="1" thickBot="1" x14ac:dyDescent="0.3">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5">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8" hidden="1" thickBot="1" x14ac:dyDescent="0.3">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5">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8" hidden="1" thickBot="1" x14ac:dyDescent="0.3">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8" hidden="1" thickBot="1" x14ac:dyDescent="0.3">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8" hidden="1" thickBot="1" x14ac:dyDescent="0.3">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5">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5">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5">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5">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5">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5">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5">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5">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5">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5">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5">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5">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5">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5">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5">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5">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5">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5">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5">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5">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8" hidden="1" thickBot="1" x14ac:dyDescent="0.3">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5">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8" hidden="1" thickBot="1" x14ac:dyDescent="0.3">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5">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8" hidden="1" thickBot="1" x14ac:dyDescent="0.3">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8" hidden="1" thickBot="1" x14ac:dyDescent="0.3">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8" hidden="1" thickBot="1" x14ac:dyDescent="0.3">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5">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5">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5">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5">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5">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8" hidden="1" thickBot="1" x14ac:dyDescent="0.3">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5">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8" hidden="1" thickBot="1" x14ac:dyDescent="0.3">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8" hidden="1" thickBot="1" x14ac:dyDescent="0.3">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8" hidden="1" thickBot="1" x14ac:dyDescent="0.3">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8" hidden="1" thickBot="1" x14ac:dyDescent="0.3">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8" hidden="1" thickBot="1" x14ac:dyDescent="0.3">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5">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8" hidden="1" thickBot="1" x14ac:dyDescent="0.3">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5">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8" hidden="1" thickBot="1" x14ac:dyDescent="0.3">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5">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8" hidden="1" thickBot="1" x14ac:dyDescent="0.3">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8" hidden="1" thickBot="1" x14ac:dyDescent="0.3">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8" hidden="1" thickBot="1" x14ac:dyDescent="0.3">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5">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5">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8" hidden="1" thickBot="1" x14ac:dyDescent="0.3">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5">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5">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5">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8" hidden="1" thickBot="1" x14ac:dyDescent="0.3">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8" hidden="1" thickBot="1" x14ac:dyDescent="0.3">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8" hidden="1" thickBot="1" x14ac:dyDescent="0.3">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8" hidden="1" thickBot="1" x14ac:dyDescent="0.3">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5">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8" hidden="1" thickBot="1" x14ac:dyDescent="0.3">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8" hidden="1" thickBot="1" x14ac:dyDescent="0.3">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8" hidden="1" thickBot="1" x14ac:dyDescent="0.3">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5">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5">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5">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5">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5">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5">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5">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8" hidden="1" thickBot="1" x14ac:dyDescent="0.3">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5">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5">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5">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8" hidden="1" thickBot="1" x14ac:dyDescent="0.3">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5">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8" hidden="1" thickBot="1" x14ac:dyDescent="0.3">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8" hidden="1" thickBot="1" x14ac:dyDescent="0.3">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8" hidden="1" thickBot="1" x14ac:dyDescent="0.3">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5">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5">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5">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5">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5">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5">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5">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5">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5">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5">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5">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5">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5">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5">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5">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5">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5">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5">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5">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5">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5">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5">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5">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5">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5">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5">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5">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5">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5">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5">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5">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5">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8" hidden="1" thickBot="1" x14ac:dyDescent="0.3">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8" hidden="1" thickBot="1" x14ac:dyDescent="0.3">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5">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8" hidden="1" thickBot="1" x14ac:dyDescent="0.3">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5">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8" hidden="1" thickBot="1" x14ac:dyDescent="0.3">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8" hidden="1" thickBot="1" x14ac:dyDescent="0.3">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8" hidden="1" thickBot="1" x14ac:dyDescent="0.3">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5">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5">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5">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5">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5">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5">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5">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5">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5">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5">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5">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5">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5">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5">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5">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5">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5">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5">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5">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5">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5">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5">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8" hidden="1" thickBot="1" x14ac:dyDescent="0.3">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5">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8" hidden="1" thickBot="1" x14ac:dyDescent="0.3">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5">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8" hidden="1" thickBot="1" x14ac:dyDescent="0.3">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8" hidden="1" thickBot="1" x14ac:dyDescent="0.3">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8" hidden="1" thickBot="1" x14ac:dyDescent="0.3">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8" hidden="1" thickBot="1" x14ac:dyDescent="0.3">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8" hidden="1" thickBot="1" x14ac:dyDescent="0.3">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5">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5">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5">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5">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5">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5">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5">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5">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5">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8" hidden="1" thickBot="1" x14ac:dyDescent="0.3">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5">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5">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5">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5">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5">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5">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5">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5">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5">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5">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5">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5">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5">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5">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5">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5">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5">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8" hidden="1" thickBot="1" x14ac:dyDescent="0.3">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5">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8" hidden="1" thickBot="1" x14ac:dyDescent="0.3">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5">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8" hidden="1" thickBot="1" x14ac:dyDescent="0.3">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8" hidden="1" thickBot="1" x14ac:dyDescent="0.3">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8" hidden="1" thickBot="1" x14ac:dyDescent="0.3">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5">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5">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5">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5">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5">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5">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5">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5">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5">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5">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5">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5">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5">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5">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5">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5">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5">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5">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5">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5">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5">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5">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5">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5">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5">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5">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5">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5">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5">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5">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8" hidden="1" thickBot="1" x14ac:dyDescent="0.3">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5">
      <c r="BX1668" s="165">
        <v>129</v>
      </c>
      <c r="BY1668" s="167">
        <v>69.190140845070431</v>
      </c>
      <c r="BZ1668" s="168">
        <v>0.5</v>
      </c>
      <c r="CA1668" s="169">
        <v>6</v>
      </c>
      <c r="CB1668" s="170">
        <v>55</v>
      </c>
      <c r="DB1668" s="165">
        <v>71</v>
      </c>
      <c r="DC1668" s="167">
        <v>83.048780487804876</v>
      </c>
      <c r="DD1668" s="168">
        <v>1</v>
      </c>
      <c r="DE1668" s="169">
        <v>7</v>
      </c>
      <c r="DF1668" s="170">
        <v>60</v>
      </c>
    </row>
    <row r="1669" spans="39:110" ht="13.8" hidden="1" thickBot="1" x14ac:dyDescent="0.3">
      <c r="BX1669" s="165">
        <v>128</v>
      </c>
      <c r="BY1669" s="167">
        <v>69.190140845070431</v>
      </c>
      <c r="BZ1669" s="168">
        <v>0.5</v>
      </c>
      <c r="CA1669" s="169">
        <v>6</v>
      </c>
      <c r="CB1669" s="170">
        <v>55</v>
      </c>
      <c r="DB1669" s="165">
        <v>72</v>
      </c>
      <c r="DC1669" s="167">
        <v>84.024390243902431</v>
      </c>
      <c r="DD1669" s="168">
        <v>1</v>
      </c>
      <c r="DE1669" s="169">
        <v>7</v>
      </c>
      <c r="DF1669" s="170">
        <v>60</v>
      </c>
    </row>
    <row r="1670" spans="39:110"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5">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8" hidden="1" thickBot="1" x14ac:dyDescent="0.3">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8" hidden="1" thickBot="1" x14ac:dyDescent="0.3">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8" hidden="1" thickBot="1" x14ac:dyDescent="0.3">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5">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5">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5">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5">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5">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5">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5">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5">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5">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5">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5">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5">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5">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5">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5">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5">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5">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8" hidden="1" thickBot="1" x14ac:dyDescent="0.3">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5">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8" hidden="1" thickBot="1" x14ac:dyDescent="0.3">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5">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8" hidden="1" thickBot="1" x14ac:dyDescent="0.3">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8" hidden="1" thickBot="1" x14ac:dyDescent="0.3">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8" hidden="1" thickBot="1" x14ac:dyDescent="0.3">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5">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5">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5">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5">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5">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8" hidden="1" thickBot="1" x14ac:dyDescent="0.3">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5">
      <c r="BX1706" s="165">
        <v>91</v>
      </c>
      <c r="BY1706" s="167">
        <v>87.5</v>
      </c>
      <c r="BZ1706" s="168">
        <v>1.2</v>
      </c>
      <c r="CA1706" s="169">
        <v>7.4</v>
      </c>
      <c r="CB1706" s="170">
        <v>62</v>
      </c>
      <c r="DB1706" s="165">
        <v>14</v>
      </c>
      <c r="DC1706" s="167">
        <v>3.6585365853658534</v>
      </c>
      <c r="DD1706" s="168">
        <v>-1.8</v>
      </c>
      <c r="DE1706" s="169">
        <v>1.4</v>
      </c>
      <c r="DF1706" s="170">
        <v>32</v>
      </c>
    </row>
    <row r="1707" spans="39:110" ht="13.8" hidden="1" thickBot="1" x14ac:dyDescent="0.3">
      <c r="BX1707" s="165">
        <v>90</v>
      </c>
      <c r="BY1707" s="167">
        <v>87.5</v>
      </c>
      <c r="BZ1707" s="168">
        <v>1.2</v>
      </c>
      <c r="CA1707" s="169">
        <v>7.4</v>
      </c>
      <c r="CB1707" s="170">
        <v>62</v>
      </c>
      <c r="DB1707" s="165">
        <v>15</v>
      </c>
      <c r="DC1707" s="167">
        <v>4.5121951219512191</v>
      </c>
      <c r="DD1707" s="168">
        <v>-1.7</v>
      </c>
      <c r="DE1707" s="169">
        <v>1.6</v>
      </c>
      <c r="DF1707" s="170">
        <v>33</v>
      </c>
    </row>
    <row r="1708" spans="39:110"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5">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8" hidden="1" thickBot="1" x14ac:dyDescent="0.3">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8" hidden="1" thickBot="1" x14ac:dyDescent="0.3">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8" hidden="1" thickBot="1" x14ac:dyDescent="0.3">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5">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5">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5">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5">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5">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5">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5">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5">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5">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5">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5">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5">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5">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5">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5">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5">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5">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5">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5">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5">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5">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5">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5">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5">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5">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5">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5">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5">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5">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5">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8" hidden="1" thickBot="1" x14ac:dyDescent="0.3">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5">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5">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5">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5">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5">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5">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5">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5">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5">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5">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5">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5">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5">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5">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5">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5">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5">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5">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5">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5">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5">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5">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5">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5">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5">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5">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5">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5">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5">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5">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5">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5">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5">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8" hidden="1" thickBot="1" x14ac:dyDescent="0.3">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5">
      <c r="DB1778" s="165">
        <v>86</v>
      </c>
      <c r="DC1778" s="167">
        <v>98.536585365853654</v>
      </c>
      <c r="DD1778" s="168">
        <v>2.2000000000000002</v>
      </c>
      <c r="DE1778" s="169">
        <v>9.4</v>
      </c>
      <c r="DF1778" s="170">
        <v>72</v>
      </c>
    </row>
    <row r="1779" spans="76:110" hidden="1" x14ac:dyDescent="0.25">
      <c r="DB1779" s="165">
        <v>87</v>
      </c>
      <c r="DC1779" s="167">
        <v>98.536585365853654</v>
      </c>
      <c r="DD1779" s="168">
        <v>2.2000000000000002</v>
      </c>
      <c r="DE1779" s="169">
        <v>9.4</v>
      </c>
      <c r="DF1779" s="170">
        <v>72</v>
      </c>
    </row>
    <row r="1780" spans="76:110" hidden="1" x14ac:dyDescent="0.25">
      <c r="DB1780" s="165">
        <v>88</v>
      </c>
      <c r="DC1780" s="167">
        <v>99.146341463414629</v>
      </c>
      <c r="DD1780" s="168">
        <v>2.4</v>
      </c>
      <c r="DE1780" s="169">
        <v>9.8000000000000007</v>
      </c>
      <c r="DF1780" s="170">
        <v>74</v>
      </c>
    </row>
    <row r="1781" spans="76:110" hidden="1" x14ac:dyDescent="0.25">
      <c r="DB1781" s="165">
        <v>89</v>
      </c>
      <c r="DC1781" s="167">
        <v>99.390243902439025</v>
      </c>
      <c r="DD1781" s="168">
        <v>2.5</v>
      </c>
      <c r="DE1781" s="169">
        <v>10</v>
      </c>
      <c r="DF1781" s="170">
        <v>75</v>
      </c>
    </row>
    <row r="1782" spans="76:110" hidden="1" x14ac:dyDescent="0.25">
      <c r="DB1782" s="165">
        <v>90</v>
      </c>
      <c r="DC1782" s="167">
        <v>99.756097560975604</v>
      </c>
      <c r="DD1782" s="168">
        <v>2.8</v>
      </c>
      <c r="DE1782" s="169">
        <v>10.6</v>
      </c>
      <c r="DF1782" s="170">
        <v>78</v>
      </c>
    </row>
    <row r="1783" spans="76:110" hidden="1" x14ac:dyDescent="0.25">
      <c r="DB1783" s="165">
        <v>91</v>
      </c>
      <c r="DC1783" s="167">
        <v>99.756097560975604</v>
      </c>
      <c r="DD1783" s="168">
        <v>2.8</v>
      </c>
      <c r="DE1783" s="169">
        <v>10.6</v>
      </c>
      <c r="DF1783" s="170">
        <v>78</v>
      </c>
    </row>
    <row r="1784" spans="76:110" hidden="1" x14ac:dyDescent="0.25">
      <c r="DB1784" s="165">
        <v>92</v>
      </c>
      <c r="DC1784" s="167">
        <v>99.756097560975604</v>
      </c>
      <c r="DD1784" s="168">
        <v>2.8</v>
      </c>
      <c r="DE1784" s="169">
        <v>10.6</v>
      </c>
      <c r="DF1784" s="170">
        <v>78</v>
      </c>
    </row>
    <row r="1785" spans="76:110" ht="13.8" hidden="1" thickBot="1" x14ac:dyDescent="0.3">
      <c r="DB1785" s="172">
        <v>93</v>
      </c>
      <c r="DC1785" s="173">
        <v>99.756097560975604</v>
      </c>
      <c r="DD1785" s="174">
        <v>2.8</v>
      </c>
      <c r="DE1785" s="175">
        <v>10.6</v>
      </c>
      <c r="DF1785" s="176">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opLeftCell="A4" zoomScale="59" workbookViewId="0">
      <selection activeCell="AA5" sqref="AA5:AY43"/>
    </sheetView>
  </sheetViews>
  <sheetFormatPr baseColWidth="10" defaultColWidth="12.77734375" defaultRowHeight="13.2" customHeight="1" x14ac:dyDescent="0.25"/>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2" customHeight="1" x14ac:dyDescent="0.25">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00000000000003" customHeight="1" x14ac:dyDescent="0.25">
      <c r="A2" s="21"/>
      <c r="B2" s="331" t="s">
        <v>372</v>
      </c>
      <c r="C2" s="332"/>
      <c r="D2" s="332"/>
      <c r="E2" s="332"/>
      <c r="F2" s="333"/>
      <c r="G2" s="28"/>
      <c r="H2" s="28"/>
      <c r="I2" s="28"/>
      <c r="J2" s="28"/>
      <c r="K2" s="28"/>
      <c r="L2" s="328" t="s">
        <v>322</v>
      </c>
      <c r="M2" s="328"/>
      <c r="N2" s="328"/>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95" customHeight="1" x14ac:dyDescent="0.25">
      <c r="A3" s="25"/>
      <c r="B3" s="329" t="s">
        <v>134</v>
      </c>
      <c r="C3" s="330"/>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10</v>
      </c>
      <c r="D5" s="22"/>
      <c r="E5" s="126">
        <f ca="1">IF(C5="","",J5-H5)</f>
        <v>22</v>
      </c>
      <c r="F5" s="126">
        <f t="shared" ref="F5:F14" ca="1" si="0">IF(E5="","",G5+H5)</f>
        <v>2</v>
      </c>
      <c r="G5" s="128">
        <f ca="1">IF(E5="","",DZ5)</f>
        <v>0</v>
      </c>
      <c r="H5" s="129">
        <f ca="1">IF(C5="","",CZ5)</f>
        <v>2</v>
      </c>
      <c r="I5" s="126"/>
      <c r="J5" s="126">
        <f ca="1">IF(AND($B5&gt;=1,$B5&lt;=40,$C5&gt;=1,$C5&lt;=25),IF($B5&gt;1,SUM(INDIRECT("BA4:BY"&amp;($B5+2))),0)+SUM(INDIRECT("BA"&amp;($B5+3)&amp;":B"&amp;CHAR(64+$C5)&amp;($B5+3))),0)</f>
        <v>24</v>
      </c>
      <c r="K5" s="126">
        <f ca="1">$E5</f>
        <v>22</v>
      </c>
      <c r="L5" s="126">
        <f ca="1">$F5</f>
        <v>2</v>
      </c>
      <c r="M5" s="126">
        <f ca="1">$G5</f>
        <v>0</v>
      </c>
      <c r="N5" s="126">
        <f ca="1">$H5</f>
        <v>2</v>
      </c>
      <c r="O5" s="6"/>
      <c r="P5" s="6"/>
      <c r="Q5" s="6"/>
      <c r="R5" s="6"/>
      <c r="S5" s="6"/>
      <c r="T5" s="6"/>
      <c r="U5" s="6"/>
      <c r="V5" s="6"/>
      <c r="W5" s="6"/>
      <c r="X5" s="6"/>
      <c r="Y5" s="119"/>
      <c r="Z5" s="34">
        <v>2</v>
      </c>
      <c r="AA5" s="40"/>
      <c r="AB5" s="41"/>
      <c r="AC5" s="41"/>
      <c r="AD5" s="42"/>
      <c r="AE5" s="42"/>
      <c r="AF5" s="41"/>
      <c r="AG5" s="42"/>
      <c r="AH5" s="42"/>
      <c r="AI5" s="42"/>
      <c r="AJ5" s="41"/>
      <c r="AK5" s="42"/>
      <c r="AL5" s="42"/>
      <c r="AM5" s="41" t="s">
        <v>397</v>
      </c>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1</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2</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9</v>
      </c>
      <c r="C6" s="39">
        <v>12</v>
      </c>
      <c r="D6" s="22"/>
      <c r="E6" s="22">
        <f t="shared" ref="E6:E14" ca="1" si="53">IF(J6=J5,"",(J6-J5)-H6)</f>
        <v>24</v>
      </c>
      <c r="F6" s="22">
        <f t="shared" ca="1" si="0"/>
        <v>3</v>
      </c>
      <c r="G6" s="130">
        <f t="shared" ref="G6:G14" ca="1" si="54">IF(E6="","",DZ6-DZ5)</f>
        <v>0</v>
      </c>
      <c r="H6" s="131">
        <f t="shared" ref="H6:H14" ca="1" si="55">IF(C6="","",CZ6-CZ5)</f>
        <v>3</v>
      </c>
      <c r="I6" s="22"/>
      <c r="J6" s="22">
        <f t="shared" ref="J6:J14" ca="1" si="56">IF(AND($B6&gt;=1,$B6&lt;=40,$C6&gt;=1,$C6&lt;=25),IF($B6&gt;1,SUM(INDIRECT("BA4:BY" &amp; ($B6 +2))),0)+SUM(INDIRECT("BA" &amp; ($B6+3) &amp; ":B" &amp; CHAR(64+$C6) &amp; ($B6+3))),J5)</f>
        <v>51</v>
      </c>
      <c r="K6" s="22">
        <f t="shared" ref="K6:K14" ca="1" si="57">IF(E6="",K5,K5+$E6)</f>
        <v>46</v>
      </c>
      <c r="L6" s="22">
        <f t="shared" ref="L6:L14" ca="1" si="58">IF(F6="",L5,L5+$F6)</f>
        <v>5</v>
      </c>
      <c r="M6" s="22">
        <f t="shared" ref="M6:M14" ca="1" si="59">IF(G6="",M5,M5+$G6)</f>
        <v>0</v>
      </c>
      <c r="N6" s="22">
        <f t="shared" ref="N6:N14" ca="1" si="60">IF(H6="",N5,N5+$H6)</f>
        <v>5</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5</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13</v>
      </c>
      <c r="C7" s="39">
        <v>25</v>
      </c>
      <c r="D7" s="22"/>
      <c r="E7" s="22">
        <f t="shared" ca="1" si="53"/>
        <v>19</v>
      </c>
      <c r="F7" s="22">
        <f t="shared" ca="1" si="0"/>
        <v>6</v>
      </c>
      <c r="G7" s="130">
        <f t="shared" ca="1" si="54"/>
        <v>0</v>
      </c>
      <c r="H7" s="131">
        <f t="shared" ca="1" si="55"/>
        <v>6</v>
      </c>
      <c r="I7" s="22"/>
      <c r="J7" s="22">
        <f t="shared" ca="1" si="56"/>
        <v>76</v>
      </c>
      <c r="K7" s="22">
        <f t="shared" ca="1" si="57"/>
        <v>65</v>
      </c>
      <c r="L7" s="22">
        <f t="shared" ca="1" si="58"/>
        <v>11</v>
      </c>
      <c r="M7" s="22">
        <f t="shared" ca="1" si="59"/>
        <v>0</v>
      </c>
      <c r="N7" s="22">
        <f t="shared" ca="1" si="60"/>
        <v>11</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t="s">
        <v>397</v>
      </c>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1</v>
      </c>
      <c r="CT7" s="36">
        <f t="shared" si="20"/>
        <v>0</v>
      </c>
      <c r="CU7" s="36">
        <f t="shared" si="21"/>
        <v>0</v>
      </c>
      <c r="CV7" s="36">
        <f t="shared" si="22"/>
        <v>0</v>
      </c>
      <c r="CW7" s="36">
        <f t="shared" si="23"/>
        <v>0</v>
      </c>
      <c r="CX7" s="36">
        <f t="shared" si="24"/>
        <v>0</v>
      </c>
      <c r="CY7" s="36">
        <f t="shared" si="25"/>
        <v>0</v>
      </c>
      <c r="CZ7" s="36">
        <f t="shared" ca="1" si="26"/>
        <v>11</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19</v>
      </c>
      <c r="C8" s="39">
        <v>2</v>
      </c>
      <c r="D8" s="22"/>
      <c r="E8" s="22">
        <f t="shared" ca="1" si="53"/>
        <v>24</v>
      </c>
      <c r="F8" s="22">
        <f t="shared" ca="1" si="0"/>
        <v>3</v>
      </c>
      <c r="G8" s="130">
        <f t="shared" ca="1" si="54"/>
        <v>0</v>
      </c>
      <c r="H8" s="131">
        <f t="shared" ca="1" si="55"/>
        <v>3</v>
      </c>
      <c r="I8" s="22"/>
      <c r="J8" s="22">
        <f t="shared" ca="1" si="56"/>
        <v>103</v>
      </c>
      <c r="K8" s="22">
        <f t="shared" ca="1" si="57"/>
        <v>89</v>
      </c>
      <c r="L8" s="22">
        <f t="shared" ca="1" si="58"/>
        <v>14</v>
      </c>
      <c r="M8" s="22">
        <f t="shared" ca="1" si="59"/>
        <v>0</v>
      </c>
      <c r="N8" s="22">
        <f t="shared" ca="1" si="60"/>
        <v>14</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t="s">
        <v>397</v>
      </c>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1</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14</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22</v>
      </c>
      <c r="C9" s="39">
        <v>18</v>
      </c>
      <c r="D9" s="22"/>
      <c r="E9" s="22">
        <f t="shared" ca="1" si="53"/>
        <v>18</v>
      </c>
      <c r="F9" s="22">
        <f t="shared" ca="1" si="0"/>
        <v>6</v>
      </c>
      <c r="G9" s="130">
        <f t="shared" ca="1" si="54"/>
        <v>0</v>
      </c>
      <c r="H9" s="131">
        <f t="shared" ca="1" si="55"/>
        <v>6</v>
      </c>
      <c r="I9" s="22"/>
      <c r="J9" s="22">
        <f t="shared" ca="1" si="56"/>
        <v>127</v>
      </c>
      <c r="K9" s="22">
        <f t="shared" ca="1" si="57"/>
        <v>107</v>
      </c>
      <c r="L9" s="22">
        <f t="shared" ca="1" si="58"/>
        <v>20</v>
      </c>
      <c r="M9" s="22">
        <f t="shared" ca="1" si="59"/>
        <v>0</v>
      </c>
      <c r="N9" s="22">
        <f t="shared" ca="1" si="60"/>
        <v>20</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t="s">
        <v>397</v>
      </c>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1</v>
      </c>
      <c r="CV9" s="36">
        <f t="shared" si="22"/>
        <v>0</v>
      </c>
      <c r="CW9" s="36">
        <f t="shared" si="23"/>
        <v>0</v>
      </c>
      <c r="CX9" s="36">
        <f t="shared" si="24"/>
        <v>0</v>
      </c>
      <c r="CY9" s="36">
        <f t="shared" si="25"/>
        <v>0</v>
      </c>
      <c r="CZ9" s="36">
        <f t="shared" ca="1" si="26"/>
        <v>20</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27</v>
      </c>
      <c r="C10" s="39">
        <v>16</v>
      </c>
      <c r="D10" s="22"/>
      <c r="E10" s="22">
        <f t="shared" ca="1" si="53"/>
        <v>25</v>
      </c>
      <c r="F10" s="22">
        <f t="shared" ca="1" si="0"/>
        <v>7</v>
      </c>
      <c r="G10" s="130">
        <f t="shared" ca="1" si="54"/>
        <v>0</v>
      </c>
      <c r="H10" s="131">
        <f t="shared" ca="1" si="55"/>
        <v>7</v>
      </c>
      <c r="I10" s="22"/>
      <c r="J10" s="22">
        <f t="shared" ca="1" si="56"/>
        <v>159</v>
      </c>
      <c r="K10" s="22">
        <f t="shared" ca="1" si="57"/>
        <v>132</v>
      </c>
      <c r="L10" s="22">
        <f t="shared" ca="1" si="58"/>
        <v>27</v>
      </c>
      <c r="M10" s="22">
        <f t="shared" ca="1" si="59"/>
        <v>0</v>
      </c>
      <c r="N10" s="22">
        <f t="shared" ca="1" si="60"/>
        <v>27</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27</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31</v>
      </c>
      <c r="C11" s="39">
        <v>4</v>
      </c>
      <c r="D11" s="22"/>
      <c r="E11" s="22">
        <f t="shared" ca="1" si="53"/>
        <v>13</v>
      </c>
      <c r="F11" s="22">
        <f t="shared" ca="1" si="0"/>
        <v>9</v>
      </c>
      <c r="G11" s="130">
        <f t="shared" ca="1" si="54"/>
        <v>0</v>
      </c>
      <c r="H11" s="131">
        <f t="shared" ca="1" si="55"/>
        <v>9</v>
      </c>
      <c r="I11" s="22"/>
      <c r="J11" s="22">
        <f t="shared" ca="1" si="56"/>
        <v>181</v>
      </c>
      <c r="K11" s="22">
        <f t="shared" ca="1" si="57"/>
        <v>145</v>
      </c>
      <c r="L11" s="22">
        <f t="shared" ca="1" si="58"/>
        <v>36</v>
      </c>
      <c r="M11" s="22">
        <f t="shared" ca="1" si="59"/>
        <v>0</v>
      </c>
      <c r="N11" s="22">
        <f t="shared" ca="1" si="60"/>
        <v>36</v>
      </c>
      <c r="O11" s="6"/>
      <c r="P11" s="6"/>
      <c r="Q11" s="6"/>
      <c r="R11" s="6"/>
      <c r="S11" s="6"/>
      <c r="T11" s="6"/>
      <c r="U11" s="6"/>
      <c r="V11" s="6"/>
      <c r="W11" s="6"/>
      <c r="X11" s="6"/>
      <c r="Y11" s="119"/>
      <c r="Z11" s="34">
        <v>8</v>
      </c>
      <c r="AA11" s="40"/>
      <c r="AB11" s="42"/>
      <c r="AC11" s="41"/>
      <c r="AD11" s="42"/>
      <c r="AE11" s="42"/>
      <c r="AF11" s="42"/>
      <c r="AG11" s="41" t="s">
        <v>397</v>
      </c>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1</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36</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35</v>
      </c>
      <c r="C12" s="39">
        <v>1</v>
      </c>
      <c r="D12" s="22"/>
      <c r="E12" s="22">
        <f t="shared" ca="1" si="53"/>
        <v>20</v>
      </c>
      <c r="F12" s="22">
        <f t="shared" ca="1" si="0"/>
        <v>6</v>
      </c>
      <c r="G12" s="130">
        <f t="shared" ca="1" si="54"/>
        <v>0</v>
      </c>
      <c r="H12" s="131">
        <f t="shared" ca="1" si="55"/>
        <v>6</v>
      </c>
      <c r="I12" s="22"/>
      <c r="J12" s="22">
        <f t="shared" ca="1" si="56"/>
        <v>207</v>
      </c>
      <c r="K12" s="22">
        <f t="shared" ca="1" si="57"/>
        <v>165</v>
      </c>
      <c r="L12" s="22">
        <f t="shared" ca="1" si="58"/>
        <v>42</v>
      </c>
      <c r="M12" s="22">
        <f t="shared" ca="1" si="59"/>
        <v>0</v>
      </c>
      <c r="N12" s="22">
        <f t="shared" ca="1" si="60"/>
        <v>42</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42</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39</v>
      </c>
      <c r="C13" s="39">
        <v>25</v>
      </c>
      <c r="D13" s="22"/>
      <c r="E13" s="22">
        <f t="shared" ca="1" si="53"/>
        <v>23</v>
      </c>
      <c r="F13" s="22">
        <f t="shared" ca="1" si="0"/>
        <v>3</v>
      </c>
      <c r="G13" s="130">
        <f t="shared" ca="1" si="54"/>
        <v>0</v>
      </c>
      <c r="H13" s="131">
        <f t="shared" ca="1" si="55"/>
        <v>3</v>
      </c>
      <c r="I13" s="22"/>
      <c r="J13" s="22">
        <f t="shared" ca="1" si="56"/>
        <v>233</v>
      </c>
      <c r="K13" s="22">
        <f t="shared" ca="1" si="57"/>
        <v>188</v>
      </c>
      <c r="L13" s="22">
        <f t="shared" ca="1" si="58"/>
        <v>45</v>
      </c>
      <c r="M13" s="22">
        <f t="shared" ca="1" si="59"/>
        <v>0</v>
      </c>
      <c r="N13" s="22">
        <f t="shared" ca="1" si="60"/>
        <v>45</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t="s">
        <v>397</v>
      </c>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1</v>
      </c>
      <c r="CT13" s="36">
        <f t="shared" si="20"/>
        <v>0</v>
      </c>
      <c r="CU13" s="36">
        <f t="shared" si="21"/>
        <v>0</v>
      </c>
      <c r="CV13" s="36">
        <f t="shared" si="22"/>
        <v>0</v>
      </c>
      <c r="CW13" s="36">
        <f t="shared" si="23"/>
        <v>0</v>
      </c>
      <c r="CX13" s="36">
        <f t="shared" si="24"/>
        <v>0</v>
      </c>
      <c r="CY13" s="36">
        <f t="shared" si="25"/>
        <v>0</v>
      </c>
      <c r="CZ13" s="36">
        <f t="shared" ca="1" si="26"/>
        <v>45</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40</v>
      </c>
      <c r="C14" s="39">
        <v>25</v>
      </c>
      <c r="D14" s="46"/>
      <c r="E14" s="47">
        <f t="shared" ca="1" si="53"/>
        <v>8</v>
      </c>
      <c r="F14" s="47">
        <f t="shared" ca="1" si="0"/>
        <v>0</v>
      </c>
      <c r="G14" s="48">
        <f t="shared" ca="1" si="54"/>
        <v>0</v>
      </c>
      <c r="H14" s="49">
        <f t="shared" ca="1" si="55"/>
        <v>0</v>
      </c>
      <c r="I14" s="47"/>
      <c r="J14" s="49">
        <f t="shared" ca="1" si="56"/>
        <v>241</v>
      </c>
      <c r="K14" s="127">
        <f t="shared" ca="1" si="57"/>
        <v>196</v>
      </c>
      <c r="L14" s="127">
        <f t="shared" ca="1" si="58"/>
        <v>45</v>
      </c>
      <c r="M14" s="127">
        <f t="shared" ca="1" si="59"/>
        <v>0</v>
      </c>
      <c r="N14" s="127">
        <f t="shared" ca="1" si="60"/>
        <v>45</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45</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t="s">
        <v>397</v>
      </c>
      <c r="AG15" s="42"/>
      <c r="AH15" s="42"/>
      <c r="AI15" s="42"/>
      <c r="AJ15" s="41"/>
      <c r="AK15" s="42"/>
      <c r="AL15" s="42"/>
      <c r="AM15" s="42"/>
      <c r="AN15" s="41" t="s">
        <v>397</v>
      </c>
      <c r="AO15" s="42"/>
      <c r="AP15" s="41" t="s">
        <v>397</v>
      </c>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1</v>
      </c>
      <c r="CG15" s="36">
        <f t="shared" si="7"/>
        <v>0</v>
      </c>
      <c r="CH15" s="36">
        <f t="shared" si="8"/>
        <v>0</v>
      </c>
      <c r="CI15" s="36">
        <f t="shared" si="9"/>
        <v>0</v>
      </c>
      <c r="CJ15" s="36">
        <f t="shared" si="10"/>
        <v>0</v>
      </c>
      <c r="CK15" s="36">
        <f t="shared" si="11"/>
        <v>0</v>
      </c>
      <c r="CL15" s="36">
        <f t="shared" si="12"/>
        <v>0</v>
      </c>
      <c r="CM15" s="36">
        <f t="shared" si="13"/>
        <v>0</v>
      </c>
      <c r="CN15" s="36">
        <f t="shared" si="14"/>
        <v>1</v>
      </c>
      <c r="CO15" s="36">
        <f t="shared" si="15"/>
        <v>0</v>
      </c>
      <c r="CP15" s="36">
        <f t="shared" si="16"/>
        <v>1</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t="s">
        <v>397</v>
      </c>
      <c r="AG16" s="42"/>
      <c r="AH16" s="42"/>
      <c r="AI16" s="42"/>
      <c r="AJ16" s="42"/>
      <c r="AK16" s="41"/>
      <c r="AL16" s="42"/>
      <c r="AM16" s="42"/>
      <c r="AN16" s="42"/>
      <c r="AO16" s="41" t="s">
        <v>397</v>
      </c>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1</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1</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9</v>
      </c>
      <c r="F17" s="52">
        <v>15</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t="s">
        <v>397</v>
      </c>
      <c r="AJ17" s="42"/>
      <c r="AK17" s="42"/>
      <c r="AL17" s="42"/>
      <c r="AM17" s="41"/>
      <c r="AN17" s="42"/>
      <c r="AO17" s="42"/>
      <c r="AP17" s="42"/>
      <c r="AQ17" s="41" t="s">
        <v>397</v>
      </c>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1</v>
      </c>
      <c r="CJ17" s="36">
        <f t="shared" si="10"/>
        <v>0</v>
      </c>
      <c r="CK17" s="36">
        <f t="shared" si="11"/>
        <v>0</v>
      </c>
      <c r="CL17" s="36">
        <f t="shared" si="12"/>
        <v>0</v>
      </c>
      <c r="CM17" s="36">
        <f t="shared" si="13"/>
        <v>0</v>
      </c>
      <c r="CN17" s="36">
        <f t="shared" si="14"/>
        <v>0</v>
      </c>
      <c r="CO17" s="36">
        <f t="shared" si="15"/>
        <v>0</v>
      </c>
      <c r="CP17" s="36">
        <f t="shared" si="16"/>
        <v>0</v>
      </c>
      <c r="CQ17" s="36">
        <f t="shared" si="17"/>
        <v>1</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4" t="str">
        <f>IF(Ergebnisse!C2="","",Ergebnisse!C2)</f>
        <v>A</v>
      </c>
      <c r="F18" s="325"/>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6" t="str">
        <f>IF(Ergebnisse!C8="","",Ergebnisse!C8)</f>
        <v/>
      </c>
      <c r="F19" s="327"/>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t="s">
        <v>397</v>
      </c>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1</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9.25</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18.672199170124482</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t="s">
        <v>397</v>
      </c>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1</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21.189189189189189</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4.8648648648648649</v>
      </c>
      <c r="F24" s="50"/>
      <c r="G24" s="50"/>
      <c r="H24" s="50"/>
      <c r="I24" s="22"/>
      <c r="J24" s="50"/>
      <c r="K24" s="50"/>
      <c r="L24" s="50"/>
      <c r="M24" s="50"/>
      <c r="N24" s="22"/>
      <c r="O24" s="6"/>
      <c r="P24" s="6"/>
      <c r="Q24" s="6"/>
      <c r="R24" s="6"/>
      <c r="S24" s="6"/>
      <c r="T24" s="6"/>
      <c r="U24" s="6"/>
      <c r="V24" s="6"/>
      <c r="W24" s="6"/>
      <c r="X24" s="6"/>
      <c r="Y24" s="119"/>
      <c r="Z24" s="34">
        <v>21</v>
      </c>
      <c r="AA24" s="40"/>
      <c r="AB24" s="41" t="s">
        <v>397</v>
      </c>
      <c r="AC24" s="42"/>
      <c r="AD24" s="42"/>
      <c r="AE24" s="42"/>
      <c r="AF24" s="42"/>
      <c r="AG24" s="41"/>
      <c r="AH24" s="42"/>
      <c r="AI24" s="42"/>
      <c r="AJ24" s="41"/>
      <c r="AK24" s="42"/>
      <c r="AL24" s="42"/>
      <c r="AM24" s="42"/>
      <c r="AN24" s="41"/>
      <c r="AO24" s="42"/>
      <c r="AP24" s="42"/>
      <c r="AQ24" s="41" t="s">
        <v>397</v>
      </c>
      <c r="AR24" s="41"/>
      <c r="AS24" s="42"/>
      <c r="AT24" s="42"/>
      <c r="AU24" s="42"/>
      <c r="AV24" s="41" t="s">
        <v>397</v>
      </c>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1</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1</v>
      </c>
      <c r="CR24" s="36">
        <f t="shared" si="18"/>
        <v>0</v>
      </c>
      <c r="CS24" s="36">
        <f t="shared" si="19"/>
        <v>0</v>
      </c>
      <c r="CT24" s="36">
        <f t="shared" si="20"/>
        <v>0</v>
      </c>
      <c r="CU24" s="36">
        <f t="shared" si="21"/>
        <v>0</v>
      </c>
      <c r="CV24" s="36">
        <f t="shared" si="22"/>
        <v>1</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t="s">
        <v>397</v>
      </c>
      <c r="AF25" s="42"/>
      <c r="AG25" s="42"/>
      <c r="AH25" s="42"/>
      <c r="AI25" s="42"/>
      <c r="AJ25" s="42"/>
      <c r="AK25" s="42"/>
      <c r="AL25" s="42"/>
      <c r="AM25" s="42"/>
      <c r="AN25" s="41"/>
      <c r="AO25" s="41" t="s">
        <v>397</v>
      </c>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1</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1</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4.8648648648648649</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t="s">
        <v>397</v>
      </c>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1</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t="s">
        <v>397</v>
      </c>
      <c r="AH27" s="42"/>
      <c r="AI27" s="42"/>
      <c r="AJ27" s="42"/>
      <c r="AK27" s="42"/>
      <c r="AL27" s="42"/>
      <c r="AM27" s="42"/>
      <c r="AN27" s="42"/>
      <c r="AO27" s="42"/>
      <c r="AP27" s="41" t="s">
        <v>397</v>
      </c>
      <c r="AQ27" s="42"/>
      <c r="AR27" s="42"/>
      <c r="AS27" s="42"/>
      <c r="AT27" s="41" t="s">
        <v>397</v>
      </c>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1</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1</v>
      </c>
      <c r="CQ27" s="36">
        <f t="shared" si="17"/>
        <v>0</v>
      </c>
      <c r="CR27" s="36">
        <f t="shared" si="18"/>
        <v>0</v>
      </c>
      <c r="CS27" s="36">
        <f t="shared" si="19"/>
        <v>0</v>
      </c>
      <c r="CT27" s="36">
        <f t="shared" si="20"/>
        <v>1</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13</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25</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t="s">
        <v>397</v>
      </c>
      <c r="AL29" s="42"/>
      <c r="AM29" s="42"/>
      <c r="AN29" s="42"/>
      <c r="AO29" s="41" t="s">
        <v>397</v>
      </c>
      <c r="AP29" s="41"/>
      <c r="AQ29" s="42"/>
      <c r="AR29" s="42"/>
      <c r="AS29" s="42"/>
      <c r="AT29" s="41"/>
      <c r="AU29" s="42"/>
      <c r="AV29" s="42"/>
      <c r="AW29" s="42"/>
      <c r="AX29" s="41"/>
      <c r="AY29" s="45" t="s">
        <v>397</v>
      </c>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1</v>
      </c>
      <c r="CL29" s="36">
        <f t="shared" si="12"/>
        <v>0</v>
      </c>
      <c r="CM29" s="36">
        <f t="shared" si="13"/>
        <v>0</v>
      </c>
      <c r="CN29" s="36">
        <f t="shared" si="14"/>
        <v>0</v>
      </c>
      <c r="CO29" s="36">
        <f t="shared" si="15"/>
        <v>1</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1</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12</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c r="AK30" s="42"/>
      <c r="AL30" s="42"/>
      <c r="AM30" s="42"/>
      <c r="AN30" s="42"/>
      <c r="AO30" s="42"/>
      <c r="AP30" s="41"/>
      <c r="AQ30" s="42"/>
      <c r="AR30" s="42"/>
      <c r="AS30" s="42"/>
      <c r="AT30" s="41" t="s">
        <v>397</v>
      </c>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1</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t="s">
        <v>397</v>
      </c>
      <c r="AD31" s="42"/>
      <c r="AE31" s="42"/>
      <c r="AF31" s="41"/>
      <c r="AG31" s="41"/>
      <c r="AH31" s="42"/>
      <c r="AI31" s="42"/>
      <c r="AJ31" s="41" t="s">
        <v>397</v>
      </c>
      <c r="AK31" s="42"/>
      <c r="AL31" s="42"/>
      <c r="AM31" s="42"/>
      <c r="AN31" s="42"/>
      <c r="AO31" s="42"/>
      <c r="AP31" s="42"/>
      <c r="AQ31" s="42"/>
      <c r="AR31" s="41" t="s">
        <v>397</v>
      </c>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1</v>
      </c>
      <c r="CD31" s="36">
        <f t="shared" si="4"/>
        <v>0</v>
      </c>
      <c r="CE31" s="36">
        <f t="shared" si="5"/>
        <v>0</v>
      </c>
      <c r="CF31" s="36">
        <f t="shared" si="6"/>
        <v>0</v>
      </c>
      <c r="CG31" s="36">
        <f t="shared" si="7"/>
        <v>0</v>
      </c>
      <c r="CH31" s="36">
        <f t="shared" si="8"/>
        <v>0</v>
      </c>
      <c r="CI31" s="36">
        <f t="shared" si="9"/>
        <v>0</v>
      </c>
      <c r="CJ31" s="36">
        <f t="shared" si="10"/>
        <v>1</v>
      </c>
      <c r="CK31" s="36">
        <f t="shared" si="11"/>
        <v>0</v>
      </c>
      <c r="CL31" s="36">
        <f t="shared" si="12"/>
        <v>0</v>
      </c>
      <c r="CM31" s="36">
        <f t="shared" si="13"/>
        <v>0</v>
      </c>
      <c r="CN31" s="36">
        <f t="shared" si="14"/>
        <v>0</v>
      </c>
      <c r="CO31" s="36">
        <f t="shared" si="15"/>
        <v>0</v>
      </c>
      <c r="CP31" s="36">
        <f t="shared" si="16"/>
        <v>0</v>
      </c>
      <c r="CQ31" s="36">
        <f t="shared" si="17"/>
        <v>0</v>
      </c>
      <c r="CR31" s="36">
        <f t="shared" si="18"/>
        <v>1</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2"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2"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t="s">
        <v>397</v>
      </c>
      <c r="AB33" s="42"/>
      <c r="AC33" s="42"/>
      <c r="AD33" s="42"/>
      <c r="AE33" s="41"/>
      <c r="AF33" s="42"/>
      <c r="AG33" s="42"/>
      <c r="AH33" s="41"/>
      <c r="AI33" s="42"/>
      <c r="AJ33" s="42"/>
      <c r="AK33" s="41" t="s">
        <v>397</v>
      </c>
      <c r="AL33" s="42"/>
      <c r="AM33" s="42"/>
      <c r="AN33" s="42"/>
      <c r="AO33" s="41" t="s">
        <v>397</v>
      </c>
      <c r="AP33" s="41"/>
      <c r="AQ33" s="42"/>
      <c r="AR33" s="41"/>
      <c r="AS33" s="42"/>
      <c r="AT33" s="42"/>
      <c r="AU33" s="41" t="s">
        <v>397</v>
      </c>
      <c r="AV33" s="42"/>
      <c r="AW33" s="42"/>
      <c r="AX33" s="42"/>
      <c r="AY33" s="45" t="s">
        <v>397</v>
      </c>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1</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1</v>
      </c>
      <c r="CL33" s="36">
        <f t="shared" si="12"/>
        <v>0</v>
      </c>
      <c r="CM33" s="36">
        <f t="shared" si="13"/>
        <v>0</v>
      </c>
      <c r="CN33" s="36">
        <f t="shared" si="14"/>
        <v>0</v>
      </c>
      <c r="CO33" s="36">
        <f t="shared" si="15"/>
        <v>1</v>
      </c>
      <c r="CP33" s="36">
        <f t="shared" si="16"/>
        <v>0</v>
      </c>
      <c r="CQ33" s="36">
        <f t="shared" si="17"/>
        <v>0</v>
      </c>
      <c r="CR33" s="36">
        <f t="shared" si="18"/>
        <v>0</v>
      </c>
      <c r="CS33" s="36">
        <f t="shared" si="19"/>
        <v>0</v>
      </c>
      <c r="CT33" s="36">
        <f t="shared" si="20"/>
        <v>0</v>
      </c>
      <c r="CU33" s="36">
        <f t="shared" si="21"/>
        <v>1</v>
      </c>
      <c r="CV33" s="36">
        <f t="shared" si="22"/>
        <v>0</v>
      </c>
      <c r="CW33" s="36">
        <f t="shared" si="23"/>
        <v>0</v>
      </c>
      <c r="CX33" s="36">
        <f t="shared" si="24"/>
        <v>0</v>
      </c>
      <c r="CY33" s="36">
        <f t="shared" si="25"/>
        <v>1</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2"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t="s">
        <v>397</v>
      </c>
      <c r="AG34" s="42"/>
      <c r="AH34" s="42"/>
      <c r="AI34" s="42"/>
      <c r="AJ34" s="42"/>
      <c r="AK34" s="42"/>
      <c r="AL34" s="42"/>
      <c r="AM34" s="42"/>
      <c r="AN34" s="42"/>
      <c r="AO34" s="42"/>
      <c r="AP34" s="42"/>
      <c r="AQ34" s="41"/>
      <c r="AR34" s="42"/>
      <c r="AS34" s="42"/>
      <c r="AT34" s="42"/>
      <c r="AU34" s="42"/>
      <c r="AV34" s="42"/>
      <c r="AW34" s="42"/>
      <c r="AX34" s="41" t="s">
        <v>397</v>
      </c>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1</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1</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2"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t="s">
        <v>397</v>
      </c>
      <c r="AM35" s="42"/>
      <c r="AN35" s="42"/>
      <c r="AO35" s="41"/>
      <c r="AP35" s="42"/>
      <c r="AQ35" s="42"/>
      <c r="AR35" s="42"/>
      <c r="AS35" s="41" t="s">
        <v>397</v>
      </c>
      <c r="AT35" s="42"/>
      <c r="AU35" s="41"/>
      <c r="AV35" s="41"/>
      <c r="AW35" s="41" t="s">
        <v>397</v>
      </c>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1</v>
      </c>
      <c r="CM35" s="36">
        <f t="shared" si="13"/>
        <v>0</v>
      </c>
      <c r="CN35" s="36">
        <f t="shared" si="14"/>
        <v>0</v>
      </c>
      <c r="CO35" s="36">
        <f t="shared" si="15"/>
        <v>0</v>
      </c>
      <c r="CP35" s="36">
        <f t="shared" si="16"/>
        <v>0</v>
      </c>
      <c r="CQ35" s="36">
        <f t="shared" si="17"/>
        <v>0</v>
      </c>
      <c r="CR35" s="36">
        <f t="shared" si="18"/>
        <v>0</v>
      </c>
      <c r="CS35" s="36">
        <f t="shared" si="19"/>
        <v>1</v>
      </c>
      <c r="CT35" s="36">
        <f t="shared" si="20"/>
        <v>0</v>
      </c>
      <c r="CU35" s="36">
        <f t="shared" si="21"/>
        <v>0</v>
      </c>
      <c r="CV35" s="36">
        <f t="shared" si="22"/>
        <v>0</v>
      </c>
      <c r="CW35" s="36">
        <f t="shared" si="23"/>
        <v>1</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t="s">
        <v>397</v>
      </c>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1</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2"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2"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t="s">
        <v>397</v>
      </c>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1</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2" customHeight="1" x14ac:dyDescent="0.25">
      <c r="A41" s="17"/>
      <c r="B41" s="334"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t="s">
        <v>397</v>
      </c>
      <c r="AG41" s="42"/>
      <c r="AH41" s="41"/>
      <c r="AI41" s="42"/>
      <c r="AJ41" s="42"/>
      <c r="AK41" s="42"/>
      <c r="AL41" s="41"/>
      <c r="AM41" s="42"/>
      <c r="AN41" s="42"/>
      <c r="AO41" s="42"/>
      <c r="AP41" s="42"/>
      <c r="AQ41" s="41"/>
      <c r="AR41" s="42"/>
      <c r="AS41" s="42"/>
      <c r="AT41" s="41"/>
      <c r="AU41" s="42"/>
      <c r="AV41" s="42"/>
      <c r="AW41" s="42"/>
      <c r="AX41" s="41" t="s">
        <v>397</v>
      </c>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1</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1</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2" customHeight="1" x14ac:dyDescent="0.25">
      <c r="A42" s="17"/>
      <c r="B42" s="334"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2"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42:X42"/>
    <mergeCell ref="B33:X33"/>
    <mergeCell ref="B34:X34"/>
    <mergeCell ref="B35:X35"/>
    <mergeCell ref="B37:X37"/>
    <mergeCell ref="B38:X38"/>
    <mergeCell ref="B41:X41"/>
    <mergeCell ref="B32:X32"/>
    <mergeCell ref="E18:F18"/>
    <mergeCell ref="E19:F19"/>
    <mergeCell ref="L2:N2"/>
    <mergeCell ref="B3:C3"/>
    <mergeCell ref="B2:F2"/>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5E9B0-FDE1-4FA3-9992-65BF164849EE}">
  <dimension ref="A1:Y39"/>
  <sheetViews>
    <sheetView tabSelected="1" zoomScale="60" zoomScaleNormal="60" workbookViewId="0">
      <selection sqref="A1:Y39"/>
    </sheetView>
  </sheetViews>
  <sheetFormatPr baseColWidth="10" defaultRowHeight="13.2" x14ac:dyDescent="0.25"/>
  <sheetData>
    <row r="1" spans="1:25" x14ac:dyDescent="0.25">
      <c r="A1">
        <f>T2B!AA5</f>
        <v>0</v>
      </c>
      <c r="B1">
        <f>T2B!AB5</f>
        <v>0</v>
      </c>
      <c r="C1">
        <f>T2B!AC5</f>
        <v>0</v>
      </c>
      <c r="D1">
        <f>T2B!AD5</f>
        <v>0</v>
      </c>
      <c r="E1">
        <f>T2B!AE5</f>
        <v>0</v>
      </c>
      <c r="F1">
        <f>T2B!AF5</f>
        <v>0</v>
      </c>
      <c r="G1">
        <f>T2B!AG5</f>
        <v>0</v>
      </c>
      <c r="H1">
        <f>T2B!AH5</f>
        <v>0</v>
      </c>
      <c r="I1">
        <f>T2B!AI5</f>
        <v>0</v>
      </c>
      <c r="J1">
        <f>T2B!AJ5</f>
        <v>0</v>
      </c>
      <c r="K1">
        <f>T2B!AK5</f>
        <v>0</v>
      </c>
      <c r="L1">
        <f>T2B!AL5</f>
        <v>0</v>
      </c>
      <c r="M1" t="str">
        <f>T2B!AM5</f>
        <v>a</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5">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t="str">
        <f>T2B!AS7</f>
        <v>a</v>
      </c>
      <c r="T3">
        <f>T2B!AT7</f>
        <v>0</v>
      </c>
      <c r="U3">
        <f>T2B!AU7</f>
        <v>0</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t="str">
        <f>T2B!AP8</f>
        <v>a</v>
      </c>
      <c r="Q4">
        <f>T2B!AQ8</f>
        <v>0</v>
      </c>
      <c r="R4">
        <f>T2B!AR8</f>
        <v>0</v>
      </c>
      <c r="S4">
        <f>T2B!AS8</f>
        <v>0</v>
      </c>
      <c r="T4">
        <f>T2B!AT8</f>
        <v>0</v>
      </c>
      <c r="U4">
        <f>T2B!AU8</f>
        <v>0</v>
      </c>
      <c r="V4">
        <f>T2B!AV8</f>
        <v>0</v>
      </c>
      <c r="W4">
        <f>T2B!AW8</f>
        <v>0</v>
      </c>
      <c r="X4">
        <f>T2B!AX8</f>
        <v>0</v>
      </c>
      <c r="Y4">
        <f>T2B!AY8</f>
        <v>0</v>
      </c>
    </row>
    <row r="5" spans="1:25" x14ac:dyDescent="0.25">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t="str">
        <f>T2B!AU9</f>
        <v>a</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5">
      <c r="A7">
        <f>T2B!AA11</f>
        <v>0</v>
      </c>
      <c r="B7">
        <f>T2B!AB11</f>
        <v>0</v>
      </c>
      <c r="C7">
        <f>T2B!AC11</f>
        <v>0</v>
      </c>
      <c r="D7">
        <f>T2B!AD11</f>
        <v>0</v>
      </c>
      <c r="E7">
        <f>T2B!AE11</f>
        <v>0</v>
      </c>
      <c r="F7">
        <f>T2B!AF11</f>
        <v>0</v>
      </c>
      <c r="G7" t="str">
        <f>T2B!AG11</f>
        <v>a</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t="str">
        <f>T2B!AS13</f>
        <v>a</v>
      </c>
      <c r="T9">
        <f>T2B!AT13</f>
        <v>0</v>
      </c>
      <c r="U9">
        <f>T2B!AU13</f>
        <v>0</v>
      </c>
      <c r="V9">
        <f>T2B!AV13</f>
        <v>0</v>
      </c>
      <c r="W9">
        <f>T2B!AW13</f>
        <v>0</v>
      </c>
      <c r="X9">
        <f>T2B!AX13</f>
        <v>0</v>
      </c>
      <c r="Y9">
        <f>T2B!AY13</f>
        <v>0</v>
      </c>
    </row>
    <row r="10" spans="1:25" x14ac:dyDescent="0.25">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5">
      <c r="A11">
        <f>T2B!AA15</f>
        <v>0</v>
      </c>
      <c r="B11">
        <f>T2B!AB15</f>
        <v>0</v>
      </c>
      <c r="C11">
        <f>T2B!AC15</f>
        <v>0</v>
      </c>
      <c r="D11">
        <f>T2B!AD15</f>
        <v>0</v>
      </c>
      <c r="E11">
        <f>T2B!AE15</f>
        <v>0</v>
      </c>
      <c r="F11" t="str">
        <f>T2B!AF15</f>
        <v>a</v>
      </c>
      <c r="G11">
        <f>T2B!AG15</f>
        <v>0</v>
      </c>
      <c r="H11">
        <f>T2B!AH15</f>
        <v>0</v>
      </c>
      <c r="I11">
        <f>T2B!AI15</f>
        <v>0</v>
      </c>
      <c r="J11">
        <f>T2B!AJ15</f>
        <v>0</v>
      </c>
      <c r="K11">
        <f>T2B!AK15</f>
        <v>0</v>
      </c>
      <c r="L11">
        <f>T2B!AL15</f>
        <v>0</v>
      </c>
      <c r="M11">
        <f>T2B!AM15</f>
        <v>0</v>
      </c>
      <c r="N11" t="str">
        <f>T2B!AN15</f>
        <v>a</v>
      </c>
      <c r="O11">
        <f>T2B!AO15</f>
        <v>0</v>
      </c>
      <c r="P11" t="str">
        <f>T2B!AP15</f>
        <v>a</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f>T2B!AC16</f>
        <v>0</v>
      </c>
      <c r="D12">
        <f>T2B!AD16</f>
        <v>0</v>
      </c>
      <c r="E12">
        <f>T2B!AE16</f>
        <v>0</v>
      </c>
      <c r="F12" t="str">
        <f>T2B!AF16</f>
        <v>a</v>
      </c>
      <c r="G12">
        <f>T2B!AG16</f>
        <v>0</v>
      </c>
      <c r="H12">
        <f>T2B!AH16</f>
        <v>0</v>
      </c>
      <c r="I12">
        <f>T2B!AI16</f>
        <v>0</v>
      </c>
      <c r="J12">
        <f>T2B!AJ16</f>
        <v>0</v>
      </c>
      <c r="K12">
        <f>T2B!AK16</f>
        <v>0</v>
      </c>
      <c r="L12">
        <f>T2B!AL16</f>
        <v>0</v>
      </c>
      <c r="M12">
        <f>T2B!AM16</f>
        <v>0</v>
      </c>
      <c r="N12">
        <f>T2B!AN16</f>
        <v>0</v>
      </c>
      <c r="O12" t="str">
        <f>T2B!AO16</f>
        <v>a</v>
      </c>
      <c r="P12">
        <f>T2B!AP16</f>
        <v>0</v>
      </c>
      <c r="Q12">
        <f>T2B!AQ16</f>
        <v>0</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t="str">
        <f>T2B!AI17</f>
        <v>a</v>
      </c>
      <c r="J13">
        <f>T2B!AJ17</f>
        <v>0</v>
      </c>
      <c r="K13">
        <f>T2B!AK17</f>
        <v>0</v>
      </c>
      <c r="L13">
        <f>T2B!AL17</f>
        <v>0</v>
      </c>
      <c r="M13">
        <f>T2B!AM17</f>
        <v>0</v>
      </c>
      <c r="N13">
        <f>T2B!AN17</f>
        <v>0</v>
      </c>
      <c r="O13">
        <f>T2B!AO17</f>
        <v>0</v>
      </c>
      <c r="P13">
        <f>T2B!AP17</f>
        <v>0</v>
      </c>
      <c r="Q13" t="str">
        <f>T2B!AQ17</f>
        <v>a</v>
      </c>
      <c r="R13">
        <f>T2B!AR17</f>
        <v>0</v>
      </c>
      <c r="S13">
        <f>T2B!AS17</f>
        <v>0</v>
      </c>
      <c r="T13">
        <f>T2B!AT17</f>
        <v>0</v>
      </c>
      <c r="U13">
        <f>T2B!AU17</f>
        <v>0</v>
      </c>
      <c r="V13">
        <f>T2B!AV17</f>
        <v>0</v>
      </c>
      <c r="W13">
        <f>T2B!AW17</f>
        <v>0</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t="str">
        <f>T2B!AX19</f>
        <v>a</v>
      </c>
      <c r="Y15">
        <f>T2B!AY19</f>
        <v>0</v>
      </c>
    </row>
    <row r="16" spans="1:25" x14ac:dyDescent="0.25">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t="str">
        <f>T2B!AM22</f>
        <v>a</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5">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5">
      <c r="A20">
        <f>T2B!AA24</f>
        <v>0</v>
      </c>
      <c r="B20" t="str">
        <f>T2B!AB24</f>
        <v>a</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t="str">
        <f>T2B!AQ24</f>
        <v>a</v>
      </c>
      <c r="R20">
        <f>T2B!AR24</f>
        <v>0</v>
      </c>
      <c r="S20">
        <f>T2B!AS24</f>
        <v>0</v>
      </c>
      <c r="T20">
        <f>T2B!AT24</f>
        <v>0</v>
      </c>
      <c r="U20">
        <f>T2B!AU24</f>
        <v>0</v>
      </c>
      <c r="V20" t="str">
        <f>T2B!AV24</f>
        <v>a</v>
      </c>
      <c r="W20">
        <f>T2B!AW24</f>
        <v>0</v>
      </c>
      <c r="X20">
        <f>T2B!AX24</f>
        <v>0</v>
      </c>
      <c r="Y20">
        <f>T2B!AY24</f>
        <v>0</v>
      </c>
    </row>
    <row r="21" spans="1:25" x14ac:dyDescent="0.25">
      <c r="A21">
        <f>T2B!AA25</f>
        <v>0</v>
      </c>
      <c r="B21">
        <f>T2B!AB25</f>
        <v>0</v>
      </c>
      <c r="C21">
        <f>T2B!AC25</f>
        <v>0</v>
      </c>
      <c r="D21">
        <f>T2B!AD25</f>
        <v>0</v>
      </c>
      <c r="E21" t="str">
        <f>T2B!AE25</f>
        <v>a</v>
      </c>
      <c r="F21">
        <f>T2B!AF25</f>
        <v>0</v>
      </c>
      <c r="G21">
        <f>T2B!AG25</f>
        <v>0</v>
      </c>
      <c r="H21">
        <f>T2B!AH25</f>
        <v>0</v>
      </c>
      <c r="I21">
        <f>T2B!AI25</f>
        <v>0</v>
      </c>
      <c r="J21">
        <f>T2B!AJ25</f>
        <v>0</v>
      </c>
      <c r="K21">
        <f>T2B!AK25</f>
        <v>0</v>
      </c>
      <c r="L21">
        <f>T2B!AL25</f>
        <v>0</v>
      </c>
      <c r="M21">
        <f>T2B!AM25</f>
        <v>0</v>
      </c>
      <c r="N21">
        <f>T2B!AN25</f>
        <v>0</v>
      </c>
      <c r="O21" t="str">
        <f>T2B!AO25</f>
        <v>a</v>
      </c>
      <c r="P21">
        <f>T2B!AP25</f>
        <v>0</v>
      </c>
      <c r="Q21">
        <f>T2B!AQ25</f>
        <v>0</v>
      </c>
      <c r="R21">
        <f>T2B!AR25</f>
        <v>0</v>
      </c>
      <c r="S21">
        <f>T2B!AS25</f>
        <v>0</v>
      </c>
      <c r="T21">
        <f>T2B!AT25</f>
        <v>0</v>
      </c>
      <c r="U21">
        <f>T2B!AU25</f>
        <v>0</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t="str">
        <f>T2B!AU26</f>
        <v>a</v>
      </c>
      <c r="V22">
        <f>T2B!AV26</f>
        <v>0</v>
      </c>
      <c r="W22">
        <f>T2B!AW26</f>
        <v>0</v>
      </c>
      <c r="X22">
        <f>T2B!AX26</f>
        <v>0</v>
      </c>
      <c r="Y22">
        <f>T2B!AY26</f>
        <v>0</v>
      </c>
    </row>
    <row r="23" spans="1:25" x14ac:dyDescent="0.25">
      <c r="A23">
        <f>T2B!AA27</f>
        <v>0</v>
      </c>
      <c r="B23">
        <f>T2B!AB27</f>
        <v>0</v>
      </c>
      <c r="C23">
        <f>T2B!AC27</f>
        <v>0</v>
      </c>
      <c r="D23">
        <f>T2B!AD27</f>
        <v>0</v>
      </c>
      <c r="E23">
        <f>T2B!AE27</f>
        <v>0</v>
      </c>
      <c r="F23">
        <f>T2B!AF27</f>
        <v>0</v>
      </c>
      <c r="G23" t="str">
        <f>T2B!AG27</f>
        <v>a</v>
      </c>
      <c r="H23">
        <f>T2B!AH27</f>
        <v>0</v>
      </c>
      <c r="I23">
        <f>T2B!AI27</f>
        <v>0</v>
      </c>
      <c r="J23">
        <f>T2B!AJ27</f>
        <v>0</v>
      </c>
      <c r="K23">
        <f>T2B!AK27</f>
        <v>0</v>
      </c>
      <c r="L23">
        <f>T2B!AL27</f>
        <v>0</v>
      </c>
      <c r="M23">
        <f>T2B!AM27</f>
        <v>0</v>
      </c>
      <c r="N23">
        <f>T2B!AN27</f>
        <v>0</v>
      </c>
      <c r="O23">
        <f>T2B!AO27</f>
        <v>0</v>
      </c>
      <c r="P23" t="str">
        <f>T2B!AP27</f>
        <v>a</v>
      </c>
      <c r="Q23">
        <f>T2B!AQ27</f>
        <v>0</v>
      </c>
      <c r="R23">
        <f>T2B!AR27</f>
        <v>0</v>
      </c>
      <c r="S23">
        <f>T2B!AS27</f>
        <v>0</v>
      </c>
      <c r="T23" t="str">
        <f>T2B!AT27</f>
        <v>a</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5">
      <c r="A25">
        <f>T2B!AA29</f>
        <v>0</v>
      </c>
      <c r="B25">
        <f>T2B!AB29</f>
        <v>0</v>
      </c>
      <c r="C25">
        <f>T2B!AC29</f>
        <v>0</v>
      </c>
      <c r="D25">
        <f>T2B!AD29</f>
        <v>0</v>
      </c>
      <c r="E25">
        <f>T2B!AE29</f>
        <v>0</v>
      </c>
      <c r="F25">
        <f>T2B!AF29</f>
        <v>0</v>
      </c>
      <c r="G25">
        <f>T2B!AG29</f>
        <v>0</v>
      </c>
      <c r="H25">
        <f>T2B!AH29</f>
        <v>0</v>
      </c>
      <c r="I25">
        <f>T2B!AI29</f>
        <v>0</v>
      </c>
      <c r="J25">
        <f>T2B!AJ29</f>
        <v>0</v>
      </c>
      <c r="K25" t="str">
        <f>T2B!AK29</f>
        <v>a</v>
      </c>
      <c r="L25">
        <f>T2B!AL29</f>
        <v>0</v>
      </c>
      <c r="M25">
        <f>T2B!AM29</f>
        <v>0</v>
      </c>
      <c r="N25">
        <f>T2B!AN29</f>
        <v>0</v>
      </c>
      <c r="O25" t="str">
        <f>T2B!AO29</f>
        <v>a</v>
      </c>
      <c r="P25">
        <f>T2B!AP29</f>
        <v>0</v>
      </c>
      <c r="Q25">
        <f>T2B!AQ29</f>
        <v>0</v>
      </c>
      <c r="R25">
        <f>T2B!AR29</f>
        <v>0</v>
      </c>
      <c r="S25">
        <f>T2B!AS29</f>
        <v>0</v>
      </c>
      <c r="T25">
        <f>T2B!AT29</f>
        <v>0</v>
      </c>
      <c r="U25">
        <f>T2B!AU29</f>
        <v>0</v>
      </c>
      <c r="V25">
        <f>T2B!AV29</f>
        <v>0</v>
      </c>
      <c r="W25">
        <f>T2B!AW29</f>
        <v>0</v>
      </c>
      <c r="X25">
        <f>T2B!AX29</f>
        <v>0</v>
      </c>
      <c r="Y25" t="str">
        <f>T2B!AY29</f>
        <v>a</v>
      </c>
    </row>
    <row r="26" spans="1:25" x14ac:dyDescent="0.25">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t="str">
        <f>T2B!AT30</f>
        <v>a</v>
      </c>
      <c r="U26">
        <f>T2B!AU30</f>
        <v>0</v>
      </c>
      <c r="V26">
        <f>T2B!AV30</f>
        <v>0</v>
      </c>
      <c r="W26">
        <f>T2B!AW30</f>
        <v>0</v>
      </c>
      <c r="X26">
        <f>T2B!AX30</f>
        <v>0</v>
      </c>
      <c r="Y26">
        <f>T2B!AY30</f>
        <v>0</v>
      </c>
    </row>
    <row r="27" spans="1:25" x14ac:dyDescent="0.25">
      <c r="A27">
        <f>T2B!AA31</f>
        <v>0</v>
      </c>
      <c r="B27">
        <f>T2B!AB31</f>
        <v>0</v>
      </c>
      <c r="C27" t="str">
        <f>T2B!AC31</f>
        <v>a</v>
      </c>
      <c r="D27">
        <f>T2B!AD31</f>
        <v>0</v>
      </c>
      <c r="E27">
        <f>T2B!AE31</f>
        <v>0</v>
      </c>
      <c r="F27">
        <f>T2B!AF31</f>
        <v>0</v>
      </c>
      <c r="G27">
        <f>T2B!AG31</f>
        <v>0</v>
      </c>
      <c r="H27">
        <f>T2B!AH31</f>
        <v>0</v>
      </c>
      <c r="I27">
        <f>T2B!AI31</f>
        <v>0</v>
      </c>
      <c r="J27" t="str">
        <f>T2B!AJ31</f>
        <v>a</v>
      </c>
      <c r="K27">
        <f>T2B!AK31</f>
        <v>0</v>
      </c>
      <c r="L27">
        <f>T2B!AL31</f>
        <v>0</v>
      </c>
      <c r="M27">
        <f>T2B!AM31</f>
        <v>0</v>
      </c>
      <c r="N27">
        <f>T2B!AN31</f>
        <v>0</v>
      </c>
      <c r="O27">
        <f>T2B!AO31</f>
        <v>0</v>
      </c>
      <c r="P27">
        <f>T2B!AP31</f>
        <v>0</v>
      </c>
      <c r="Q27">
        <f>T2B!AQ31</f>
        <v>0</v>
      </c>
      <c r="R27" t="str">
        <f>T2B!AR31</f>
        <v>a</v>
      </c>
      <c r="S27">
        <f>T2B!AS31</f>
        <v>0</v>
      </c>
      <c r="T27">
        <f>T2B!AT31</f>
        <v>0</v>
      </c>
      <c r="U27">
        <f>T2B!AU31</f>
        <v>0</v>
      </c>
      <c r="V27">
        <f>T2B!AV31</f>
        <v>0</v>
      </c>
      <c r="W27">
        <f>T2B!AW31</f>
        <v>0</v>
      </c>
      <c r="X27">
        <f>T2B!AX31</f>
        <v>0</v>
      </c>
      <c r="Y27">
        <f>T2B!AY31</f>
        <v>0</v>
      </c>
    </row>
    <row r="28" spans="1:25" x14ac:dyDescent="0.25">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t="str">
        <f>T2B!AA33</f>
        <v>a</v>
      </c>
      <c r="B29">
        <f>T2B!AB33</f>
        <v>0</v>
      </c>
      <c r="C29">
        <f>T2B!AC33</f>
        <v>0</v>
      </c>
      <c r="D29">
        <f>T2B!AD33</f>
        <v>0</v>
      </c>
      <c r="E29">
        <f>T2B!AE33</f>
        <v>0</v>
      </c>
      <c r="F29">
        <f>T2B!AF33</f>
        <v>0</v>
      </c>
      <c r="G29">
        <f>T2B!AG33</f>
        <v>0</v>
      </c>
      <c r="H29">
        <f>T2B!AH33</f>
        <v>0</v>
      </c>
      <c r="I29">
        <f>T2B!AI33</f>
        <v>0</v>
      </c>
      <c r="J29">
        <f>T2B!AJ33</f>
        <v>0</v>
      </c>
      <c r="K29" t="str">
        <f>T2B!AK33</f>
        <v>a</v>
      </c>
      <c r="L29">
        <f>T2B!AL33</f>
        <v>0</v>
      </c>
      <c r="M29">
        <f>T2B!AM33</f>
        <v>0</v>
      </c>
      <c r="N29">
        <f>T2B!AN33</f>
        <v>0</v>
      </c>
      <c r="O29" t="str">
        <f>T2B!AO33</f>
        <v>a</v>
      </c>
      <c r="P29">
        <f>T2B!AP33</f>
        <v>0</v>
      </c>
      <c r="Q29">
        <f>T2B!AQ33</f>
        <v>0</v>
      </c>
      <c r="R29">
        <f>T2B!AR33</f>
        <v>0</v>
      </c>
      <c r="S29">
        <f>T2B!AS33</f>
        <v>0</v>
      </c>
      <c r="T29">
        <f>T2B!AT33</f>
        <v>0</v>
      </c>
      <c r="U29" t="str">
        <f>T2B!AU33</f>
        <v>a</v>
      </c>
      <c r="V29">
        <f>T2B!AV33</f>
        <v>0</v>
      </c>
      <c r="W29">
        <f>T2B!AW33</f>
        <v>0</v>
      </c>
      <c r="X29">
        <f>T2B!AX33</f>
        <v>0</v>
      </c>
      <c r="Y29" t="str">
        <f>T2B!AY33</f>
        <v>a</v>
      </c>
    </row>
    <row r="30" spans="1:25" x14ac:dyDescent="0.25">
      <c r="A30">
        <f>T2B!AA34</f>
        <v>0</v>
      </c>
      <c r="B30">
        <f>T2B!AB34</f>
        <v>0</v>
      </c>
      <c r="C30">
        <f>T2B!AC34</f>
        <v>0</v>
      </c>
      <c r="D30">
        <f>T2B!AD34</f>
        <v>0</v>
      </c>
      <c r="E30">
        <f>T2B!AE34</f>
        <v>0</v>
      </c>
      <c r="F30" t="str">
        <f>T2B!AF34</f>
        <v>a</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t="str">
        <f>T2B!AX34</f>
        <v>a</v>
      </c>
      <c r="Y30">
        <f>T2B!AY34</f>
        <v>0</v>
      </c>
    </row>
    <row r="31" spans="1:25" x14ac:dyDescent="0.25">
      <c r="A31">
        <f>T2B!AA35</f>
        <v>0</v>
      </c>
      <c r="B31">
        <f>T2B!AB35</f>
        <v>0</v>
      </c>
      <c r="C31">
        <f>T2B!AC35</f>
        <v>0</v>
      </c>
      <c r="D31">
        <f>T2B!AD35</f>
        <v>0</v>
      </c>
      <c r="E31">
        <f>T2B!AE35</f>
        <v>0</v>
      </c>
      <c r="F31">
        <f>T2B!AF35</f>
        <v>0</v>
      </c>
      <c r="G31">
        <f>T2B!AG35</f>
        <v>0</v>
      </c>
      <c r="H31">
        <f>T2B!AH35</f>
        <v>0</v>
      </c>
      <c r="I31">
        <f>T2B!AI35</f>
        <v>0</v>
      </c>
      <c r="J31">
        <f>T2B!AJ35</f>
        <v>0</v>
      </c>
      <c r="K31">
        <f>T2B!AK35</f>
        <v>0</v>
      </c>
      <c r="L31" t="str">
        <f>T2B!AL35</f>
        <v>a</v>
      </c>
      <c r="M31">
        <f>T2B!AM35</f>
        <v>0</v>
      </c>
      <c r="N31">
        <f>T2B!AN35</f>
        <v>0</v>
      </c>
      <c r="O31">
        <f>T2B!AO35</f>
        <v>0</v>
      </c>
      <c r="P31">
        <f>T2B!AP35</f>
        <v>0</v>
      </c>
      <c r="Q31">
        <f>T2B!AQ35</f>
        <v>0</v>
      </c>
      <c r="R31">
        <f>T2B!AR35</f>
        <v>0</v>
      </c>
      <c r="S31" t="str">
        <f>T2B!AS35</f>
        <v>a</v>
      </c>
      <c r="T31">
        <f>T2B!AT35</f>
        <v>0</v>
      </c>
      <c r="U31">
        <f>T2B!AU35</f>
        <v>0</v>
      </c>
      <c r="V31">
        <f>T2B!AV35</f>
        <v>0</v>
      </c>
      <c r="W31" t="str">
        <f>T2B!AW35</f>
        <v>a</v>
      </c>
      <c r="X31">
        <f>T2B!AX35</f>
        <v>0</v>
      </c>
      <c r="Y31">
        <f>T2B!AY35</f>
        <v>0</v>
      </c>
    </row>
    <row r="32" spans="1:25" x14ac:dyDescent="0.25">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t="str">
        <f>T2B!AR36</f>
        <v>a</v>
      </c>
      <c r="S32">
        <f>T2B!AS36</f>
        <v>0</v>
      </c>
      <c r="T32">
        <f>T2B!AT36</f>
        <v>0</v>
      </c>
      <c r="U32">
        <f>T2B!AU36</f>
        <v>0</v>
      </c>
      <c r="V32">
        <f>T2B!AV36</f>
        <v>0</v>
      </c>
      <c r="W32">
        <f>T2B!AW36</f>
        <v>0</v>
      </c>
      <c r="X32">
        <f>T2B!AX36</f>
        <v>0</v>
      </c>
      <c r="Y32">
        <f>T2B!AY36</f>
        <v>0</v>
      </c>
    </row>
    <row r="33" spans="1:25" x14ac:dyDescent="0.25">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t="str">
        <f>T2B!AI40</f>
        <v>a</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f>T2B!AD41</f>
        <v>0</v>
      </c>
      <c r="E37">
        <f>T2B!AE41</f>
        <v>0</v>
      </c>
      <c r="F37" t="str">
        <f>T2B!AF41</f>
        <v>a</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t="str">
        <f>T2B!AX41</f>
        <v>a</v>
      </c>
      <c r="Y37">
        <f>T2B!AY41</f>
        <v>0</v>
      </c>
    </row>
    <row r="38" spans="1:25" x14ac:dyDescent="0.25">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2023-04-05T10:45:14Z</dcterms:modified>
</cp:coreProperties>
</file>